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970" documentId="11_E60897F41BE170836B02CE998F75CCDC64E183C8" xr6:coauthVersionLast="47" xr6:coauthVersionMax="47" xr10:uidLastSave="{9A90EF97-F79F-4A2A-A75D-4E4684921E4B}"/>
  <bookViews>
    <workbookView xWindow="240" yWindow="105" windowWidth="14805" windowHeight="8010" xr2:uid="{00000000-000D-0000-FFFF-FFFF00000000}"/>
  </bookViews>
  <sheets>
    <sheet name="Profit &amp; Balance" sheetId="1" r:id="rId1"/>
    <sheet name="CumSum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C26" i="2"/>
  <c r="C25" i="2"/>
  <c r="C24" i="2"/>
  <c r="C23" i="2"/>
  <c r="E20" i="2"/>
  <c r="F19" i="2"/>
  <c r="F18" i="2"/>
  <c r="F17" i="2"/>
  <c r="F16" i="2"/>
  <c r="B20" i="2"/>
  <c r="E13" i="2"/>
  <c r="F12" i="2"/>
  <c r="F11" i="2"/>
  <c r="F10" i="2"/>
  <c r="F9" i="2"/>
  <c r="B13" i="2"/>
  <c r="C12" i="2"/>
  <c r="C11" i="2"/>
  <c r="C10" i="2"/>
  <c r="C9" i="2"/>
  <c r="E6" i="2"/>
  <c r="F5" i="2"/>
  <c r="F4" i="2"/>
  <c r="F3" i="2"/>
  <c r="F2" i="2"/>
  <c r="B6" i="2"/>
  <c r="C5" i="2"/>
  <c r="C4" i="2"/>
  <c r="C3" i="2"/>
  <c r="C2" i="2"/>
  <c r="C19" i="2" l="1"/>
  <c r="C18" i="2"/>
  <c r="C17" i="2"/>
  <c r="C16" i="2"/>
</calcChain>
</file>

<file path=xl/sharedStrings.xml><?xml version="1.0" encoding="utf-8"?>
<sst xmlns="http://schemas.openxmlformats.org/spreadsheetml/2006/main" count="252" uniqueCount="86">
  <si>
    <t>Date</t>
  </si>
  <si>
    <t>Profit</t>
  </si>
  <si>
    <t>Balance</t>
  </si>
  <si>
    <t>27.05, 39.87, 33.08</t>
  </si>
  <si>
    <t>41.27, 33.94, 24.79</t>
  </si>
  <si>
    <t>26.89, 15.14, 57.97</t>
  </si>
  <si>
    <t>39.8, 32.19, 28.01</t>
  </si>
  <si>
    <t>21.18, 11.53, 67.29</t>
  </si>
  <si>
    <t>46.27, 32.48, 21.25</t>
  </si>
  <si>
    <t>25.74, 6.43, 67.84</t>
  </si>
  <si>
    <t>62.73, 16.77, 20.5</t>
  </si>
  <si>
    <t>25.87, 6.42, 67.71</t>
  </si>
  <si>
    <t>63.65, 16.67, 19.68</t>
  </si>
  <si>
    <t>27.43, 10.69, 61.89</t>
  </si>
  <si>
    <t>58.46, 14.08, 27.46</t>
  </si>
  <si>
    <t>23.26, 14.6, 62.14</t>
  </si>
  <si>
    <t>57.57, 12.61, 29.82</t>
  </si>
  <si>
    <t>37.88, 6.4, 55.72</t>
  </si>
  <si>
    <t>48.69, 22.24, 29.06</t>
  </si>
  <si>
    <t>35.11, 12.01, 52.88</t>
  </si>
  <si>
    <t>48.61, 24.1, 27.29</t>
  </si>
  <si>
    <t>57.43, 9.54, 33.03</t>
  </si>
  <si>
    <t>48.68, 24.66, 26.66</t>
  </si>
  <si>
    <t>57.25, 13.49, 29.26</t>
  </si>
  <si>
    <t>46.92, 25.21, 27.87</t>
  </si>
  <si>
    <t>54.0, 10.27, 35.73</t>
  </si>
  <si>
    <t>41.68, 31.31, 27.0</t>
  </si>
  <si>
    <t>64.66, 1.72, 33.62</t>
  </si>
  <si>
    <t>39.64, 35.65, 24.71</t>
  </si>
  <si>
    <t>128.88, 10.33, -39.21</t>
  </si>
  <si>
    <t>20.09, 48.14, 31.77</t>
  </si>
  <si>
    <t>120.33, 7.89, -28.22</t>
  </si>
  <si>
    <t>17.75, 51.67, 30.58</t>
  </si>
  <si>
    <t>149.02, 9.77, -58.79</t>
  </si>
  <si>
    <t>19.09, 55.59, 25.32</t>
  </si>
  <si>
    <t>101.69, 38.43, -40.12</t>
  </si>
  <si>
    <t>18.53, 44.63, 36.85</t>
  </si>
  <si>
    <t>24.1, 41.41, 34.49</t>
  </si>
  <si>
    <t>71.12, 55.49, -26.62</t>
  </si>
  <si>
    <t>21.22, 54.13, 24.65</t>
  </si>
  <si>
    <t>20.92, 53.36, 25.72</t>
  </si>
  <si>
    <t>77.72, 57.8, -35.52</t>
  </si>
  <si>
    <t>21.2, 55.92, 22.87</t>
  </si>
  <si>
    <t>71.3, 74.51, -45.81</t>
  </si>
  <si>
    <t>15.23, 56.47, 28.3</t>
  </si>
  <si>
    <t>55.24, 94.72, -49.96</t>
  </si>
  <si>
    <t>37.69, 40.91, 21.39</t>
  </si>
  <si>
    <t>48.15, 82.56, -30.71</t>
  </si>
  <si>
    <t>40.47, 40.77, 18.76</t>
  </si>
  <si>
    <t>49.98, 77.82, -27.8</t>
  </si>
  <si>
    <t>43.16, 39.74, 17.1</t>
  </si>
  <si>
    <t>66.19, 81.75, -47.94</t>
  </si>
  <si>
    <t>43.99, 39.16, 16.85</t>
  </si>
  <si>
    <t>61.35, 87.3, -48.64</t>
  </si>
  <si>
    <t>40.58, 42.41, 17.02</t>
  </si>
  <si>
    <t>133.02, 24.39, -57.42</t>
  </si>
  <si>
    <t>140.29, 29.76, -70.05</t>
  </si>
  <si>
    <t>136.23, 28.31, -64.53</t>
  </si>
  <si>
    <t>42.08, 29.98, 27.95</t>
  </si>
  <si>
    <t>132.79, 25.63, -58.42</t>
  </si>
  <si>
    <t>39.34, 31.39, 29.27</t>
  </si>
  <si>
    <t>41.04, 30.51, 28.45</t>
  </si>
  <si>
    <t>128.73, 27.9, -56.63</t>
  </si>
  <si>
    <t>117.68, 25.51, -43.19</t>
  </si>
  <si>
    <t>42.65, 29.68, 27.67</t>
  </si>
  <si>
    <t>116.53, 23.84, -40.37</t>
  </si>
  <si>
    <t>43.55, 29.21, 27.24</t>
  </si>
  <si>
    <t>120.07, 28.95, -49.02</t>
  </si>
  <si>
    <t>-61.92, 90.99, 70.94</t>
  </si>
  <si>
    <t>40.94, 29.59, 29.48</t>
  </si>
  <si>
    <t>-12.96, 54.91, 58.06</t>
  </si>
  <si>
    <t>46.46, 36.41, 17.13</t>
  </si>
  <si>
    <t>-10.05, 65.06, 44.99</t>
  </si>
  <si>
    <t>49.09, 34.1, 16.81</t>
  </si>
  <si>
    <t>-15.14, 75.56, 39.59</t>
  </si>
  <si>
    <t>47.24, 35.34, 17.42</t>
  </si>
  <si>
    <t>48.05, 34.23, 17.72</t>
  </si>
  <si>
    <t>-14.02, 77.37, 36.65</t>
  </si>
  <si>
    <t>48.57, 31.9, 19.53</t>
  </si>
  <si>
    <t>-10.9, 82.4, 28.5</t>
  </si>
  <si>
    <t>-8.03, 77.02, 31.0</t>
  </si>
  <si>
    <t>18.36, 24.77, 56.88</t>
  </si>
  <si>
    <t>35.71, 37.5, 26.79</t>
  </si>
  <si>
    <t>9.49, 30.24, 60.27</t>
  </si>
  <si>
    <t>Market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</si>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</sst>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charset val="1"/>
    </font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0"/>
      <color rgb="FF000000"/>
      <name val="Helvetica Neue"/>
      <charset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87" fontId="0" fillId="0" borderId="0" xfId="0" applyNumberFormat="1"/>
    <xf numFmtId="0" fontId="2" fillId="2" borderId="0" xfId="0" applyFont="1" applyFill="1" applyAlignment="1">
      <alignment wrapText="1"/>
    </xf>
    <xf numFmtId="3" fontId="0" fillId="0" borderId="0" xfId="0" applyNumberFormat="1"/>
    <xf numFmtId="3" fontId="3" fillId="2" borderId="0" xfId="0" applyNumberFormat="1" applyFont="1" applyFill="1" applyAlignment="1">
      <alignment wrapText="1"/>
    </xf>
    <xf numFmtId="3" fontId="3" fillId="2" borderId="0" xfId="0" applyNumberFormat="1" applyFont="1" applyFill="1"/>
    <xf numFmtId="10" fontId="0" fillId="0" borderId="0" xfId="0" applyNumberFormat="1"/>
    <xf numFmtId="0" fontId="2" fillId="2" borderId="0" xfId="0" applyFont="1" applyFill="1"/>
    <xf numFmtId="0" fontId="4" fillId="0" borderId="0" xfId="0" applyFont="1"/>
    <xf numFmtId="10" fontId="4" fillId="0" borderId="0" xfId="0" applyNumberFormat="1" applyFont="1"/>
    <xf numFmtId="4" fontId="5" fillId="0" borderId="0" xfId="0" applyNumberFormat="1" applyFont="1"/>
    <xf numFmtId="4" fontId="4" fillId="0" borderId="0" xfId="0" applyNumberFormat="1" applyFont="1"/>
    <xf numFmtId="187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94" workbookViewId="0">
      <selection activeCell="E99" sqref="E99"/>
    </sheetView>
  </sheetViews>
  <sheetFormatPr defaultRowHeight="15"/>
  <cols>
    <col min="1" max="1" width="11.140625" bestFit="1" customWidth="1"/>
    <col min="3" max="3" width="14.28515625" bestFit="1" customWidth="1"/>
    <col min="4" max="4" width="11.140625" bestFit="1" customWidth="1"/>
    <col min="6" max="6" width="14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60">
      <c r="A2" s="2">
        <v>44377</v>
      </c>
      <c r="B2" s="3" t="s">
        <v>3</v>
      </c>
      <c r="C2" s="3" t="s">
        <v>4</v>
      </c>
      <c r="D2" s="2">
        <v>44399</v>
      </c>
      <c r="E2" s="3" t="s">
        <v>5</v>
      </c>
      <c r="F2" s="3" t="s">
        <v>6</v>
      </c>
    </row>
    <row r="3" spans="1:6">
      <c r="B3" s="4">
        <v>525850</v>
      </c>
      <c r="C3" s="4">
        <v>4149800</v>
      </c>
      <c r="E3" s="4">
        <v>477575</v>
      </c>
      <c r="F3" s="5">
        <v>4340100</v>
      </c>
    </row>
    <row r="5" spans="1:6">
      <c r="A5" s="1" t="s">
        <v>0</v>
      </c>
      <c r="B5" s="1" t="s">
        <v>1</v>
      </c>
      <c r="C5" s="1" t="s">
        <v>2</v>
      </c>
      <c r="D5" s="1" t="s">
        <v>0</v>
      </c>
      <c r="E5" s="1" t="s">
        <v>1</v>
      </c>
      <c r="F5" s="1" t="s">
        <v>2</v>
      </c>
    </row>
    <row r="6" spans="1:6" ht="60">
      <c r="A6" s="2">
        <v>44439</v>
      </c>
      <c r="B6" s="3" t="s">
        <v>7</v>
      </c>
      <c r="C6" s="3" t="s">
        <v>8</v>
      </c>
      <c r="D6" s="2">
        <v>44469</v>
      </c>
      <c r="E6" s="3" t="s">
        <v>9</v>
      </c>
      <c r="F6" s="3" t="s">
        <v>10</v>
      </c>
    </row>
    <row r="7" spans="1:6">
      <c r="B7" s="4">
        <v>559400</v>
      </c>
      <c r="C7" s="5">
        <v>5605350</v>
      </c>
      <c r="E7" s="4">
        <v>554875</v>
      </c>
      <c r="F7" s="5">
        <v>5600700</v>
      </c>
    </row>
    <row r="9" spans="1:6">
      <c r="A9" s="1" t="s">
        <v>0</v>
      </c>
      <c r="B9" s="1" t="s">
        <v>1</v>
      </c>
      <c r="C9" s="1" t="s">
        <v>2</v>
      </c>
      <c r="D9" s="1" t="s">
        <v>0</v>
      </c>
      <c r="E9" s="1" t="s">
        <v>1</v>
      </c>
      <c r="F9" s="1" t="s">
        <v>2</v>
      </c>
    </row>
    <row r="10" spans="1:6" ht="60">
      <c r="A10" s="2">
        <v>44498</v>
      </c>
      <c r="B10" s="3" t="s">
        <v>11</v>
      </c>
      <c r="C10" s="3" t="s">
        <v>12</v>
      </c>
      <c r="D10" s="2">
        <v>44530</v>
      </c>
      <c r="E10" s="3" t="s">
        <v>13</v>
      </c>
      <c r="F10" s="3" t="s">
        <v>14</v>
      </c>
    </row>
    <row r="11" spans="1:6">
      <c r="B11" s="4">
        <v>555875</v>
      </c>
      <c r="C11" s="5">
        <v>5633450</v>
      </c>
      <c r="E11" s="4">
        <v>694175</v>
      </c>
      <c r="F11" s="5">
        <v>6103850</v>
      </c>
    </row>
    <row r="13" spans="1:6">
      <c r="A13" s="1" t="s">
        <v>0</v>
      </c>
      <c r="B13" s="1" t="s">
        <v>1</v>
      </c>
      <c r="C13" s="1" t="s">
        <v>2</v>
      </c>
    </row>
    <row r="14" spans="1:6" ht="60">
      <c r="A14" s="2">
        <v>44560</v>
      </c>
      <c r="B14" s="3" t="s">
        <v>15</v>
      </c>
      <c r="C14" s="3" t="s">
        <v>16</v>
      </c>
    </row>
    <row r="15" spans="1:6">
      <c r="B15" s="6">
        <v>727096</v>
      </c>
      <c r="C15" s="5">
        <v>5307500</v>
      </c>
    </row>
    <row r="17" spans="1:6">
      <c r="A17" s="1" t="s">
        <v>0</v>
      </c>
      <c r="B17" s="1" t="s">
        <v>1</v>
      </c>
      <c r="C17" s="1" t="s">
        <v>2</v>
      </c>
      <c r="D17" s="1" t="s">
        <v>0</v>
      </c>
      <c r="E17" s="1" t="s">
        <v>1</v>
      </c>
      <c r="F17" s="1" t="s">
        <v>2</v>
      </c>
    </row>
    <row r="18" spans="1:6" ht="60">
      <c r="A18" s="2">
        <v>44575</v>
      </c>
      <c r="B18" s="3" t="s">
        <v>17</v>
      </c>
      <c r="C18" s="3" t="s">
        <v>18</v>
      </c>
      <c r="D18" s="2">
        <v>44582</v>
      </c>
      <c r="E18" s="3" t="s">
        <v>19</v>
      </c>
      <c r="F18" s="8" t="s">
        <v>20</v>
      </c>
    </row>
    <row r="19" spans="1:6">
      <c r="A19" s="7"/>
      <c r="B19" s="6">
        <v>82146</v>
      </c>
      <c r="C19" s="5">
        <v>5533100</v>
      </c>
      <c r="D19" s="7"/>
      <c r="E19" s="6">
        <v>94437</v>
      </c>
      <c r="F19" s="5">
        <v>5663600</v>
      </c>
    </row>
    <row r="21" spans="1:6">
      <c r="A21" s="1" t="s">
        <v>0</v>
      </c>
      <c r="B21" s="1" t="s">
        <v>1</v>
      </c>
      <c r="C21" s="1" t="s">
        <v>2</v>
      </c>
      <c r="D21" s="1" t="s">
        <v>0</v>
      </c>
      <c r="E21" s="1" t="s">
        <v>1</v>
      </c>
      <c r="F21" s="1" t="s">
        <v>2</v>
      </c>
    </row>
    <row r="22" spans="1:6" ht="60">
      <c r="A22" s="2">
        <v>44592</v>
      </c>
      <c r="B22" s="3" t="s">
        <v>21</v>
      </c>
      <c r="C22" s="3" t="s">
        <v>22</v>
      </c>
      <c r="D22" s="2">
        <v>44596</v>
      </c>
      <c r="E22" s="3" t="s">
        <v>23</v>
      </c>
      <c r="F22" s="3" t="s">
        <v>24</v>
      </c>
    </row>
    <row r="23" spans="1:6">
      <c r="A23" s="7"/>
      <c r="B23" s="6">
        <v>117000</v>
      </c>
      <c r="C23" s="5">
        <v>5534000</v>
      </c>
      <c r="D23" s="7"/>
      <c r="E23" s="6">
        <v>117000</v>
      </c>
      <c r="F23" s="5">
        <v>5741850</v>
      </c>
    </row>
    <row r="25" spans="1:6">
      <c r="A25" s="1" t="s">
        <v>0</v>
      </c>
      <c r="B25" s="1" t="s">
        <v>1</v>
      </c>
      <c r="C25" s="1" t="s">
        <v>2</v>
      </c>
      <c r="D25" s="1" t="s">
        <v>0</v>
      </c>
      <c r="E25" s="1" t="s">
        <v>1</v>
      </c>
      <c r="F25" s="1" t="s">
        <v>2</v>
      </c>
    </row>
    <row r="26" spans="1:6" ht="45">
      <c r="A26" s="2">
        <v>44603</v>
      </c>
      <c r="B26" s="3" t="s">
        <v>25</v>
      </c>
      <c r="C26" s="3" t="s">
        <v>26</v>
      </c>
      <c r="D26" s="2">
        <v>44610</v>
      </c>
      <c r="E26" s="3" t="s">
        <v>27</v>
      </c>
      <c r="F26" s="3" t="s">
        <v>28</v>
      </c>
    </row>
    <row r="27" spans="1:6">
      <c r="A27" s="7"/>
      <c r="B27" s="6">
        <v>155000</v>
      </c>
      <c r="C27" s="5">
        <v>4876550</v>
      </c>
      <c r="D27" s="7"/>
      <c r="E27" s="6">
        <v>135000</v>
      </c>
      <c r="F27" s="5">
        <v>4874000</v>
      </c>
    </row>
    <row r="29" spans="1:6">
      <c r="A29" s="1" t="s">
        <v>0</v>
      </c>
      <c r="B29" s="1" t="s">
        <v>1</v>
      </c>
      <c r="C29" s="1" t="s">
        <v>2</v>
      </c>
      <c r="D29" s="1" t="s">
        <v>0</v>
      </c>
      <c r="E29" s="1" t="s">
        <v>1</v>
      </c>
      <c r="F29" s="1" t="s">
        <v>2</v>
      </c>
    </row>
    <row r="30" spans="1:6" ht="60">
      <c r="A30" s="2">
        <v>44617</v>
      </c>
      <c r="B30" s="3" t="s">
        <v>29</v>
      </c>
      <c r="C30" s="3" t="s">
        <v>30</v>
      </c>
      <c r="D30" s="2">
        <v>44620</v>
      </c>
      <c r="E30" s="3" t="s">
        <v>31</v>
      </c>
      <c r="F30" s="3" t="s">
        <v>32</v>
      </c>
    </row>
    <row r="31" spans="1:6">
      <c r="A31" s="7"/>
      <c r="B31" s="6">
        <v>23190</v>
      </c>
      <c r="C31" s="5">
        <v>4261275</v>
      </c>
      <c r="D31" s="7"/>
      <c r="E31" s="6">
        <v>35470</v>
      </c>
      <c r="F31" s="5">
        <v>3970075</v>
      </c>
    </row>
    <row r="33" spans="1:6">
      <c r="A33" s="1" t="s">
        <v>0</v>
      </c>
      <c r="B33" s="1" t="s">
        <v>1</v>
      </c>
      <c r="C33" s="1" t="s">
        <v>2</v>
      </c>
      <c r="D33" s="1" t="s">
        <v>0</v>
      </c>
      <c r="E33" s="1" t="s">
        <v>1</v>
      </c>
      <c r="F33" s="1" t="s">
        <v>2</v>
      </c>
    </row>
    <row r="34" spans="1:6" ht="60">
      <c r="A34" s="2">
        <v>44624</v>
      </c>
      <c r="B34" s="3" t="s">
        <v>33</v>
      </c>
      <c r="C34" s="3" t="s">
        <v>34</v>
      </c>
      <c r="D34" s="2">
        <v>44631</v>
      </c>
      <c r="E34" s="3" t="s">
        <v>35</v>
      </c>
      <c r="F34" s="3" t="s">
        <v>36</v>
      </c>
    </row>
    <row r="35" spans="1:6">
      <c r="A35" s="7"/>
      <c r="B35" s="6">
        <v>23000</v>
      </c>
      <c r="C35" s="5">
        <v>3690000</v>
      </c>
      <c r="D35" s="7"/>
      <c r="E35" s="6">
        <v>43000</v>
      </c>
      <c r="F35" s="5">
        <v>3803500</v>
      </c>
    </row>
    <row r="37" spans="1:6">
      <c r="A37" s="1" t="s">
        <v>0</v>
      </c>
      <c r="B37" s="1" t="s">
        <v>1</v>
      </c>
      <c r="C37" s="1" t="s">
        <v>2</v>
      </c>
      <c r="D37" s="1" t="s">
        <v>0</v>
      </c>
      <c r="E37" s="1" t="s">
        <v>1</v>
      </c>
      <c r="F37" s="1" t="s">
        <v>2</v>
      </c>
    </row>
    <row r="38" spans="1:6" ht="60">
      <c r="A38" s="2">
        <v>44638</v>
      </c>
      <c r="B38" s="3" t="s">
        <v>35</v>
      </c>
      <c r="C38" s="3" t="s">
        <v>37</v>
      </c>
      <c r="D38" s="2">
        <v>44659</v>
      </c>
      <c r="E38" s="3" t="s">
        <v>38</v>
      </c>
      <c r="F38" s="3" t="s">
        <v>39</v>
      </c>
    </row>
    <row r="39" spans="1:6">
      <c r="A39" s="7"/>
      <c r="B39" s="6">
        <v>43000</v>
      </c>
      <c r="C39" s="5">
        <v>4063000</v>
      </c>
      <c r="D39" s="7"/>
      <c r="E39" s="6">
        <v>71000</v>
      </c>
      <c r="F39" s="5">
        <v>4070000</v>
      </c>
    </row>
    <row r="41" spans="1:6">
      <c r="A41" s="1" t="s">
        <v>0</v>
      </c>
      <c r="B41" s="1" t="s">
        <v>1</v>
      </c>
      <c r="C41" s="1" t="s">
        <v>2</v>
      </c>
      <c r="D41" s="1" t="s">
        <v>0</v>
      </c>
      <c r="E41" s="1" t="s">
        <v>1</v>
      </c>
      <c r="F41" s="1" t="s">
        <v>2</v>
      </c>
    </row>
    <row r="42" spans="1:6" ht="45">
      <c r="A42" s="2">
        <v>44666</v>
      </c>
      <c r="B42" s="3" t="s">
        <v>38</v>
      </c>
      <c r="C42" s="3" t="s">
        <v>40</v>
      </c>
      <c r="D42" s="2">
        <v>44673</v>
      </c>
      <c r="E42" s="3" t="s">
        <v>41</v>
      </c>
      <c r="F42" s="3" t="s">
        <v>42</v>
      </c>
    </row>
    <row r="43" spans="1:6">
      <c r="A43" s="7"/>
      <c r="B43" s="6">
        <v>71000</v>
      </c>
      <c r="C43" s="5">
        <v>4128000</v>
      </c>
      <c r="D43" s="7"/>
      <c r="E43" s="6">
        <v>69000</v>
      </c>
      <c r="F43" s="5">
        <v>4073250</v>
      </c>
    </row>
    <row r="45" spans="1:6">
      <c r="A45" s="1" t="s">
        <v>0</v>
      </c>
      <c r="B45" s="1" t="s">
        <v>1</v>
      </c>
      <c r="C45" s="1" t="s">
        <v>2</v>
      </c>
      <c r="D45" s="1" t="s">
        <v>0</v>
      </c>
      <c r="E45" s="1" t="s">
        <v>1</v>
      </c>
      <c r="F45" s="1" t="s">
        <v>2</v>
      </c>
    </row>
    <row r="46" spans="1:6" ht="45">
      <c r="A46" s="2">
        <v>44687</v>
      </c>
      <c r="B46" s="3" t="s">
        <v>43</v>
      </c>
      <c r="C46" s="3" t="s">
        <v>44</v>
      </c>
      <c r="D46" s="2">
        <v>44701</v>
      </c>
      <c r="E46" s="3" t="s">
        <v>45</v>
      </c>
      <c r="F46" s="3" t="s">
        <v>46</v>
      </c>
    </row>
    <row r="47" spans="1:6">
      <c r="A47" s="7"/>
      <c r="B47" s="6">
        <v>34500</v>
      </c>
      <c r="C47" s="5">
        <v>3710550</v>
      </c>
      <c r="D47" s="7"/>
      <c r="E47" s="6">
        <v>18000</v>
      </c>
      <c r="F47" s="5">
        <v>4025050</v>
      </c>
    </row>
    <row r="49" spans="1:6">
      <c r="A49" s="1" t="s">
        <v>0</v>
      </c>
      <c r="B49" s="1" t="s">
        <v>1</v>
      </c>
      <c r="C49" s="1" t="s">
        <v>2</v>
      </c>
      <c r="D49" s="1" t="s">
        <v>0</v>
      </c>
      <c r="E49" s="1" t="s">
        <v>1</v>
      </c>
      <c r="F49" s="1" t="s">
        <v>2</v>
      </c>
    </row>
    <row r="50" spans="1:6" ht="45">
      <c r="A50" s="2">
        <v>44708</v>
      </c>
      <c r="B50" s="3" t="s">
        <v>47</v>
      </c>
      <c r="C50" s="3" t="s">
        <v>48</v>
      </c>
      <c r="D50" s="2">
        <v>44714</v>
      </c>
      <c r="E50" s="3" t="s">
        <v>49</v>
      </c>
      <c r="F50" s="3" t="s">
        <v>50</v>
      </c>
    </row>
    <row r="51" spans="1:6">
      <c r="A51" s="7"/>
      <c r="B51" s="6">
        <v>26000</v>
      </c>
      <c r="C51" s="5">
        <v>4038550</v>
      </c>
      <c r="D51" s="7"/>
      <c r="E51" s="6">
        <v>27000</v>
      </c>
      <c r="F51" s="5">
        <v>4144150</v>
      </c>
    </row>
    <row r="53" spans="1:6">
      <c r="A53" s="1" t="s">
        <v>0</v>
      </c>
      <c r="B53" s="1" t="s">
        <v>1</v>
      </c>
      <c r="C53" s="1" t="s">
        <v>2</v>
      </c>
      <c r="D53" s="1" t="s">
        <v>0</v>
      </c>
      <c r="E53" s="1" t="s">
        <v>1</v>
      </c>
      <c r="F53" s="1" t="s">
        <v>2</v>
      </c>
    </row>
    <row r="54" spans="1:6" ht="45">
      <c r="A54" s="2">
        <v>44722</v>
      </c>
      <c r="B54" s="3" t="s">
        <v>51</v>
      </c>
      <c r="C54" s="3" t="s">
        <v>52</v>
      </c>
      <c r="D54" s="2">
        <v>44736</v>
      </c>
      <c r="E54" s="3" t="s">
        <v>53</v>
      </c>
      <c r="F54" s="3" t="s">
        <v>54</v>
      </c>
    </row>
    <row r="55" spans="1:6">
      <c r="A55" s="7"/>
      <c r="B55" s="6">
        <v>24000</v>
      </c>
      <c r="C55" s="5">
        <v>4205400</v>
      </c>
      <c r="D55" s="7"/>
      <c r="E55" s="6">
        <v>18000</v>
      </c>
      <c r="F55" s="5">
        <v>4164450</v>
      </c>
    </row>
    <row r="57" spans="1:6">
      <c r="A57" s="1" t="s">
        <v>0</v>
      </c>
      <c r="B57" s="1" t="s">
        <v>1</v>
      </c>
      <c r="C57" s="1" t="s">
        <v>2</v>
      </c>
      <c r="D57" s="1" t="s">
        <v>0</v>
      </c>
      <c r="E57" s="1" t="s">
        <v>1</v>
      </c>
      <c r="F57" s="1" t="s">
        <v>2</v>
      </c>
    </row>
    <row r="58" spans="1:6" ht="60">
      <c r="A58" s="2">
        <v>44750</v>
      </c>
      <c r="B58" s="3" t="s">
        <v>55</v>
      </c>
      <c r="C58" s="3" t="s">
        <v>54</v>
      </c>
      <c r="D58" s="2">
        <v>44764</v>
      </c>
      <c r="E58" s="3" t="s">
        <v>56</v>
      </c>
      <c r="F58" s="3" t="s">
        <v>54</v>
      </c>
    </row>
    <row r="59" spans="1:6">
      <c r="A59" s="7"/>
      <c r="B59" s="6">
        <v>8000</v>
      </c>
      <c r="C59" s="5">
        <v>4164450</v>
      </c>
      <c r="D59" s="7"/>
      <c r="E59" s="6">
        <v>-900</v>
      </c>
      <c r="F59" s="5">
        <v>4164450</v>
      </c>
    </row>
    <row r="61" spans="1:6">
      <c r="A61" s="1" t="s">
        <v>0</v>
      </c>
      <c r="B61" s="1" t="s">
        <v>1</v>
      </c>
      <c r="C61" s="1" t="s">
        <v>2</v>
      </c>
      <c r="D61" s="1" t="s">
        <v>0</v>
      </c>
      <c r="E61" s="1" t="s">
        <v>1</v>
      </c>
      <c r="F61" s="1" t="s">
        <v>2</v>
      </c>
    </row>
    <row r="62" spans="1:6" ht="60">
      <c r="A62" s="2">
        <v>44792</v>
      </c>
      <c r="B62" s="3" t="s">
        <v>57</v>
      </c>
      <c r="C62" s="3" t="s">
        <v>58</v>
      </c>
      <c r="D62" s="2">
        <v>44799</v>
      </c>
      <c r="E62" s="3" t="s">
        <v>59</v>
      </c>
      <c r="F62" s="3" t="s">
        <v>60</v>
      </c>
    </row>
    <row r="63" spans="1:6">
      <c r="A63" s="7"/>
      <c r="B63" s="6">
        <v>-44000</v>
      </c>
      <c r="C63" s="5">
        <v>3819100</v>
      </c>
      <c r="D63" s="7"/>
      <c r="E63" s="6">
        <v>3600</v>
      </c>
      <c r="F63" s="5">
        <v>3646600</v>
      </c>
    </row>
    <row r="65" spans="1:6">
      <c r="A65" s="1" t="s">
        <v>0</v>
      </c>
      <c r="B65" s="1" t="s">
        <v>1</v>
      </c>
      <c r="C65" s="1" t="s">
        <v>2</v>
      </c>
      <c r="D65" s="1" t="s">
        <v>0</v>
      </c>
      <c r="E65" s="1" t="s">
        <v>1</v>
      </c>
      <c r="F65" s="1" t="s">
        <v>2</v>
      </c>
    </row>
    <row r="66" spans="1:6" ht="60">
      <c r="A66" s="2">
        <v>44804</v>
      </c>
      <c r="B66" s="3" t="s">
        <v>59</v>
      </c>
      <c r="C66" s="3" t="s">
        <v>61</v>
      </c>
      <c r="D66" s="2">
        <v>44806</v>
      </c>
      <c r="E66" s="3" t="s">
        <v>62</v>
      </c>
      <c r="F66" s="3" t="s">
        <v>61</v>
      </c>
    </row>
    <row r="67" spans="1:6">
      <c r="A67" s="7"/>
      <c r="B67" s="6">
        <v>3600</v>
      </c>
      <c r="C67" s="5">
        <v>3752200</v>
      </c>
      <c r="D67" s="7"/>
      <c r="E67" s="6">
        <v>4900</v>
      </c>
      <c r="F67" s="5">
        <v>3752200</v>
      </c>
    </row>
    <row r="69" spans="1:6">
      <c r="A69" s="1" t="s">
        <v>0</v>
      </c>
      <c r="B69" s="1" t="s">
        <v>1</v>
      </c>
      <c r="C69" s="1" t="s">
        <v>2</v>
      </c>
      <c r="D69" s="1" t="s">
        <v>0</v>
      </c>
      <c r="E69" s="1" t="s">
        <v>1</v>
      </c>
      <c r="F69" s="1" t="s">
        <v>2</v>
      </c>
    </row>
    <row r="70" spans="1:6" ht="60">
      <c r="A70" s="2">
        <v>44813</v>
      </c>
      <c r="B70" s="3" t="s">
        <v>63</v>
      </c>
      <c r="C70" s="3" t="s">
        <v>64</v>
      </c>
      <c r="D70" s="2">
        <v>44820</v>
      </c>
      <c r="E70" s="3" t="s">
        <v>65</v>
      </c>
      <c r="F70" s="3" t="s">
        <v>61</v>
      </c>
    </row>
    <row r="71" spans="1:6">
      <c r="A71" s="7"/>
      <c r="B71" s="6">
        <v>8700</v>
      </c>
      <c r="C71" s="5">
        <v>3857200</v>
      </c>
      <c r="D71" s="7"/>
      <c r="E71" s="6">
        <v>12000</v>
      </c>
      <c r="F71" s="5">
        <v>3752200</v>
      </c>
    </row>
    <row r="73" spans="1:6">
      <c r="A73" s="1" t="s">
        <v>0</v>
      </c>
      <c r="B73" s="1" t="s">
        <v>1</v>
      </c>
      <c r="C73" s="1" t="s">
        <v>2</v>
      </c>
      <c r="D73" s="1" t="s">
        <v>0</v>
      </c>
      <c r="E73" s="1" t="s">
        <v>1</v>
      </c>
      <c r="F73" s="1" t="s">
        <v>2</v>
      </c>
    </row>
    <row r="74" spans="1:6" ht="60">
      <c r="A74" s="2">
        <v>44827</v>
      </c>
      <c r="B74" s="3" t="s">
        <v>65</v>
      </c>
      <c r="C74" s="3" t="s">
        <v>61</v>
      </c>
      <c r="D74" s="2">
        <v>44834</v>
      </c>
      <c r="E74" s="3" t="s">
        <v>65</v>
      </c>
      <c r="F74" s="3" t="s">
        <v>66</v>
      </c>
    </row>
    <row r="75" spans="1:6">
      <c r="A75" s="7"/>
      <c r="B75" s="6">
        <v>12000</v>
      </c>
      <c r="C75" s="5">
        <v>3752200</v>
      </c>
      <c r="D75" s="7"/>
      <c r="E75" s="6">
        <v>12000</v>
      </c>
      <c r="F75" s="5">
        <v>3918700</v>
      </c>
    </row>
    <row r="77" spans="1:6">
      <c r="A77" s="1" t="s">
        <v>0</v>
      </c>
      <c r="B77" s="1" t="s">
        <v>1</v>
      </c>
      <c r="C77" s="1" t="s">
        <v>2</v>
      </c>
      <c r="D77" s="1" t="s">
        <v>0</v>
      </c>
      <c r="E77" s="1" t="s">
        <v>1</v>
      </c>
      <c r="F77" s="1" t="s">
        <v>2</v>
      </c>
    </row>
    <row r="78" spans="1:6" ht="60">
      <c r="A78" s="2">
        <v>44841</v>
      </c>
      <c r="B78" s="3" t="s">
        <v>67</v>
      </c>
      <c r="C78" s="3" t="s">
        <v>61</v>
      </c>
      <c r="D78" s="2">
        <v>44846</v>
      </c>
      <c r="E78" s="3" t="s">
        <v>67</v>
      </c>
      <c r="F78" s="3" t="s">
        <v>61</v>
      </c>
    </row>
    <row r="79" spans="1:6">
      <c r="A79" s="7"/>
      <c r="B79" s="6">
        <v>1000</v>
      </c>
      <c r="C79" s="5">
        <v>3752200</v>
      </c>
      <c r="D79" s="7"/>
      <c r="E79" s="6">
        <v>1000</v>
      </c>
      <c r="F79" s="5">
        <v>3752200</v>
      </c>
    </row>
    <row r="81" spans="1:6">
      <c r="A81" s="1" t="s">
        <v>0</v>
      </c>
      <c r="B81" s="1" t="s">
        <v>1</v>
      </c>
      <c r="C81" s="1" t="s">
        <v>2</v>
      </c>
      <c r="D81" s="1" t="s">
        <v>0</v>
      </c>
      <c r="E81" s="1" t="s">
        <v>1</v>
      </c>
      <c r="F81" s="1" t="s">
        <v>2</v>
      </c>
    </row>
    <row r="82" spans="1:6" ht="60">
      <c r="A82" s="2">
        <v>44865</v>
      </c>
      <c r="B82" s="3" t="s">
        <v>68</v>
      </c>
      <c r="C82" s="3" t="s">
        <v>69</v>
      </c>
      <c r="D82" s="2">
        <v>44876</v>
      </c>
      <c r="E82" s="3" t="s">
        <v>70</v>
      </c>
      <c r="F82" s="3" t="s">
        <v>71</v>
      </c>
    </row>
    <row r="83" spans="1:6">
      <c r="A83" s="7"/>
      <c r="B83" s="6">
        <v>-40500</v>
      </c>
      <c r="C83" s="5">
        <v>3620950</v>
      </c>
      <c r="D83" s="7"/>
      <c r="E83" s="6">
        <v>-103000</v>
      </c>
      <c r="F83" s="5">
        <v>2942550</v>
      </c>
    </row>
    <row r="85" spans="1:6">
      <c r="A85" s="1" t="s">
        <v>0</v>
      </c>
      <c r="B85" s="1" t="s">
        <v>1</v>
      </c>
      <c r="C85" s="1" t="s">
        <v>2</v>
      </c>
      <c r="D85" s="1" t="s">
        <v>0</v>
      </c>
      <c r="E85" s="1" t="s">
        <v>1</v>
      </c>
      <c r="F85" s="1" t="s">
        <v>2</v>
      </c>
    </row>
    <row r="86" spans="1:6" ht="60">
      <c r="A86" s="2">
        <v>44883</v>
      </c>
      <c r="B86" s="3" t="s">
        <v>72</v>
      </c>
      <c r="C86" s="3" t="s">
        <v>73</v>
      </c>
      <c r="D86" s="2">
        <v>44890</v>
      </c>
      <c r="E86" s="3" t="s">
        <v>74</v>
      </c>
      <c r="F86" s="3" t="s">
        <v>75</v>
      </c>
    </row>
    <row r="87" spans="1:6">
      <c r="A87" s="7"/>
      <c r="B87" s="6">
        <v>-119000</v>
      </c>
      <c r="C87" s="5">
        <v>2998950</v>
      </c>
      <c r="D87" s="7"/>
      <c r="E87" s="6">
        <v>-129000</v>
      </c>
      <c r="F87" s="5">
        <v>2893950</v>
      </c>
    </row>
    <row r="89" spans="1:6">
      <c r="A89" s="1" t="s">
        <v>0</v>
      </c>
      <c r="B89" s="1" t="s">
        <v>1</v>
      </c>
      <c r="C89" s="1" t="s">
        <v>2</v>
      </c>
      <c r="D89" s="1" t="s">
        <v>0</v>
      </c>
      <c r="E89" s="1" t="s">
        <v>1</v>
      </c>
      <c r="F89" s="1" t="s">
        <v>2</v>
      </c>
    </row>
    <row r="90" spans="1:6" ht="60">
      <c r="A90" s="2">
        <v>44897</v>
      </c>
      <c r="B90" s="3" t="s">
        <v>74</v>
      </c>
      <c r="C90" s="3" t="s">
        <v>75</v>
      </c>
      <c r="D90" s="2">
        <v>44904</v>
      </c>
      <c r="E90" s="3" t="s">
        <v>74</v>
      </c>
      <c r="F90" s="3" t="s">
        <v>76</v>
      </c>
    </row>
    <row r="91" spans="1:6">
      <c r="A91" s="7"/>
      <c r="B91" s="6">
        <v>-129000</v>
      </c>
      <c r="C91" s="5">
        <v>2893950</v>
      </c>
      <c r="D91" s="7"/>
      <c r="E91" s="6">
        <v>-129000</v>
      </c>
      <c r="F91" s="5">
        <v>2845350</v>
      </c>
    </row>
    <row r="93" spans="1:6">
      <c r="A93" s="1" t="s">
        <v>0</v>
      </c>
      <c r="B93" s="1" t="s">
        <v>1</v>
      </c>
      <c r="C93" s="1" t="s">
        <v>2</v>
      </c>
      <c r="D93" s="1" t="s">
        <v>0</v>
      </c>
      <c r="E93" s="1" t="s">
        <v>1</v>
      </c>
      <c r="F93" s="1" t="s">
        <v>2</v>
      </c>
    </row>
    <row r="94" spans="1:6" ht="60">
      <c r="A94" s="2">
        <v>44918</v>
      </c>
      <c r="B94" s="3" t="s">
        <v>77</v>
      </c>
      <c r="C94" s="3" t="s">
        <v>78</v>
      </c>
      <c r="D94" s="2">
        <v>44918</v>
      </c>
      <c r="E94" s="3" t="s">
        <v>79</v>
      </c>
      <c r="F94" s="3" t="s">
        <v>78</v>
      </c>
    </row>
    <row r="95" spans="1:6">
      <c r="A95" s="7"/>
      <c r="B95" s="6">
        <v>-136000</v>
      </c>
      <c r="C95" s="5">
        <v>3016350</v>
      </c>
      <c r="D95" s="7"/>
      <c r="E95" s="6">
        <v>-161000</v>
      </c>
      <c r="F95" s="5">
        <v>3061500</v>
      </c>
    </row>
    <row r="97" spans="1:6">
      <c r="A97" s="1" t="s">
        <v>0</v>
      </c>
      <c r="B97" s="1" t="s">
        <v>1</v>
      </c>
      <c r="C97" s="1" t="s">
        <v>2</v>
      </c>
      <c r="D97" s="1" t="s">
        <v>0</v>
      </c>
      <c r="E97" s="1" t="s">
        <v>1</v>
      </c>
      <c r="F97" s="1" t="s">
        <v>2</v>
      </c>
    </row>
    <row r="98" spans="1:6" ht="45">
      <c r="A98" s="2">
        <v>44925</v>
      </c>
      <c r="B98" s="3" t="s">
        <v>80</v>
      </c>
      <c r="C98" s="3" t="s">
        <v>81</v>
      </c>
      <c r="D98" s="2">
        <v>44939</v>
      </c>
      <c r="E98" s="3" t="s">
        <v>82</v>
      </c>
      <c r="F98" s="3" t="s">
        <v>83</v>
      </c>
    </row>
    <row r="99" spans="1:6">
      <c r="A99" s="7"/>
      <c r="B99" s="6">
        <v>-201413.37</v>
      </c>
      <c r="C99" s="16">
        <v>11103750</v>
      </c>
      <c r="D99" s="7"/>
      <c r="E99" s="6">
        <v>15000</v>
      </c>
      <c r="F99" s="16">
        <v>11037600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CBCB-3344-43F6-9D2A-BD9A74C7367A}">
  <dimension ref="A1:F146"/>
  <sheetViews>
    <sheetView topLeftCell="A6" workbookViewId="0">
      <selection activeCell="H19" sqref="H19"/>
    </sheetView>
  </sheetViews>
  <sheetFormatPr defaultRowHeight="15"/>
  <cols>
    <col min="1" max="1" width="11.140625" style="9" bestFit="1" customWidth="1"/>
    <col min="2" max="2" width="13.5703125" style="9" customWidth="1"/>
    <col min="3" max="3" width="9.140625" style="10"/>
    <col min="4" max="4" width="11.140625" style="9" bestFit="1" customWidth="1"/>
    <col min="5" max="5" width="13.7109375" style="9" bestFit="1" customWidth="1"/>
    <col min="6" max="16384" width="9.140625" style="9"/>
  </cols>
  <sheetData>
    <row r="1" spans="1:6" ht="12.75">
      <c r="A1" s="13">
        <v>44883</v>
      </c>
      <c r="B1" s="14" t="s">
        <v>84</v>
      </c>
      <c r="C1" s="15"/>
      <c r="D1" s="13">
        <v>44890</v>
      </c>
      <c r="E1" s="14" t="s">
        <v>84</v>
      </c>
      <c r="F1" s="15"/>
    </row>
    <row r="2" spans="1:6" ht="12.75">
      <c r="A2" s="9">
        <v>1</v>
      </c>
      <c r="B2" s="11">
        <v>1904100</v>
      </c>
      <c r="C2" s="10">
        <f>B2/B6</f>
        <v>0.21758059429292306</v>
      </c>
      <c r="D2" s="9">
        <v>1</v>
      </c>
      <c r="E2" s="11">
        <v>1889200</v>
      </c>
      <c r="F2" s="10">
        <f>E2/E6</f>
        <v>0.22065698362650898</v>
      </c>
    </row>
    <row r="3" spans="1:6" ht="12.75">
      <c r="A3" s="9">
        <v>2</v>
      </c>
      <c r="B3" s="11">
        <v>4488900</v>
      </c>
      <c r="C3" s="10">
        <f>B3/B6</f>
        <v>0.51294445130061572</v>
      </c>
      <c r="D3" s="9">
        <v>2</v>
      </c>
      <c r="E3" s="11">
        <v>4492100</v>
      </c>
      <c r="F3" s="10">
        <f>E3/E6</f>
        <v>0.52467353173228926</v>
      </c>
    </row>
    <row r="4" spans="1:6" ht="12.75">
      <c r="A4" s="9">
        <v>3</v>
      </c>
      <c r="B4" s="11">
        <v>2085600</v>
      </c>
      <c r="C4" s="10">
        <f>B4/B6</f>
        <v>0.23832051229311504</v>
      </c>
      <c r="D4" s="9">
        <v>3</v>
      </c>
      <c r="E4" s="11">
        <v>1912925</v>
      </c>
      <c r="F4" s="10">
        <f>E4/E6</f>
        <v>0.22342804383005488</v>
      </c>
    </row>
    <row r="5" spans="1:6" ht="12.75">
      <c r="A5" s="9">
        <v>4</v>
      </c>
      <c r="B5" s="11">
        <v>272640</v>
      </c>
      <c r="C5" s="10">
        <f>B5/B6</f>
        <v>3.1154442113346222E-2</v>
      </c>
      <c r="D5" s="9">
        <v>4</v>
      </c>
      <c r="E5" s="11">
        <v>267480</v>
      </c>
      <c r="F5" s="10">
        <f>E5/E6</f>
        <v>3.1241440811146846E-2</v>
      </c>
    </row>
    <row r="6" spans="1:6">
      <c r="B6" s="12">
        <f>SUM(B2:B5)</f>
        <v>8751240</v>
      </c>
      <c r="E6" s="12">
        <f>SUM(E2:E5)</f>
        <v>8561705</v>
      </c>
      <c r="F6" s="10"/>
    </row>
    <row r="8" spans="1:6" ht="12.75">
      <c r="A8" s="13">
        <v>44897</v>
      </c>
      <c r="B8" s="14" t="s">
        <v>84</v>
      </c>
      <c r="C8" s="15"/>
      <c r="D8" s="13">
        <v>44904</v>
      </c>
      <c r="E8" s="14" t="s">
        <v>84</v>
      </c>
      <c r="F8" s="15"/>
    </row>
    <row r="9" spans="1:6" ht="12.75">
      <c r="A9" s="9">
        <v>1</v>
      </c>
      <c r="B9" s="11">
        <v>1903500</v>
      </c>
      <c r="C9" s="10">
        <f>B9/B13</f>
        <v>0.21760503000857387</v>
      </c>
      <c r="D9" s="9">
        <v>1</v>
      </c>
      <c r="E9" s="11">
        <v>1884250</v>
      </c>
      <c r="F9" s="10">
        <f>E9/E13</f>
        <v>0.21758259015950476</v>
      </c>
    </row>
    <row r="10" spans="1:6" ht="12.75">
      <c r="A10" s="9">
        <v>2</v>
      </c>
      <c r="B10" s="11">
        <v>4581000</v>
      </c>
      <c r="C10" s="10">
        <f>B10/B13</f>
        <v>0.52369248356673337</v>
      </c>
      <c r="D10" s="9">
        <v>2</v>
      </c>
      <c r="E10" s="11">
        <v>4549000</v>
      </c>
      <c r="F10" s="10">
        <f>E10/E13</f>
        <v>0.52529292961952345</v>
      </c>
    </row>
    <row r="11" spans="1:6" ht="12.75">
      <c r="A11" s="9">
        <v>3</v>
      </c>
      <c r="B11" s="11">
        <v>1995400</v>
      </c>
      <c r="C11" s="10">
        <f>B11/B13</f>
        <v>0.22811088882537867</v>
      </c>
      <c r="D11" s="9">
        <v>3</v>
      </c>
      <c r="E11" s="11">
        <v>1992200</v>
      </c>
      <c r="F11" s="10">
        <f>E11/E13</f>
        <v>0.23004804888723118</v>
      </c>
    </row>
    <row r="12" spans="1:6" ht="12.75">
      <c r="A12" s="9">
        <v>4</v>
      </c>
      <c r="B12" s="11">
        <v>267600</v>
      </c>
      <c r="C12" s="10">
        <f>B12/B13</f>
        <v>3.059159759931409E-2</v>
      </c>
      <c r="D12" s="9">
        <v>4</v>
      </c>
      <c r="E12" s="11">
        <v>234480</v>
      </c>
      <c r="F12" s="10">
        <f>E12/E13</f>
        <v>2.7076431333740571E-2</v>
      </c>
    </row>
    <row r="13" spans="1:6">
      <c r="B13" s="12">
        <f>SUM(B9:B12)</f>
        <v>8747500</v>
      </c>
      <c r="E13" s="12">
        <f>SUM(E9:E12)</f>
        <v>8659930</v>
      </c>
      <c r="F13" s="10"/>
    </row>
    <row r="15" spans="1:6" ht="12.75">
      <c r="A15" s="13">
        <v>44918</v>
      </c>
      <c r="B15" s="14" t="s">
        <v>84</v>
      </c>
      <c r="D15" s="13">
        <v>44925</v>
      </c>
      <c r="E15" s="14" t="s">
        <v>85</v>
      </c>
      <c r="F15" s="10"/>
    </row>
    <row r="16" spans="1:6" ht="12.75">
      <c r="A16" s="9">
        <v>1</v>
      </c>
      <c r="B16" s="11">
        <v>1906250</v>
      </c>
      <c r="C16" s="10">
        <f>B16/B20</f>
        <v>0.21391139439369797</v>
      </c>
      <c r="D16" s="9">
        <v>2</v>
      </c>
      <c r="E16" s="11">
        <v>4654600</v>
      </c>
      <c r="F16" s="10">
        <f>E16/E20</f>
        <v>0.52463931469792602</v>
      </c>
    </row>
    <row r="17" spans="1:6" ht="12.75">
      <c r="A17" s="9">
        <v>2</v>
      </c>
      <c r="B17" s="11">
        <v>4617800</v>
      </c>
      <c r="C17" s="10">
        <f>B17/B20</f>
        <v>0.51819018336063916</v>
      </c>
      <c r="D17" s="9">
        <v>3</v>
      </c>
      <c r="E17" s="11">
        <v>2229000</v>
      </c>
      <c r="F17" s="10">
        <f>E17/E20</f>
        <v>0.25123985572587915</v>
      </c>
    </row>
    <row r="18" spans="1:6" ht="12.75">
      <c r="A18" s="9">
        <v>3</v>
      </c>
      <c r="B18" s="11">
        <v>2186950</v>
      </c>
      <c r="C18" s="10">
        <f>B18/B20</f>
        <v>0.24541037322979553</v>
      </c>
      <c r="D18" s="9">
        <v>1</v>
      </c>
      <c r="E18" s="11">
        <v>1783200</v>
      </c>
      <c r="F18" s="10">
        <f>E18/E20</f>
        <v>0.20099188458070333</v>
      </c>
    </row>
    <row r="19" spans="1:6" ht="12.75">
      <c r="A19" s="9">
        <v>4</v>
      </c>
      <c r="B19" s="11">
        <v>200400</v>
      </c>
      <c r="C19" s="10">
        <f>B19/B20</f>
        <v>2.2488049015867317E-2</v>
      </c>
      <c r="D19" s="9">
        <v>4</v>
      </c>
      <c r="E19" s="11">
        <v>205200</v>
      </c>
      <c r="F19" s="10">
        <f>E19/E20</f>
        <v>2.3128944995491434E-2</v>
      </c>
    </row>
    <row r="20" spans="1:6">
      <c r="B20" s="12">
        <f>SUM(B16:B19)</f>
        <v>8911400</v>
      </c>
      <c r="E20" s="12">
        <f>SUM(E16:E19)</f>
        <v>8872000</v>
      </c>
      <c r="F20" s="10"/>
    </row>
    <row r="21" spans="1:6" ht="12.75"/>
    <row r="22" spans="1:6" ht="12.75">
      <c r="A22" s="13">
        <v>44939</v>
      </c>
      <c r="B22" s="14" t="s">
        <v>85</v>
      </c>
    </row>
    <row r="23" spans="1:6" ht="12.75">
      <c r="A23" s="9">
        <v>2</v>
      </c>
      <c r="B23" s="11">
        <v>4732500</v>
      </c>
      <c r="C23" s="10">
        <f>B23/B27</f>
        <v>0.52132101036583356</v>
      </c>
    </row>
    <row r="24" spans="1:6" ht="12.75">
      <c r="A24" s="9">
        <v>3</v>
      </c>
      <c r="B24" s="11">
        <v>2113100</v>
      </c>
      <c r="C24" s="10">
        <f>B24/B27</f>
        <v>0.23277409973672325</v>
      </c>
    </row>
    <row r="25" spans="1:6" ht="12.75">
      <c r="A25" s="9">
        <v>1</v>
      </c>
      <c r="B25" s="11">
        <v>1869300</v>
      </c>
      <c r="C25" s="10">
        <f>B25/B27</f>
        <v>0.20591766818317012</v>
      </c>
    </row>
    <row r="26" spans="1:6" ht="12.75">
      <c r="A26" s="9">
        <v>4</v>
      </c>
      <c r="B26" s="11">
        <v>363000</v>
      </c>
      <c r="C26" s="10">
        <f>B26/B27</f>
        <v>3.9987221714273123E-2</v>
      </c>
    </row>
    <row r="27" spans="1:6" ht="12.75">
      <c r="B27" s="12">
        <f>SUM(B23:B26)</f>
        <v>9077900</v>
      </c>
    </row>
    <row r="28" spans="1:6" ht="12.75"/>
    <row r="29" spans="1:6" ht="12.75"/>
    <row r="30" spans="1:6" ht="12.75"/>
    <row r="31" spans="1:6" ht="12.75"/>
    <row r="34" ht="12.75"/>
    <row r="35" ht="12.75"/>
    <row r="36" ht="12.75"/>
    <row r="37" ht="12.75"/>
    <row r="38" ht="12.75"/>
    <row r="41" ht="12.75"/>
    <row r="42" ht="12.75"/>
    <row r="43" ht="12.75"/>
    <row r="44" ht="12.75"/>
    <row r="45" ht="12.75"/>
    <row r="48" ht="12.75"/>
    <row r="49" ht="12.75"/>
    <row r="50" ht="12.75"/>
    <row r="51" ht="12.75"/>
    <row r="52" ht="12.75"/>
    <row r="55" ht="12.75"/>
    <row r="56" ht="12.75"/>
    <row r="57" ht="12.75"/>
    <row r="58" ht="12.75"/>
    <row r="59" ht="12.75"/>
    <row r="62" ht="12.75"/>
    <row r="63" ht="12.75"/>
    <row r="64" ht="12.75"/>
    <row r="65" ht="12.75"/>
    <row r="66" ht="12.75"/>
    <row r="69" ht="12.75"/>
    <row r="70" ht="12.75"/>
    <row r="71" ht="12.75"/>
    <row r="72" ht="12.75"/>
    <row r="73" ht="12.75"/>
    <row r="76" ht="12.75"/>
    <row r="77" ht="12.75"/>
    <row r="78" ht="12.75"/>
    <row r="79" ht="12.75"/>
    <row r="80" ht="12.75"/>
    <row r="83" ht="12.75"/>
    <row r="84" ht="12.75"/>
    <row r="85" ht="12.75"/>
    <row r="86" ht="12.75"/>
    <row r="87" ht="12.75"/>
    <row r="90" ht="12.75"/>
    <row r="91" ht="12.75"/>
    <row r="92" ht="12.75"/>
    <row r="93" ht="12.75"/>
    <row r="94" ht="12.75"/>
    <row r="97" ht="12.75"/>
    <row r="98" ht="12.75"/>
    <row r="99" ht="12.75"/>
    <row r="100" ht="12.75"/>
    <row r="101" ht="12.75"/>
    <row r="104" ht="12.75"/>
    <row r="105" ht="12.75"/>
    <row r="106" ht="12.75"/>
    <row r="107" ht="12.75"/>
    <row r="108" ht="12.75"/>
    <row r="111" ht="12.75"/>
    <row r="112" ht="12.75"/>
    <row r="113" ht="12.75"/>
    <row r="114" ht="12.75"/>
    <row r="115" ht="12.75"/>
    <row r="118" ht="12.75"/>
    <row r="119" ht="12.75"/>
    <row r="120" ht="12.75"/>
    <row r="121" ht="12.75"/>
    <row r="122" ht="12.75"/>
    <row r="125" ht="12.75"/>
    <row r="126" ht="12.75"/>
    <row r="127" ht="12.75"/>
    <row r="128" ht="12.75"/>
    <row r="129" ht="12.75"/>
    <row r="132" ht="12.75"/>
    <row r="133" ht="12.75"/>
    <row r="134" ht="12.75"/>
    <row r="135" ht="12.75"/>
    <row r="136" ht="12.75"/>
    <row r="139" ht="12.75"/>
    <row r="140" ht="12.75"/>
    <row r="141" ht="12.75"/>
    <row r="142" ht="12.75"/>
    <row r="143" ht="12.75"/>
    <row r="145" ht="12.75"/>
    <row r="146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2022-01-10T14:03:53Z</dcterms:created>
  <dcterms:modified xsi:type="dcterms:W3CDTF">2023-01-13T16:17:43Z</dcterms:modified>
  <cp:category/>
  <cp:contentStatus/>
</cp:coreProperties>
</file>