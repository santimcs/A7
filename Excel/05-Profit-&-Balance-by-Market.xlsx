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defaultThemeVersion="166925"/>
  <xr:revisionPtr revIDLastSave="1013" documentId="11_E60897F41BE170836B02CE998F75CCDC64E183C8" xr6:coauthVersionLast="47" xr6:coauthVersionMax="47" xr10:uidLastSave="{918DE862-4A36-4B2A-8865-ED0D8BABFBB8}"/>
  <bookViews>
    <workbookView xWindow="240" yWindow="105" windowWidth="14805" windowHeight="8010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2" l="1"/>
  <c r="F33" i="2"/>
  <c r="F32" i="2"/>
  <c r="F31" i="2"/>
  <c r="F30" i="2"/>
  <c r="F34" i="2" s="1"/>
  <c r="C34" i="2"/>
  <c r="B34" i="2"/>
  <c r="C33" i="2"/>
  <c r="C32" i="2"/>
  <c r="C31" i="2"/>
  <c r="C30" i="2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<sst xmlns="http://schemas.openxmlformats.org/spreadsheetml/2006/main" count="270" uniqueCount="91">
  <si>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</si>
  <si>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</si>
  <si>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</si>
  <si>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</si>
  <si>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</si>
  <si>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</si>
  <si>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</si>
  <si>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</si>
  <si>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</si>
  <si>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</si>
  <si>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</si>
  <si>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</si>
  <si>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</si>
  <si>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</si>
  <si>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</si>
  <si>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</si>
  <si>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</si>
  <si>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</si>
  <si>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</si>
  <si>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</si>
  <si>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</si>
  <si>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</si>
  <si>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</si>
  <si>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</si>
  <si>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</si>
  <si>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</si>
  <si>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</si>
  <si>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</si>
  <si>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</si>
  <si>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</si>
  <si>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</si>
  <si>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</si>
  <si>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</si>
  <si>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</si>
  <si>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</si>
  <si>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</si>
  <si>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</si>
  <si>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</si>
  <si>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</si>
  <si>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</si>
  <si>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</si>
  <si>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</si>
  <si>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</si>
  <si>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</si>
  <si>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</si>
  <si>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</si>
  <si>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</si>
  <si>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</si>
  <si>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</si>
  <si>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</si>
  <si>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</si>
  <si>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</si>
  <si>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</si>
  <si>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</si>
  <si>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</si>
  <si>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</si>
  <si>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</si>
  <si>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</si>
  <si>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</si>
  <si>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</si>
  <si>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</si>
  <si>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</si>
  <si>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</si>
  <si>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</si>
  <si>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</si>
  <si>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</si>
  <si>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</si>
  <si>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</si>
  <si>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</si>
  <si>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</si>
  <si>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</si>
  <si>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</si>
  <si>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</si>
  <si>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</si>
  <si>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</si>
  <si>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</si>
  <si>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</si>
  <si>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</si>
  <si>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</si>
  <si>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</si>
  <si>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</si>
  <si>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</si>
  <si>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35.71, 37.5, 26.79</t>
  </si>
  <si>
    <t>9.49, 30.24, 60.27</t>
  </si>
  <si>
    <t>19.93, 100.0, -19.93</t>
  </si>
  <si>
    <t>9.16, 29.94, 60.91</t>
  </si>
  <si>
    <t>6.44, 122.56, -29.0</t>
  </si>
  <si>
    <t>10.54, 28.77, 60.7</t>
  </si>
  <si>
    <t>5.42, 120.16, -25.58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</si>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</sst>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7"/>
  <sheetViews>
    <sheetView tabSelected="1" topLeftCell="A100" workbookViewId="0">
      <selection activeCell="B106" sqref="B106"/>
    </sheetView>
  </sheetViews>
  <sheetFormatPr defaultRowHeight="15"/>
  <cols>
    <col min="1" max="1" width="11.140625" bestFit="1" customWidth="1"/>
    <col min="3" max="3" width="14.28515625" bestFit="1" customWidth="1"/>
    <col min="4" max="4" width="11.140625" bestFit="1" customWidth="1"/>
    <col min="6" max="6" width="14.42578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6">
      <c r="A97" s="1" t="s">
        <v>0</v>
      </c>
      <c r="B97" s="1" t="s">
        <v>1</v>
      </c>
      <c r="C97" s="1" t="s">
        <v>2</v>
      </c>
      <c r="D97" s="1" t="s">
        <v>0</v>
      </c>
      <c r="E97" s="1" t="s">
        <v>1</v>
      </c>
      <c r="F97" s="1" t="s">
        <v>2</v>
      </c>
    </row>
    <row r="98" spans="1:6" ht="45">
      <c r="A98" s="2">
        <v>44925</v>
      </c>
      <c r="B98" s="3" t="s">
        <v>80</v>
      </c>
      <c r="C98" s="3" t="s">
        <v>81</v>
      </c>
      <c r="D98" s="2">
        <v>44939</v>
      </c>
      <c r="E98" s="3" t="s">
        <v>82</v>
      </c>
      <c r="F98" s="3" t="s">
        <v>83</v>
      </c>
    </row>
    <row r="99" spans="1:6">
      <c r="A99" s="7"/>
      <c r="B99" s="6">
        <v>-201413.37</v>
      </c>
      <c r="C99" s="16">
        <v>11103750</v>
      </c>
      <c r="D99" s="7"/>
      <c r="E99" s="6">
        <v>15000</v>
      </c>
      <c r="F99" s="16">
        <v>11037600</v>
      </c>
    </row>
    <row r="101" spans="1:6">
      <c r="A101" s="1" t="s">
        <v>0</v>
      </c>
      <c r="B101" s="1" t="s">
        <v>1</v>
      </c>
      <c r="C101" s="1" t="s">
        <v>2</v>
      </c>
      <c r="D101" s="1" t="s">
        <v>0</v>
      </c>
      <c r="E101" s="1" t="s">
        <v>1</v>
      </c>
      <c r="F101" s="1" t="s">
        <v>2</v>
      </c>
    </row>
    <row r="102" spans="1:6" ht="60">
      <c r="A102" s="2">
        <v>44946</v>
      </c>
      <c r="B102" s="3" t="s">
        <v>84</v>
      </c>
      <c r="C102" s="3" t="s">
        <v>85</v>
      </c>
      <c r="D102" s="2">
        <v>44953</v>
      </c>
      <c r="E102" s="3" t="s">
        <v>86</v>
      </c>
      <c r="F102" s="3" t="s">
        <v>87</v>
      </c>
    </row>
    <row r="103" spans="1:6">
      <c r="A103" s="7"/>
      <c r="B103" s="6">
        <v>-25000</v>
      </c>
      <c r="C103" s="16">
        <v>11213975</v>
      </c>
      <c r="D103" s="7"/>
      <c r="E103" s="6">
        <v>-74000</v>
      </c>
      <c r="F103" s="16">
        <v>11075125</v>
      </c>
    </row>
    <row r="105" spans="1:6">
      <c r="A105" s="1" t="s">
        <v>0</v>
      </c>
      <c r="B105" s="1" t="s">
        <v>1</v>
      </c>
      <c r="C105" s="1" t="s">
        <v>2</v>
      </c>
    </row>
    <row r="106" spans="1:6" ht="60">
      <c r="A106" s="2">
        <v>44960</v>
      </c>
      <c r="B106" s="3" t="s">
        <v>88</v>
      </c>
      <c r="C106" s="3" t="s">
        <v>87</v>
      </c>
    </row>
    <row r="107" spans="1:6">
      <c r="A107" s="7"/>
      <c r="B107" s="6">
        <v>-88000</v>
      </c>
      <c r="C107" s="16">
        <v>11075125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146"/>
  <sheetViews>
    <sheetView topLeftCell="A20" workbookViewId="0">
      <selection activeCell="F33" sqref="F33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89</v>
      </c>
      <c r="C1" s="15"/>
      <c r="D1" s="13">
        <v>44890</v>
      </c>
      <c r="E1" s="14" t="s">
        <v>89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89</v>
      </c>
      <c r="C8" s="15"/>
      <c r="D8" s="13">
        <v>44904</v>
      </c>
      <c r="E8" s="14" t="s">
        <v>89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89</v>
      </c>
      <c r="D15" s="13">
        <v>44925</v>
      </c>
      <c r="E15" s="14" t="s">
        <v>90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>
      <c r="A22" s="13">
        <v>44939</v>
      </c>
      <c r="B22" s="14" t="s">
        <v>90</v>
      </c>
      <c r="D22" s="13">
        <v>44946</v>
      </c>
      <c r="E22" s="14" t="s">
        <v>90</v>
      </c>
      <c r="F22" s="10"/>
    </row>
    <row r="23" spans="1:6" ht="12.75">
      <c r="A23" s="9">
        <v>2</v>
      </c>
      <c r="B23" s="11">
        <v>4732500</v>
      </c>
      <c r="C23" s="10">
        <f>B23/B27</f>
        <v>0.52132101036583356</v>
      </c>
      <c r="D23" s="9">
        <v>2</v>
      </c>
      <c r="E23" s="11">
        <v>4984900</v>
      </c>
      <c r="F23" s="10">
        <f>E23/E27</f>
        <v>0.53452786892277337</v>
      </c>
    </row>
    <row r="24" spans="1:6" ht="12.75">
      <c r="A24" s="9">
        <v>3</v>
      </c>
      <c r="B24" s="11">
        <v>2113100</v>
      </c>
      <c r="C24" s="10">
        <f>B24/B27</f>
        <v>0.23277409973672325</v>
      </c>
      <c r="D24" s="9">
        <v>3</v>
      </c>
      <c r="E24" s="11">
        <v>2058350</v>
      </c>
      <c r="F24" s="10">
        <f>E24/E27</f>
        <v>0.22071564905959812</v>
      </c>
    </row>
    <row r="25" spans="1:6" ht="12.75">
      <c r="A25" s="9">
        <v>1</v>
      </c>
      <c r="B25" s="11">
        <v>1869300</v>
      </c>
      <c r="C25" s="10">
        <f>B25/B27</f>
        <v>0.20591766818317012</v>
      </c>
      <c r="D25" s="9">
        <v>1</v>
      </c>
      <c r="E25" s="11">
        <v>1675950</v>
      </c>
      <c r="F25" s="10">
        <f>E25/E27</f>
        <v>0.17971112397863989</v>
      </c>
    </row>
    <row r="26" spans="1:6" ht="12.75">
      <c r="A26" s="9">
        <v>4</v>
      </c>
      <c r="B26" s="11">
        <v>363000</v>
      </c>
      <c r="C26" s="10">
        <f>B26/B27</f>
        <v>3.9987221714273123E-2</v>
      </c>
      <c r="D26" s="9">
        <v>4</v>
      </c>
      <c r="E26" s="11">
        <v>606600</v>
      </c>
      <c r="F26" s="10">
        <f>E26/E27</f>
        <v>6.5045358038988615E-2</v>
      </c>
    </row>
    <row r="27" spans="1:6" ht="12.75">
      <c r="B27" s="12">
        <f>SUM(B23:B26)</f>
        <v>9077900</v>
      </c>
      <c r="E27" s="12">
        <f>SUM(E23:E26)</f>
        <v>9325800</v>
      </c>
      <c r="F27" s="10"/>
    </row>
    <row r="28" spans="1:6" ht="12.75"/>
    <row r="29" spans="1:6" ht="12.75">
      <c r="A29" s="13">
        <v>44953</v>
      </c>
      <c r="B29" s="14" t="s">
        <v>90</v>
      </c>
      <c r="D29" s="13">
        <v>44960</v>
      </c>
      <c r="E29" s="14" t="s">
        <v>90</v>
      </c>
      <c r="F29" s="10"/>
    </row>
    <row r="30" spans="1:6" ht="12.75">
      <c r="A30" s="9">
        <v>2</v>
      </c>
      <c r="B30" s="11">
        <v>5164500</v>
      </c>
      <c r="C30" s="10">
        <f>B30/B34</f>
        <v>0.5573632493160442</v>
      </c>
      <c r="D30" s="9">
        <v>2</v>
      </c>
      <c r="E30" s="11">
        <v>5899350</v>
      </c>
      <c r="F30" s="10">
        <f>E30/E34</f>
        <v>0.52064841107514714</v>
      </c>
    </row>
    <row r="31" spans="1:6" ht="12.75">
      <c r="A31" s="9">
        <v>3</v>
      </c>
      <c r="B31" s="11">
        <v>1757700</v>
      </c>
      <c r="C31" s="10">
        <f>B31/B34</f>
        <v>0.1896945267349813</v>
      </c>
      <c r="D31" s="9">
        <v>1</v>
      </c>
      <c r="E31" s="11">
        <v>2319075</v>
      </c>
      <c r="F31" s="10">
        <f>E31/E34</f>
        <v>0.20467046605373418</v>
      </c>
    </row>
    <row r="32" spans="1:6" ht="12.75">
      <c r="A32" s="9">
        <v>1</v>
      </c>
      <c r="B32" s="11">
        <v>1625850</v>
      </c>
      <c r="C32" s="10">
        <f>B32/B34</f>
        <v>0.17546500898450779</v>
      </c>
      <c r="D32" s="9">
        <v>3</v>
      </c>
      <c r="E32" s="11">
        <v>2222250</v>
      </c>
      <c r="F32" s="10">
        <f>E32/E34</f>
        <v>0.19612515472242631</v>
      </c>
    </row>
    <row r="33" spans="1:6" ht="12.75">
      <c r="A33" s="9">
        <v>4</v>
      </c>
      <c r="B33" s="11">
        <v>717900</v>
      </c>
      <c r="C33" s="10">
        <f>B33/B34</f>
        <v>7.7477214964466676E-2</v>
      </c>
      <c r="D33" s="9">
        <v>4</v>
      </c>
      <c r="E33" s="11">
        <v>890100</v>
      </c>
      <c r="F33" s="10">
        <f>E33/E34</f>
        <v>7.8555968148692396E-2</v>
      </c>
    </row>
    <row r="34" spans="1:6" ht="12.75">
      <c r="B34" s="12">
        <f>SUM(B30:B33)</f>
        <v>9265950</v>
      </c>
      <c r="C34" s="10">
        <f>SUM(C30:C33)</f>
        <v>1</v>
      </c>
      <c r="E34" s="12">
        <f>SUM(E30:E33)</f>
        <v>11330775</v>
      </c>
      <c r="F34" s="10">
        <f>SUM(F30:F33)</f>
        <v>1</v>
      </c>
    </row>
    <row r="35" spans="1:6" ht="12.75"/>
    <row r="36" spans="1:6" ht="12.75"/>
    <row r="37" spans="1:6" ht="12.75"/>
    <row r="38" spans="1:6" ht="12.75"/>
    <row r="41" spans="1:6" ht="12.75"/>
    <row r="42" spans="1:6" ht="12.75"/>
    <row r="43" spans="1:6" ht="12.75"/>
    <row r="44" spans="1:6" ht="12.75"/>
    <row r="45" spans="1:6" ht="12.75"/>
    <row r="48" spans="1:6" ht="12.75"/>
    <row r="49" ht="12.75"/>
    <row r="50" ht="12.75"/>
    <row r="51" ht="12.75"/>
    <row r="52" ht="12.75"/>
    <row r="55" ht="12.75"/>
    <row r="56" ht="12.75"/>
    <row r="57" ht="12.75"/>
    <row r="58" ht="12.75"/>
    <row r="59" ht="12.75"/>
    <row r="62" ht="12.75"/>
    <row r="63" ht="12.75"/>
    <row r="64" ht="12.75"/>
    <row r="65" ht="12.75"/>
    <row r="66" ht="12.75"/>
    <row r="69" ht="12.75"/>
    <row r="70" ht="12.75"/>
    <row r="71" ht="12.75"/>
    <row r="72" ht="12.75"/>
    <row r="73" ht="12.75"/>
    <row r="76" ht="12.75"/>
    <row r="77" ht="12.75"/>
    <row r="78" ht="12.75"/>
    <row r="79" ht="12.75"/>
    <row r="80" ht="12.75"/>
    <row r="83" ht="12.75"/>
    <row r="84" ht="12.75"/>
    <row r="85" ht="12.75"/>
    <row r="86" ht="12.75"/>
    <row r="87" ht="12.75"/>
    <row r="90" ht="12.75"/>
    <row r="91" ht="12.75"/>
    <row r="92" ht="12.75"/>
    <row r="93" ht="12.75"/>
    <row r="94" ht="12.75"/>
    <row r="97" ht="12.75"/>
    <row r="98" ht="12.75"/>
    <row r="99" ht="12.75"/>
    <row r="100" ht="12.75"/>
    <row r="101" ht="12.75"/>
    <row r="104" ht="12.75"/>
    <row r="105" ht="12.75"/>
    <row r="106" ht="12.75"/>
    <row r="107" ht="12.75"/>
    <row r="108" ht="12.75"/>
    <row r="111" ht="12.75"/>
    <row r="112" ht="12.75"/>
    <row r="113" ht="12.75"/>
    <row r="114" ht="12.75"/>
    <row r="115" ht="12.75"/>
    <row r="118" ht="12.75"/>
    <row r="119" ht="12.75"/>
    <row r="120" ht="12.75"/>
    <row r="121" ht="12.75"/>
    <row r="122" ht="12.75"/>
    <row r="125" ht="12.75"/>
    <row r="126" ht="12.75"/>
    <row r="127" ht="12.75"/>
    <row r="128" ht="12.75"/>
    <row r="129" ht="12.75"/>
    <row r="132" ht="12.75"/>
    <row r="133" ht="12.75"/>
    <row r="134" ht="12.75"/>
    <row r="135" ht="12.75"/>
    <row r="136" ht="12.75"/>
    <row r="139" ht="12.75"/>
    <row r="140" ht="12.75"/>
    <row r="141" ht="12.75"/>
    <row r="142" ht="12.75"/>
    <row r="143" ht="12.75"/>
    <row r="145" ht="12.75"/>
    <row r="146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2023-02-05T14:29:05Z</dcterms:modified>
  <cp:category/>
  <cp:contentStatus/>
</cp:coreProperties>
</file>