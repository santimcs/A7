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6024"/>
  <workbookPr defaultThemeVersion="166925"/>
  <xr:revisionPtr revIDLastSave="1113" documentId="11_E60897F41BE170836B02CE998F75CCDC64E183C8" xr6:coauthVersionLast="47" xr6:coauthVersionMax="47" xr10:uidLastSave="{2F32E5B6-3B85-4127-87A0-AFBA77DD00BC}"/>
  <bookViews>
    <workbookView xWindow="240" yWindow="105" windowWidth="14805" windowHeight="8010" xr2:uid="{00000000-000D-0000-FFFF-FFFF00000000}"/>
  </bookViews>
  <sheets>
    <sheet name="YTD Profit" sheetId="1" r:id="rId1"/>
  </sheet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77" i="1" l="1"/>
  <c r="B77" i="1"/>
  <c r="E71" i="1"/>
  <c r="D71" i="1"/>
  <c r="C71" i="1"/>
  <c r="B71" i="1"/>
  <c r="E65" i="1"/>
  <c r="D65" i="1"/>
  <c r="C65" i="1"/>
  <c r="B65" i="1"/>
  <c r="C59" i="1"/>
  <c r="B59" i="1"/>
  <c r="E56" i="1"/>
  <c r="E55" i="1"/>
  <c r="E53" i="1"/>
  <c r="D53" i="1"/>
  <c r="C53" i="1"/>
  <c r="B53" i="1"/>
  <c r="E47" i="1"/>
  <c r="D47" i="1"/>
  <c r="C47" i="1"/>
  <c r="B47" i="1"/>
  <c r="E41" i="1"/>
  <c r="D41" i="1"/>
  <c r="C41" i="1"/>
  <c r="B41" i="1"/>
  <c r="E35" i="1"/>
  <c r="D35" i="1"/>
  <c r="C35" i="1"/>
  <c r="B35" i="1"/>
  <c r="E29" i="1"/>
  <c r="D29" i="1"/>
  <c r="C29" i="1"/>
  <c r="B29" i="1"/>
  <c r="E23" i="1"/>
  <c r="D23" i="1"/>
  <c r="C23" i="1"/>
  <c r="B23" i="1"/>
  <c r="C17" i="1"/>
  <c r="B17" i="1"/>
  <c r="G11" i="1"/>
  <c r="F11" i="1"/>
  <c r="E11" i="1"/>
  <c r="D11" i="1"/>
  <c r="C11" i="1"/>
  <c r="B11" i="1"/>
  <c r="G5" i="1"/>
  <c r="F5" i="1"/>
  <c r="E5" i="1"/>
  <c r="D5" i="1"/>
  <c r="C5" i="1"/>
  <c r="B5" i="1"/>
</calcChain>
</file>

<file path=xl/sharedStrings.xml><?xml version="1.0" encoding="utf-8"?>
<sst xmlns="http://schemas.openxmlformats.org/spreadsheetml/2006/main" count="65" uniqueCount="5">
  <si>
    <t>Date</t>
  </si>
  <si>
    <t>Expense</t>
  </si>
  <si>
    <t>Dividend</t>
  </si>
  <si>
    <t>Profit</t>
  </si>
  <si>
    <t>Net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</si>
</sst>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87" formatCode="yyyy\-mm\-dd;@"/>
    <numFmt numFmtId="188" formatCode="&quot;฿&quot;#,##0.00"/>
    <numFmt numFmtId="189" formatCode="&quot;฿&quot;#,##0"/>
  </numFmts>
  <fonts count="4">
    <font>
      <sz val="11"/>
      <color theme="1"/>
      <name val="Calibri"/>
      <family val="2"/>
      <scheme val="minor"/>
    </font>
    <font>
      <sz val="11"/>
      <color rgb="FF000000"/>
      <name val="Calibri"/>
    </font>
    <font>
      <sz val="11"/>
      <color theme="1"/>
      <name val="Calibri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187" fontId="0" fillId="0" borderId="0" xfId="0" applyNumberFormat="1"/>
    <xf numFmtId="3" fontId="0" fillId="0" borderId="0" xfId="0" applyNumberFormat="1"/>
    <xf numFmtId="3" fontId="3" fillId="0" borderId="0" xfId="0" applyNumberFormat="1" applyFont="1"/>
    <xf numFmtId="187" fontId="3" fillId="0" borderId="0" xfId="0" applyNumberFormat="1" applyFont="1"/>
    <xf numFmtId="188" fontId="0" fillId="0" borderId="0" xfId="0" applyNumberFormat="1"/>
    <xf numFmtId="189" fontId="1" fillId="2" borderId="0" xfId="0" applyNumberFormat="1" applyFont="1" applyFill="1" applyAlignment="1">
      <alignment wrapText="1"/>
    </xf>
    <xf numFmtId="189" fontId="1" fillId="0" borderId="0" xfId="0" applyNumberFormat="1" applyFont="1" applyAlignment="1">
      <alignment wrapText="1"/>
    </xf>
    <xf numFmtId="189" fontId="2" fillId="0" borderId="0" xfId="0" applyNumberFormat="1" applyFont="1"/>
    <xf numFmtId="10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77"/>
  <sheetViews>
    <sheetView tabSelected="1" topLeftCell="A64" workbookViewId="0">
      <selection activeCell="C77" sqref="C77"/>
    </sheetView>
  </sheetViews>
  <sheetFormatPr defaultRowHeight="15"/>
  <cols>
    <col min="1" max="1" width="10.5703125" bestFit="1" customWidth="1"/>
    <col min="2" max="2" width="11.42578125" bestFit="1" customWidth="1"/>
    <col min="3" max="3" width="11.42578125" style="2" bestFit="1" customWidth="1"/>
    <col min="4" max="4" width="11.7109375" style="2" bestFit="1" customWidth="1"/>
    <col min="5" max="6" width="12.28515625" style="2" customWidth="1"/>
    <col min="7" max="7" width="11.7109375" style="2" bestFit="1" customWidth="1"/>
    <col min="8" max="9" width="12" style="5" customWidth="1"/>
  </cols>
  <sheetData>
    <row r="1" spans="1:7" s="1" customFormat="1">
      <c r="A1" s="4" t="s">
        <v>0</v>
      </c>
      <c r="B1" s="4">
        <v>44286</v>
      </c>
      <c r="C1" s="4">
        <v>44313</v>
      </c>
      <c r="D1" s="4">
        <v>44347</v>
      </c>
      <c r="E1" s="4">
        <v>44377</v>
      </c>
      <c r="F1" s="4">
        <v>44404</v>
      </c>
      <c r="G1" s="4">
        <v>44439</v>
      </c>
    </row>
    <row r="2" spans="1:7" s="2" customFormat="1">
      <c r="A2" s="3" t="s">
        <v>1</v>
      </c>
      <c r="B2" s="6">
        <v>178420</v>
      </c>
      <c r="C2" s="6">
        <v>226000</v>
      </c>
      <c r="D2" s="6">
        <v>276000</v>
      </c>
      <c r="E2" s="6">
        <v>290000</v>
      </c>
      <c r="F2" s="6">
        <v>304000</v>
      </c>
      <c r="G2" s="6">
        <v>418000</v>
      </c>
    </row>
    <row r="3" spans="1:7" s="2" customFormat="1">
      <c r="A3" s="3" t="s">
        <v>2</v>
      </c>
      <c r="B3" s="7">
        <v>80950</v>
      </c>
      <c r="C3" s="7">
        <v>181000</v>
      </c>
      <c r="D3" s="7">
        <v>360000</v>
      </c>
      <c r="E3" s="7">
        <v>410000</v>
      </c>
      <c r="F3" s="7">
        <v>411000</v>
      </c>
      <c r="G3" s="7">
        <v>444000</v>
      </c>
    </row>
    <row r="4" spans="1:7" s="2" customFormat="1">
      <c r="A4" s="3" t="s">
        <v>3</v>
      </c>
      <c r="B4" s="6">
        <v>252410</v>
      </c>
      <c r="C4" s="6">
        <v>274000</v>
      </c>
      <c r="D4" s="6">
        <v>408000</v>
      </c>
      <c r="E4" s="6">
        <v>430000</v>
      </c>
      <c r="F4" s="6">
        <v>316000</v>
      </c>
      <c r="G4" s="6">
        <v>418000</v>
      </c>
    </row>
    <row r="5" spans="1:7" s="2" customFormat="1">
      <c r="A5" s="3" t="s">
        <v>4</v>
      </c>
      <c r="B5" s="8">
        <f>B4+B3-B2</f>
        <v>154940</v>
      </c>
      <c r="C5" s="8">
        <f>C4+C3-C2</f>
        <v>229000</v>
      </c>
      <c r="D5" s="8">
        <f>D4+D3-D2</f>
        <v>492000</v>
      </c>
      <c r="E5" s="8">
        <f>E4+E3-E2</f>
        <v>550000</v>
      </c>
      <c r="F5" s="8">
        <f>F4+F3-F2</f>
        <v>423000</v>
      </c>
      <c r="G5" s="8">
        <f>G4+G3-G2</f>
        <v>444000</v>
      </c>
    </row>
    <row r="6" spans="1:7" s="2" customFormat="1">
      <c r="A6" s="3"/>
      <c r="B6" s="8"/>
      <c r="C6" s="8"/>
      <c r="D6" s="8"/>
      <c r="E6" s="8"/>
      <c r="F6" s="8"/>
      <c r="G6" s="8"/>
    </row>
    <row r="7" spans="1:7">
      <c r="A7" s="4" t="s">
        <v>0</v>
      </c>
      <c r="B7" s="4">
        <v>44469</v>
      </c>
      <c r="C7" s="4">
        <v>44530</v>
      </c>
      <c r="D7" s="4">
        <v>44539</v>
      </c>
      <c r="E7" s="4">
        <v>44544</v>
      </c>
      <c r="F7" s="4">
        <v>44547</v>
      </c>
      <c r="G7" s="4">
        <v>44550</v>
      </c>
    </row>
    <row r="8" spans="1:7">
      <c r="A8" s="3" t="s">
        <v>1</v>
      </c>
      <c r="B8" s="6">
        <v>467000</v>
      </c>
      <c r="C8" s="6">
        <v>533000</v>
      </c>
      <c r="D8" s="6">
        <v>535000</v>
      </c>
      <c r="E8" s="6">
        <v>537000</v>
      </c>
      <c r="F8" s="6">
        <v>538000</v>
      </c>
      <c r="G8" s="6">
        <v>538000</v>
      </c>
    </row>
    <row r="9" spans="1:7">
      <c r="A9" s="3" t="s">
        <v>2</v>
      </c>
      <c r="B9" s="7">
        <v>617000</v>
      </c>
      <c r="C9" s="7">
        <v>591000</v>
      </c>
      <c r="D9" s="7">
        <v>686000</v>
      </c>
      <c r="E9" s="7">
        <v>687000</v>
      </c>
      <c r="F9" s="7">
        <v>687000</v>
      </c>
      <c r="G9" s="7">
        <v>690000</v>
      </c>
    </row>
    <row r="10" spans="1:7">
      <c r="A10" s="3" t="s">
        <v>3</v>
      </c>
      <c r="B10" s="6">
        <v>432000</v>
      </c>
      <c r="C10" s="6">
        <v>550000</v>
      </c>
      <c r="D10" s="6">
        <v>552000</v>
      </c>
      <c r="E10" s="6">
        <v>544000</v>
      </c>
      <c r="F10" s="6">
        <v>560000</v>
      </c>
      <c r="G10" s="6">
        <v>560000</v>
      </c>
    </row>
    <row r="11" spans="1:7">
      <c r="A11" s="3" t="s">
        <v>4</v>
      </c>
      <c r="B11" s="8">
        <f>B10+B9-B8</f>
        <v>582000</v>
      </c>
      <c r="C11" s="8">
        <f>C10+C9-C8</f>
        <v>608000</v>
      </c>
      <c r="D11" s="8">
        <f>D10+D9-D8</f>
        <v>703000</v>
      </c>
      <c r="E11" s="8">
        <f>E10+E9-E8</f>
        <v>694000</v>
      </c>
      <c r="F11" s="8">
        <f>F10+F9-F8</f>
        <v>709000</v>
      </c>
      <c r="G11" s="8">
        <f>G10+G9-G8</f>
        <v>712000</v>
      </c>
    </row>
    <row r="13" spans="1:7">
      <c r="A13" s="4" t="s">
        <v>0</v>
      </c>
      <c r="B13" s="4">
        <v>44554</v>
      </c>
      <c r="C13" s="4">
        <v>44560</v>
      </c>
    </row>
    <row r="14" spans="1:7">
      <c r="A14" s="3" t="s">
        <v>1</v>
      </c>
      <c r="B14" s="6">
        <v>541000</v>
      </c>
      <c r="C14" s="6">
        <v>660000</v>
      </c>
    </row>
    <row r="15" spans="1:7">
      <c r="A15" s="3" t="s">
        <v>2</v>
      </c>
      <c r="B15" s="7">
        <v>700000</v>
      </c>
      <c r="C15" s="7">
        <v>700000</v>
      </c>
    </row>
    <row r="16" spans="1:7">
      <c r="A16" s="3" t="s">
        <v>3</v>
      </c>
      <c r="B16" s="6">
        <v>558000</v>
      </c>
      <c r="C16" s="6">
        <v>536000</v>
      </c>
    </row>
    <row r="17" spans="1:7">
      <c r="A17" s="3" t="s">
        <v>4</v>
      </c>
      <c r="B17" s="8">
        <f>B16+B15-B14</f>
        <v>717000</v>
      </c>
      <c r="C17" s="8">
        <f>C16+C15-C14</f>
        <v>576000</v>
      </c>
    </row>
    <row r="19" spans="1:7">
      <c r="A19" s="4" t="s">
        <v>0</v>
      </c>
      <c r="B19" s="4">
        <v>44575</v>
      </c>
      <c r="C19" s="4">
        <v>44620</v>
      </c>
      <c r="D19" s="4">
        <v>44651</v>
      </c>
      <c r="E19" s="4">
        <v>44680</v>
      </c>
      <c r="F19" s="4"/>
      <c r="G19" s="4"/>
    </row>
    <row r="20" spans="1:7">
      <c r="A20" s="3" t="s">
        <v>3</v>
      </c>
      <c r="B20" s="6">
        <v>66000</v>
      </c>
      <c r="C20" s="6">
        <v>35000</v>
      </c>
      <c r="D20" s="6">
        <v>71000</v>
      </c>
      <c r="E20" s="6">
        <v>72000</v>
      </c>
      <c r="F20" s="6"/>
      <c r="G20" s="6"/>
    </row>
    <row r="21" spans="1:7">
      <c r="A21" s="3" t="s">
        <v>2</v>
      </c>
      <c r="B21" s="7">
        <v>0</v>
      </c>
      <c r="C21" s="7">
        <v>1500</v>
      </c>
      <c r="D21" s="7">
        <v>57000</v>
      </c>
      <c r="E21" s="7">
        <v>102000</v>
      </c>
      <c r="F21" s="7"/>
      <c r="G21" s="7"/>
    </row>
    <row r="22" spans="1:7">
      <c r="A22" s="3" t="s">
        <v>1</v>
      </c>
      <c r="B22" s="6">
        <v>34000</v>
      </c>
      <c r="C22" s="6">
        <v>76000</v>
      </c>
      <c r="D22" s="6">
        <v>187000</v>
      </c>
      <c r="E22" s="6">
        <v>258000</v>
      </c>
      <c r="F22" s="6"/>
      <c r="G22" s="6"/>
    </row>
    <row r="23" spans="1:7">
      <c r="A23" s="3" t="s">
        <v>4</v>
      </c>
      <c r="B23" s="8">
        <f>B20+B21-B22</f>
        <v>32000</v>
      </c>
      <c r="C23" s="8">
        <f>C20+C21-C22</f>
        <v>-39500</v>
      </c>
      <c r="D23" s="8">
        <f>D20+D21-D22</f>
        <v>-59000</v>
      </c>
      <c r="E23" s="8">
        <f>E20+E21-E22</f>
        <v>-84000</v>
      </c>
      <c r="F23" s="8"/>
      <c r="G23" s="8"/>
    </row>
    <row r="25" spans="1:7">
      <c r="A25" s="4" t="s">
        <v>0</v>
      </c>
      <c r="B25" s="4">
        <v>44687</v>
      </c>
      <c r="C25" s="4">
        <v>44694</v>
      </c>
      <c r="D25" s="4">
        <v>44694</v>
      </c>
      <c r="E25" s="4">
        <v>44701</v>
      </c>
    </row>
    <row r="26" spans="1:7">
      <c r="A26" s="3" t="s">
        <v>3</v>
      </c>
      <c r="B26" s="6">
        <v>72000</v>
      </c>
      <c r="C26" s="6">
        <v>34000</v>
      </c>
      <c r="D26" s="6">
        <v>15000</v>
      </c>
      <c r="E26" s="6">
        <v>15000</v>
      </c>
    </row>
    <row r="27" spans="1:7">
      <c r="A27" s="3" t="s">
        <v>2</v>
      </c>
      <c r="B27" s="7">
        <v>173000</v>
      </c>
      <c r="C27" s="7">
        <v>205000</v>
      </c>
      <c r="D27" s="7">
        <v>205000</v>
      </c>
      <c r="E27" s="7">
        <v>284000</v>
      </c>
    </row>
    <row r="28" spans="1:7">
      <c r="A28" s="3" t="s">
        <v>1</v>
      </c>
      <c r="B28" s="6">
        <v>258000</v>
      </c>
      <c r="C28" s="6">
        <v>267000</v>
      </c>
      <c r="D28" s="6">
        <v>277000</v>
      </c>
      <c r="E28" s="6">
        <v>277000</v>
      </c>
    </row>
    <row r="29" spans="1:7">
      <c r="A29" s="3" t="s">
        <v>4</v>
      </c>
      <c r="B29" s="8">
        <f>B26+B27-B28</f>
        <v>-13000</v>
      </c>
      <c r="C29" s="8">
        <f>C26+C27-C28</f>
        <v>-28000</v>
      </c>
      <c r="D29" s="8">
        <f>D26+D27-D28</f>
        <v>-57000</v>
      </c>
      <c r="E29" s="8">
        <f>E26+E27-E28</f>
        <v>22000</v>
      </c>
    </row>
    <row r="31" spans="1:7">
      <c r="A31" s="4" t="s">
        <v>0</v>
      </c>
      <c r="B31" s="4">
        <v>44708</v>
      </c>
      <c r="C31" s="4">
        <v>44714</v>
      </c>
      <c r="D31" s="4">
        <v>44722</v>
      </c>
      <c r="E31" s="4">
        <v>44729</v>
      </c>
    </row>
    <row r="32" spans="1:7">
      <c r="A32" s="3" t="s">
        <v>3</v>
      </c>
      <c r="B32" s="6">
        <v>26000</v>
      </c>
      <c r="C32" s="6">
        <v>27000</v>
      </c>
      <c r="D32" s="6">
        <v>36000</v>
      </c>
      <c r="E32" s="6">
        <v>24000</v>
      </c>
    </row>
    <row r="33" spans="1:5">
      <c r="A33" s="3" t="s">
        <v>2</v>
      </c>
      <c r="B33" s="7">
        <v>296000</v>
      </c>
      <c r="C33" s="7">
        <v>299000</v>
      </c>
      <c r="D33" s="7">
        <v>355000</v>
      </c>
      <c r="E33" s="7">
        <v>355000</v>
      </c>
    </row>
    <row r="34" spans="1:5">
      <c r="A34" s="3" t="s">
        <v>1</v>
      </c>
      <c r="B34" s="6">
        <v>290000</v>
      </c>
      <c r="C34" s="6">
        <v>315000</v>
      </c>
      <c r="D34" s="6">
        <v>342000</v>
      </c>
      <c r="E34" s="6">
        <v>370000</v>
      </c>
    </row>
    <row r="35" spans="1:5">
      <c r="A35" s="3" t="s">
        <v>4</v>
      </c>
      <c r="B35" s="8">
        <f>B32+B33-B34</f>
        <v>32000</v>
      </c>
      <c r="C35" s="8">
        <f>C32+C33-C34</f>
        <v>11000</v>
      </c>
      <c r="D35" s="8">
        <f>D32+D33-D34</f>
        <v>49000</v>
      </c>
      <c r="E35" s="8">
        <f>E32+E33-E34</f>
        <v>9000</v>
      </c>
    </row>
    <row r="37" spans="1:5">
      <c r="A37" s="4" t="s">
        <v>0</v>
      </c>
      <c r="B37" s="4">
        <v>44736</v>
      </c>
      <c r="C37" s="4">
        <v>44742</v>
      </c>
      <c r="D37" s="4">
        <v>44750</v>
      </c>
      <c r="E37" s="4">
        <v>44767</v>
      </c>
    </row>
    <row r="38" spans="1:5">
      <c r="A38" s="3" t="s">
        <v>3</v>
      </c>
      <c r="B38" s="6">
        <v>18000</v>
      </c>
      <c r="C38" s="6">
        <v>8000</v>
      </c>
      <c r="D38" s="6">
        <v>8000</v>
      </c>
      <c r="E38" s="6">
        <v>-900</v>
      </c>
    </row>
    <row r="39" spans="1:5">
      <c r="A39" s="3" t="s">
        <v>2</v>
      </c>
      <c r="B39" s="7">
        <v>362000</v>
      </c>
      <c r="C39" s="7">
        <v>368000</v>
      </c>
      <c r="D39" s="7">
        <v>368000</v>
      </c>
      <c r="E39" s="7">
        <v>368000</v>
      </c>
    </row>
    <row r="40" spans="1:5">
      <c r="A40" s="3" t="s">
        <v>1</v>
      </c>
      <c r="B40" s="6">
        <v>370000</v>
      </c>
      <c r="C40" s="6">
        <v>387000</v>
      </c>
      <c r="D40" s="6">
        <v>387000</v>
      </c>
      <c r="E40" s="6">
        <v>398000</v>
      </c>
    </row>
    <row r="41" spans="1:5">
      <c r="A41" s="3" t="s">
        <v>4</v>
      </c>
      <c r="B41" s="8">
        <f>B38+B39-B40</f>
        <v>10000</v>
      </c>
      <c r="C41" s="8">
        <f>C38+C39-C40</f>
        <v>-11000</v>
      </c>
      <c r="D41" s="8">
        <f>D38+D39-D40</f>
        <v>-11000</v>
      </c>
      <c r="E41" s="8">
        <f>E38+E39-E40</f>
        <v>-30900</v>
      </c>
    </row>
    <row r="43" spans="1:5">
      <c r="A43" s="4" t="s">
        <v>0</v>
      </c>
      <c r="B43" s="4">
        <v>44792</v>
      </c>
      <c r="C43" s="4">
        <v>44799</v>
      </c>
      <c r="D43" s="4">
        <v>44804</v>
      </c>
      <c r="E43" s="4">
        <v>44806</v>
      </c>
    </row>
    <row r="44" spans="1:5">
      <c r="A44" s="3" t="s">
        <v>3</v>
      </c>
      <c r="B44" s="6">
        <v>0</v>
      </c>
      <c r="C44" s="6">
        <v>3700</v>
      </c>
      <c r="D44" s="6">
        <v>3700</v>
      </c>
      <c r="E44" s="6">
        <v>5000</v>
      </c>
    </row>
    <row r="45" spans="1:5">
      <c r="A45" s="3" t="s">
        <v>2</v>
      </c>
      <c r="B45" s="7">
        <v>368000</v>
      </c>
      <c r="C45" s="7">
        <v>375000</v>
      </c>
      <c r="D45" s="7">
        <v>375000</v>
      </c>
      <c r="E45" s="7">
        <v>447000</v>
      </c>
    </row>
    <row r="46" spans="1:5">
      <c r="A46" s="3" t="s">
        <v>1</v>
      </c>
      <c r="B46" s="6">
        <v>455000</v>
      </c>
      <c r="C46" s="6">
        <v>455000</v>
      </c>
      <c r="D46" s="6">
        <v>468000</v>
      </c>
      <c r="E46" s="6">
        <v>468000</v>
      </c>
    </row>
    <row r="47" spans="1:5">
      <c r="A47" s="3" t="s">
        <v>4</v>
      </c>
      <c r="B47" s="8">
        <f>B44+B45-B46</f>
        <v>-87000</v>
      </c>
      <c r="C47" s="8">
        <f>C44+C45-C46</f>
        <v>-76300</v>
      </c>
      <c r="D47" s="8">
        <f>D44+D45-D46</f>
        <v>-89300</v>
      </c>
      <c r="E47" s="8">
        <f>E44+E45-E46</f>
        <v>-16000</v>
      </c>
    </row>
    <row r="49" spans="1:5">
      <c r="A49" s="4" t="s">
        <v>0</v>
      </c>
      <c r="B49" s="4">
        <v>44813</v>
      </c>
      <c r="C49" s="4">
        <v>44820</v>
      </c>
      <c r="D49" s="4">
        <v>44827</v>
      </c>
      <c r="E49" s="4">
        <v>44834</v>
      </c>
    </row>
    <row r="50" spans="1:5">
      <c r="A50" s="3" t="s">
        <v>3</v>
      </c>
      <c r="B50" s="6">
        <v>9000</v>
      </c>
      <c r="C50" s="6">
        <v>12000</v>
      </c>
      <c r="D50" s="6">
        <v>12000</v>
      </c>
      <c r="E50" s="6">
        <v>12000</v>
      </c>
    </row>
    <row r="51" spans="1:5">
      <c r="A51" s="3" t="s">
        <v>2</v>
      </c>
      <c r="B51" s="7">
        <v>510000</v>
      </c>
      <c r="C51" s="7">
        <v>525000</v>
      </c>
      <c r="D51" s="7">
        <v>539000</v>
      </c>
      <c r="E51" s="7">
        <v>539000</v>
      </c>
    </row>
    <row r="52" spans="1:5">
      <c r="A52" s="3" t="s">
        <v>1</v>
      </c>
      <c r="B52" s="6">
        <v>479000</v>
      </c>
      <c r="C52" s="6">
        <v>490000</v>
      </c>
      <c r="D52" s="6">
        <v>491000</v>
      </c>
      <c r="E52" s="6">
        <v>509000</v>
      </c>
    </row>
    <row r="53" spans="1:5">
      <c r="A53" s="3" t="s">
        <v>4</v>
      </c>
      <c r="B53" s="8">
        <f>B50+B51-B52</f>
        <v>40000</v>
      </c>
      <c r="C53" s="8">
        <f>C50+C51-C52</f>
        <v>47000</v>
      </c>
      <c r="D53" s="8">
        <f>D50+D51-D52</f>
        <v>60000</v>
      </c>
      <c r="E53" s="8">
        <f>E50+E51-E52</f>
        <v>42000</v>
      </c>
    </row>
    <row r="55" spans="1:5">
      <c r="A55" s="4" t="s">
        <v>0</v>
      </c>
      <c r="B55" s="4">
        <v>44841</v>
      </c>
      <c r="C55" s="4">
        <v>44841</v>
      </c>
      <c r="D55" s="2">
        <v>11467925</v>
      </c>
      <c r="E55" s="9">
        <f>E51/D55</f>
        <v>4.7000656177992095E-2</v>
      </c>
    </row>
    <row r="56" spans="1:5">
      <c r="A56" s="3" t="s">
        <v>3</v>
      </c>
      <c r="B56" s="6">
        <v>1000</v>
      </c>
      <c r="C56" s="6">
        <v>1000</v>
      </c>
      <c r="D56" s="2">
        <v>8537110</v>
      </c>
      <c r="E56" s="9">
        <f>E51/D56</f>
        <v>6.3136119834463891E-2</v>
      </c>
    </row>
    <row r="57" spans="1:5">
      <c r="A57" s="3" t="s">
        <v>2</v>
      </c>
      <c r="B57" s="7">
        <v>539000</v>
      </c>
      <c r="C57" s="7">
        <v>544000</v>
      </c>
    </row>
    <row r="58" spans="1:5">
      <c r="A58" s="3" t="s">
        <v>1</v>
      </c>
      <c r="B58" s="6">
        <v>513000</v>
      </c>
      <c r="C58" s="6">
        <v>530000</v>
      </c>
    </row>
    <row r="59" spans="1:5">
      <c r="A59" s="3" t="s">
        <v>4</v>
      </c>
      <c r="B59" s="8">
        <f>B56+B57-B58</f>
        <v>27000</v>
      </c>
      <c r="C59" s="8">
        <f>C56+C57-C58</f>
        <v>15000</v>
      </c>
    </row>
    <row r="61" spans="1:5">
      <c r="A61" s="4" t="s">
        <v>0</v>
      </c>
      <c r="B61" s="4">
        <v>44855</v>
      </c>
      <c r="C61" s="4">
        <v>44865</v>
      </c>
      <c r="D61" s="4">
        <v>44869</v>
      </c>
      <c r="E61" s="4">
        <v>44876</v>
      </c>
    </row>
    <row r="62" spans="1:5">
      <c r="A62" s="3" t="s">
        <v>3</v>
      </c>
      <c r="B62" s="6">
        <v>5000</v>
      </c>
      <c r="C62" s="6">
        <v>-25000</v>
      </c>
      <c r="D62" s="6">
        <v>-81000</v>
      </c>
      <c r="E62" s="6">
        <v>-103000</v>
      </c>
    </row>
    <row r="63" spans="1:5">
      <c r="A63" s="3" t="s">
        <v>2</v>
      </c>
      <c r="B63" s="7">
        <v>544000</v>
      </c>
      <c r="C63" s="7">
        <v>544000</v>
      </c>
      <c r="D63" s="7">
        <v>544000</v>
      </c>
      <c r="E63" s="7">
        <v>544000</v>
      </c>
    </row>
    <row r="64" spans="1:5">
      <c r="A64" s="3" t="s">
        <v>1</v>
      </c>
      <c r="B64" s="6">
        <v>530000</v>
      </c>
      <c r="C64" s="6">
        <v>575000</v>
      </c>
      <c r="D64" s="6">
        <v>578000</v>
      </c>
      <c r="E64" s="6">
        <v>602000</v>
      </c>
    </row>
    <row r="65" spans="1:5">
      <c r="A65" s="3" t="s">
        <v>4</v>
      </c>
      <c r="B65" s="8">
        <f>B62+B63-B64</f>
        <v>19000</v>
      </c>
      <c r="C65" s="8">
        <f>C62+C63-C64</f>
        <v>-56000</v>
      </c>
      <c r="D65" s="8">
        <f>D62+D63-D64</f>
        <v>-115000</v>
      </c>
      <c r="E65" s="8">
        <f>E62+E63-E64</f>
        <v>-161000</v>
      </c>
    </row>
    <row r="67" spans="1:5">
      <c r="A67" s="4" t="s">
        <v>0</v>
      </c>
      <c r="B67" s="4">
        <v>44883</v>
      </c>
      <c r="C67" s="4">
        <v>44890</v>
      </c>
      <c r="D67" s="4">
        <v>44897</v>
      </c>
      <c r="E67" s="4">
        <v>44904</v>
      </c>
    </row>
    <row r="68" spans="1:5">
      <c r="A68" s="3" t="s">
        <v>3</v>
      </c>
      <c r="B68" s="6">
        <v>-119000</v>
      </c>
      <c r="C68" s="6">
        <v>-129000</v>
      </c>
      <c r="D68" s="6">
        <v>-129000</v>
      </c>
      <c r="E68" s="6">
        <v>-129000</v>
      </c>
    </row>
    <row r="69" spans="1:5">
      <c r="A69" s="3" t="s">
        <v>2</v>
      </c>
      <c r="B69" s="7">
        <v>544000</v>
      </c>
      <c r="C69" s="7">
        <v>544000</v>
      </c>
      <c r="D69" s="7">
        <v>550000</v>
      </c>
      <c r="E69" s="7">
        <v>641000</v>
      </c>
    </row>
    <row r="70" spans="1:5">
      <c r="A70" s="3" t="s">
        <v>1</v>
      </c>
      <c r="B70" s="6">
        <v>605000</v>
      </c>
      <c r="C70" s="6">
        <v>608000</v>
      </c>
      <c r="D70" s="6">
        <v>609000</v>
      </c>
      <c r="E70" s="6">
        <v>614000</v>
      </c>
    </row>
    <row r="71" spans="1:5">
      <c r="A71" s="3" t="s">
        <v>4</v>
      </c>
      <c r="B71" s="8">
        <f>B68+B69-B70</f>
        <v>-180000</v>
      </c>
      <c r="C71" s="8">
        <f>C68+C69-C70</f>
        <v>-193000</v>
      </c>
      <c r="D71" s="8">
        <f>D68+D69-D70</f>
        <v>-188000</v>
      </c>
      <c r="E71" s="8">
        <f>E68+E69-E70</f>
        <v>-102000</v>
      </c>
    </row>
    <row r="73" spans="1:5">
      <c r="A73" s="4" t="s">
        <v>0</v>
      </c>
      <c r="B73" s="4">
        <v>44918</v>
      </c>
      <c r="C73" s="4">
        <v>44925</v>
      </c>
    </row>
    <row r="74" spans="1:5">
      <c r="A74" s="3" t="s">
        <v>3</v>
      </c>
      <c r="B74" s="6">
        <v>-136000</v>
      </c>
      <c r="C74" s="6">
        <v>-161000</v>
      </c>
    </row>
    <row r="75" spans="1:5">
      <c r="A75" s="3" t="s">
        <v>2</v>
      </c>
      <c r="B75" s="7">
        <v>659000</v>
      </c>
      <c r="C75" s="7">
        <v>660000</v>
      </c>
    </row>
    <row r="76" spans="1:5">
      <c r="A76" s="3" t="s">
        <v>1</v>
      </c>
      <c r="B76" s="6">
        <v>622000</v>
      </c>
      <c r="C76" s="6">
        <v>622000</v>
      </c>
    </row>
    <row r="77" spans="1:5">
      <c r="A77" s="3" t="s">
        <v>4</v>
      </c>
      <c r="B77" s="8">
        <f>B74+B75-B76</f>
        <v>-99000</v>
      </c>
      <c r="C77" s="8">
        <f>C74+C75-C76</f>
        <v>-123000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Santi Soontarinka</cp:lastModifiedBy>
  <cp:revision/>
  <dcterms:created xsi:type="dcterms:W3CDTF">2021-03-23T14:28:58Z</dcterms:created>
  <dcterms:modified xsi:type="dcterms:W3CDTF">2022-12-27T17:36:13Z</dcterms:modified>
  <cp:category/>
  <cp:contentStatus/>
</cp:coreProperties>
</file>