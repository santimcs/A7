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06"/>
  <workbookPr defaultThemeVersion="166925"/>
  <xr:revisionPtr revIDLastSave="2578" documentId="11_E60897F41BE170836B02CE998F75CCDC64E183C8" xr6:coauthVersionLast="47" xr6:coauthVersionMax="47" xr10:uidLastSave="{C082B3A0-5141-4594-9982-56E3C545F274}"/>
  <bookViews>
    <workbookView xWindow="240" yWindow="105" windowWidth="14805" windowHeight="8010" xr2:uid="{00000000-000D-0000-FFFF-FFFF00000000}"/>
  </bookViews>
  <sheets>
    <sheet name="0310" sheetId="96" r:id="rId1"/>
    <sheet name="0303" sheetId="95" r:id="rId2"/>
    <sheet name="0228" sheetId="94" r:id="rId3"/>
    <sheet name="0224" sheetId="93" r:id="rId4"/>
    <sheet name="0210" sheetId="92" r:id="rId5"/>
    <sheet name="0203" sheetId="91" r:id="rId6"/>
    <sheet name="0127" sheetId="90" r:id="rId7"/>
    <sheet name="0120" sheetId="89" r:id="rId8"/>
    <sheet name="0106" sheetId="88" r:id="rId9"/>
    <sheet name="1230" sheetId="87" r:id="rId10"/>
    <sheet name="1223" sheetId="86" r:id="rId11"/>
    <sheet name="1209" sheetId="85" r:id="rId12"/>
    <sheet name="1202" sheetId="84" r:id="rId13"/>
    <sheet name="1125" sheetId="83" r:id="rId14"/>
    <sheet name="1118" sheetId="82" r:id="rId15"/>
    <sheet name="1111" sheetId="81" r:id="rId16"/>
    <sheet name="1104" sheetId="80" r:id="rId17"/>
    <sheet name="1031" sheetId="79" r:id="rId18"/>
    <sheet name="1021" sheetId="78" r:id="rId19"/>
    <sheet name="1012" sheetId="77" r:id="rId20"/>
    <sheet name="1007" sheetId="76" r:id="rId21"/>
    <sheet name="0930" sheetId="75" r:id="rId22"/>
    <sheet name="0923" sheetId="74" r:id="rId23"/>
    <sheet name="0916" sheetId="73" r:id="rId24"/>
    <sheet name="0909" sheetId="72" r:id="rId25"/>
    <sheet name="0902" sheetId="71" r:id="rId26"/>
    <sheet name="0831" sheetId="70" r:id="rId27"/>
    <sheet name="0826" sheetId="69" r:id="rId28"/>
    <sheet name="0722" sheetId="68" r:id="rId29"/>
    <sheet name="0708" sheetId="67" r:id="rId30"/>
    <sheet name="0630" sheetId="66" r:id="rId31"/>
    <sheet name="0624" sheetId="65" r:id="rId32"/>
    <sheet name="0617" sheetId="64" r:id="rId33"/>
    <sheet name="0610" sheetId="63" r:id="rId34"/>
    <sheet name="0602" sheetId="62" r:id="rId35"/>
    <sheet name="0527" sheetId="61" r:id="rId36"/>
    <sheet name="0520" sheetId="60" r:id="rId37"/>
    <sheet name="0513" sheetId="59" r:id="rId38"/>
    <sheet name="0506" sheetId="58" r:id="rId39"/>
    <sheet name="0429" sheetId="57" r:id="rId40"/>
    <sheet name="0422" sheetId="56" r:id="rId41"/>
    <sheet name="0415" sheetId="55" r:id="rId42"/>
    <sheet name="0408" sheetId="54" r:id="rId4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96" l="1"/>
  <c r="D10" i="96"/>
  <c r="D9" i="96"/>
  <c r="C7" i="96"/>
  <c r="B7" i="96"/>
  <c r="B11" i="96" s="1"/>
  <c r="D6" i="96"/>
  <c r="D5" i="96"/>
  <c r="D4" i="96"/>
  <c r="E2" i="96"/>
  <c r="E11" i="95"/>
  <c r="D10" i="95"/>
  <c r="D9" i="95"/>
  <c r="C7" i="95"/>
  <c r="B7" i="95"/>
  <c r="B11" i="95" s="1"/>
  <c r="D6" i="95"/>
  <c r="D5" i="95"/>
  <c r="D4" i="95"/>
  <c r="E2" i="95"/>
  <c r="E11" i="94"/>
  <c r="D10" i="94"/>
  <c r="D9" i="94"/>
  <c r="C7" i="94"/>
  <c r="B7" i="94"/>
  <c r="B11" i="94" s="1"/>
  <c r="D6" i="94"/>
  <c r="D5" i="94"/>
  <c r="D4" i="94"/>
  <c r="E2" i="94"/>
  <c r="E11" i="93"/>
  <c r="D10" i="93"/>
  <c r="D9" i="93"/>
  <c r="C7" i="93"/>
  <c r="B7" i="93"/>
  <c r="B11" i="93" s="1"/>
  <c r="D6" i="93"/>
  <c r="D5" i="93"/>
  <c r="D4" i="93"/>
  <c r="E2" i="93"/>
  <c r="E11" i="92"/>
  <c r="D10" i="92"/>
  <c r="D9" i="92"/>
  <c r="C7" i="92"/>
  <c r="B7" i="92"/>
  <c r="B11" i="92" s="1"/>
  <c r="D6" i="92"/>
  <c r="D5" i="92"/>
  <c r="D4" i="92"/>
  <c r="E2" i="92"/>
  <c r="E11" i="91"/>
  <c r="D10" i="91"/>
  <c r="D9" i="91"/>
  <c r="C7" i="91"/>
  <c r="B7" i="91"/>
  <c r="B11" i="91" s="1"/>
  <c r="D6" i="91"/>
  <c r="D5" i="91"/>
  <c r="D4" i="91"/>
  <c r="E2" i="91"/>
  <c r="E11" i="90"/>
  <c r="D10" i="90"/>
  <c r="D9" i="90"/>
  <c r="C7" i="90"/>
  <c r="B7" i="90"/>
  <c r="B11" i="90" s="1"/>
  <c r="D6" i="90"/>
  <c r="D5" i="90"/>
  <c r="D4" i="90"/>
  <c r="E2" i="90"/>
  <c r="E11" i="89"/>
  <c r="D10" i="89"/>
  <c r="D9" i="89"/>
  <c r="C7" i="89"/>
  <c r="B7" i="89"/>
  <c r="B11" i="89" s="1"/>
  <c r="D6" i="89"/>
  <c r="D5" i="89"/>
  <c r="D4" i="89"/>
  <c r="E2" i="89"/>
  <c r="E11" i="88"/>
  <c r="D10" i="88"/>
  <c r="D9" i="88"/>
  <c r="C7" i="88"/>
  <c r="B7" i="88"/>
  <c r="B11" i="88" s="1"/>
  <c r="D6" i="88"/>
  <c r="D5" i="88"/>
  <c r="D4" i="88"/>
  <c r="E2" i="88"/>
  <c r="D4" i="87"/>
  <c r="E11" i="87"/>
  <c r="D10" i="87"/>
  <c r="D9" i="87"/>
  <c r="C7" i="87"/>
  <c r="B7" i="87"/>
  <c r="B11" i="87" s="1"/>
  <c r="D6" i="87"/>
  <c r="D5" i="87"/>
  <c r="E2" i="87"/>
  <c r="E11" i="86"/>
  <c r="D10" i="86"/>
  <c r="D9" i="86"/>
  <c r="C7" i="86"/>
  <c r="B7" i="86"/>
  <c r="B11" i="86" s="1"/>
  <c r="D6" i="86"/>
  <c r="D5" i="86"/>
  <c r="D4" i="86"/>
  <c r="E2" i="86"/>
  <c r="E11" i="85"/>
  <c r="D10" i="85"/>
  <c r="D9" i="85"/>
  <c r="C7" i="85"/>
  <c r="B7" i="85"/>
  <c r="B11" i="85" s="1"/>
  <c r="D6" i="85"/>
  <c r="D5" i="85"/>
  <c r="D4" i="85"/>
  <c r="E2" i="85"/>
  <c r="D4" i="84"/>
  <c r="E11" i="84"/>
  <c r="D10" i="84"/>
  <c r="D9" i="84"/>
  <c r="C7" i="84"/>
  <c r="B7" i="84"/>
  <c r="B11" i="84" s="1"/>
  <c r="D6" i="84"/>
  <c r="D5" i="84"/>
  <c r="E2" i="84"/>
  <c r="E11" i="83"/>
  <c r="D10" i="83"/>
  <c r="D9" i="83"/>
  <c r="C7" i="83"/>
  <c r="B7" i="83"/>
  <c r="B11" i="83" s="1"/>
  <c r="D6" i="83"/>
  <c r="D5" i="83"/>
  <c r="D4" i="83"/>
  <c r="E2" i="83"/>
  <c r="E11" i="82"/>
  <c r="D10" i="82"/>
  <c r="D9" i="82"/>
  <c r="C7" i="82"/>
  <c r="B7" i="82"/>
  <c r="B11" i="82" s="1"/>
  <c r="D6" i="82"/>
  <c r="D5" i="82"/>
  <c r="D4" i="82"/>
  <c r="E2" i="82"/>
  <c r="E11" i="81"/>
  <c r="D10" i="81"/>
  <c r="D9" i="81"/>
  <c r="C7" i="81"/>
  <c r="B7" i="81"/>
  <c r="B11" i="81" s="1"/>
  <c r="D6" i="81"/>
  <c r="D5" i="81"/>
  <c r="D4" i="81"/>
  <c r="E2" i="81"/>
  <c r="E11" i="80"/>
  <c r="D10" i="80"/>
  <c r="D9" i="80"/>
  <c r="C7" i="80"/>
  <c r="B7" i="80"/>
  <c r="B11" i="80" s="1"/>
  <c r="D6" i="80"/>
  <c r="D5" i="80"/>
  <c r="D4" i="80"/>
  <c r="E2" i="80"/>
  <c r="E11" i="79"/>
  <c r="D10" i="79"/>
  <c r="D9" i="79"/>
  <c r="C7" i="79"/>
  <c r="B7" i="79"/>
  <c r="B11" i="79" s="1"/>
  <c r="D6" i="79"/>
  <c r="D5" i="79"/>
  <c r="D4" i="79"/>
  <c r="E2" i="79"/>
  <c r="D4" i="78"/>
  <c r="E11" i="78"/>
  <c r="D10" i="78"/>
  <c r="D9" i="78"/>
  <c r="C7" i="78"/>
  <c r="B7" i="78"/>
  <c r="B11" i="78" s="1"/>
  <c r="D6" i="78"/>
  <c r="D5" i="78"/>
  <c r="E2" i="78"/>
  <c r="D10" i="77"/>
  <c r="E11" i="77"/>
  <c r="D9" i="77"/>
  <c r="C7" i="77"/>
  <c r="B7" i="77"/>
  <c r="B11" i="77" s="1"/>
  <c r="D6" i="77"/>
  <c r="D5" i="77"/>
  <c r="D4" i="77"/>
  <c r="E2" i="77"/>
  <c r="E11" i="76"/>
  <c r="D9" i="76"/>
  <c r="C7" i="76"/>
  <c r="B7" i="76"/>
  <c r="B11" i="76" s="1"/>
  <c r="D6" i="76"/>
  <c r="D5" i="76"/>
  <c r="D4" i="76"/>
  <c r="E2" i="76"/>
  <c r="E11" i="75"/>
  <c r="D9" i="75"/>
  <c r="C7" i="75"/>
  <c r="B7" i="75"/>
  <c r="B11" i="75" s="1"/>
  <c r="D6" i="75"/>
  <c r="D5" i="75"/>
  <c r="D4" i="75"/>
  <c r="E2" i="75"/>
  <c r="E11" i="74"/>
  <c r="D9" i="74"/>
  <c r="C7" i="74"/>
  <c r="B7" i="74"/>
  <c r="B11" i="74" s="1"/>
  <c r="D6" i="74"/>
  <c r="D5" i="74"/>
  <c r="D4" i="74"/>
  <c r="E2" i="74"/>
  <c r="E11" i="73"/>
  <c r="D9" i="73"/>
  <c r="C7" i="73"/>
  <c r="B7" i="73"/>
  <c r="B11" i="73" s="1"/>
  <c r="D6" i="73"/>
  <c r="D5" i="73"/>
  <c r="D4" i="73"/>
  <c r="E2" i="73"/>
  <c r="E11" i="72"/>
  <c r="D9" i="72"/>
  <c r="C7" i="72"/>
  <c r="B7" i="72"/>
  <c r="B11" i="72" s="1"/>
  <c r="D6" i="72"/>
  <c r="D5" i="72"/>
  <c r="D4" i="72"/>
  <c r="E2" i="72"/>
  <c r="E11" i="71"/>
  <c r="D9" i="71"/>
  <c r="C7" i="71"/>
  <c r="B7" i="71"/>
  <c r="B11" i="71" s="1"/>
  <c r="D6" i="71"/>
  <c r="D5" i="71"/>
  <c r="D4" i="71"/>
  <c r="E2" i="71"/>
  <c r="E11" i="70"/>
  <c r="D9" i="70"/>
  <c r="C7" i="70"/>
  <c r="B7" i="70"/>
  <c r="B11" i="70" s="1"/>
  <c r="D6" i="70"/>
  <c r="D5" i="70"/>
  <c r="D4" i="70"/>
  <c r="E2" i="70"/>
  <c r="D9" i="69"/>
  <c r="E11" i="69"/>
  <c r="C7" i="69"/>
  <c r="B7" i="69"/>
  <c r="B11" i="69" s="1"/>
  <c r="D6" i="69"/>
  <c r="D5" i="69"/>
  <c r="D4" i="69"/>
  <c r="E2" i="69"/>
  <c r="E11" i="68"/>
  <c r="D9" i="68"/>
  <c r="C7" i="68"/>
  <c r="B7" i="68"/>
  <c r="B11" i="68" s="1"/>
  <c r="D6" i="68"/>
  <c r="D5" i="68"/>
  <c r="D4" i="68"/>
  <c r="E2" i="68"/>
  <c r="E2" i="67"/>
  <c r="E11" i="67"/>
  <c r="D9" i="67"/>
  <c r="C7" i="67"/>
  <c r="B7" i="67"/>
  <c r="B11" i="67" s="1"/>
  <c r="D6" i="67"/>
  <c r="D5" i="67"/>
  <c r="D4" i="67"/>
  <c r="E11" i="66"/>
  <c r="D9" i="66"/>
  <c r="C7" i="66"/>
  <c r="B7" i="66"/>
  <c r="B11" i="66" s="1"/>
  <c r="D6" i="66"/>
  <c r="D5" i="66"/>
  <c r="D4" i="66"/>
  <c r="E2" i="66"/>
  <c r="E11" i="65"/>
  <c r="D9" i="65"/>
  <c r="C7" i="65"/>
  <c r="B7" i="65"/>
  <c r="B11" i="65" s="1"/>
  <c r="D6" i="65"/>
  <c r="D5" i="65"/>
  <c r="D4" i="65"/>
  <c r="E2" i="65"/>
  <c r="E11" i="64"/>
  <c r="D9" i="64"/>
  <c r="C7" i="64"/>
  <c r="B7" i="64"/>
  <c r="B11" i="64" s="1"/>
  <c r="D6" i="64"/>
  <c r="D5" i="64"/>
  <c r="D4" i="64"/>
  <c r="E2" i="64"/>
  <c r="E11" i="63"/>
  <c r="D9" i="63"/>
  <c r="C7" i="63"/>
  <c r="B7" i="63"/>
  <c r="B11" i="63" s="1"/>
  <c r="D6" i="63"/>
  <c r="D5" i="63"/>
  <c r="D4" i="63"/>
  <c r="E2" i="63"/>
  <c r="E11" i="62"/>
  <c r="D9" i="62"/>
  <c r="C7" i="62"/>
  <c r="B7" i="62"/>
  <c r="B11" i="62" s="1"/>
  <c r="D6" i="62"/>
  <c r="D5" i="62"/>
  <c r="D4" i="62"/>
  <c r="E2" i="62"/>
  <c r="E11" i="61"/>
  <c r="D9" i="61"/>
  <c r="C7" i="61"/>
  <c r="B7" i="61"/>
  <c r="B11" i="61" s="1"/>
  <c r="D6" i="61"/>
  <c r="D5" i="61"/>
  <c r="D4" i="61"/>
  <c r="E2" i="61"/>
  <c r="E11" i="60"/>
  <c r="D9" i="60"/>
  <c r="C7" i="60"/>
  <c r="B7" i="60"/>
  <c r="B11" i="60" s="1"/>
  <c r="D6" i="60"/>
  <c r="D5" i="60"/>
  <c r="D4" i="60"/>
  <c r="E2" i="60"/>
  <c r="E11" i="59"/>
  <c r="D9" i="59"/>
  <c r="C7" i="59"/>
  <c r="B7" i="59"/>
  <c r="B11" i="59" s="1"/>
  <c r="D6" i="59"/>
  <c r="D5" i="59"/>
  <c r="D4" i="59"/>
  <c r="E2" i="59"/>
  <c r="E11" i="58"/>
  <c r="D9" i="58"/>
  <c r="C7" i="58"/>
  <c r="B7" i="58"/>
  <c r="B11" i="58" s="1"/>
  <c r="D6" i="58"/>
  <c r="D5" i="58"/>
  <c r="D4" i="58"/>
  <c r="E2" i="58"/>
  <c r="E11" i="57"/>
  <c r="D9" i="57"/>
  <c r="C7" i="57"/>
  <c r="B7" i="57"/>
  <c r="B11" i="57" s="1"/>
  <c r="D6" i="57"/>
  <c r="D5" i="57"/>
  <c r="D4" i="57"/>
  <c r="E2" i="57"/>
  <c r="E2" i="56"/>
  <c r="E11" i="56"/>
  <c r="D9" i="56"/>
  <c r="C7" i="56"/>
  <c r="B7" i="56"/>
  <c r="B11" i="56" s="1"/>
  <c r="D6" i="56"/>
  <c r="D5" i="56"/>
  <c r="D4" i="56"/>
  <c r="E11" i="55"/>
  <c r="D9" i="55"/>
  <c r="C7" i="55"/>
  <c r="B7" i="55"/>
  <c r="B11" i="55" s="1"/>
  <c r="D6" i="55"/>
  <c r="D5" i="55"/>
  <c r="D4" i="55"/>
  <c r="E2" i="55"/>
  <c r="E11" i="54"/>
  <c r="D9" i="54"/>
  <c r="C7" i="54"/>
  <c r="B7" i="54"/>
  <c r="B11" i="54" s="1"/>
  <c r="D6" i="54"/>
  <c r="D5" i="54"/>
  <c r="D4" i="54"/>
  <c r="E2" i="54"/>
  <c r="C11" i="96" l="1"/>
  <c r="D11" i="96" s="1"/>
  <c r="D7" i="96"/>
  <c r="C11" i="95"/>
  <c r="D11" i="95" s="1"/>
  <c r="D7" i="95"/>
  <c r="C11" i="94"/>
  <c r="D11" i="94" s="1"/>
  <c r="D7" i="94"/>
  <c r="C11" i="93"/>
  <c r="D11" i="93" s="1"/>
  <c r="D7" i="93"/>
  <c r="C11" i="92"/>
  <c r="D11" i="92" s="1"/>
  <c r="D7" i="92"/>
  <c r="C11" i="91"/>
  <c r="D11" i="91" s="1"/>
  <c r="D7" i="91"/>
  <c r="C11" i="90"/>
  <c r="D11" i="90" s="1"/>
  <c r="D7" i="90"/>
  <c r="C11" i="89"/>
  <c r="D11" i="89" s="1"/>
  <c r="D7" i="89"/>
  <c r="C11" i="88"/>
  <c r="D11" i="88" s="1"/>
  <c r="D7" i="88"/>
  <c r="C11" i="87"/>
  <c r="D11" i="87" s="1"/>
  <c r="D7" i="87"/>
  <c r="C11" i="86"/>
  <c r="D11" i="86" s="1"/>
  <c r="D7" i="86"/>
  <c r="C11" i="85"/>
  <c r="D11" i="85" s="1"/>
  <c r="D7" i="85"/>
  <c r="C11" i="84"/>
  <c r="D11" i="84" s="1"/>
  <c r="D7" i="84"/>
  <c r="C11" i="83"/>
  <c r="D11" i="83" s="1"/>
  <c r="D7" i="83"/>
  <c r="C11" i="82"/>
  <c r="D11" i="82" s="1"/>
  <c r="D7" i="82"/>
  <c r="C11" i="81"/>
  <c r="D11" i="81" s="1"/>
  <c r="D7" i="81"/>
  <c r="C11" i="80"/>
  <c r="D11" i="80" s="1"/>
  <c r="D7" i="80"/>
  <c r="C11" i="79"/>
  <c r="D11" i="79" s="1"/>
  <c r="D7" i="79"/>
  <c r="C11" i="78"/>
  <c r="D11" i="78" s="1"/>
  <c r="D7" i="78"/>
  <c r="C11" i="77"/>
  <c r="D11" i="77" s="1"/>
  <c r="D7" i="77"/>
  <c r="C11" i="76"/>
  <c r="D11" i="76" s="1"/>
  <c r="D7" i="76"/>
  <c r="C11" i="75"/>
  <c r="D11" i="75" s="1"/>
  <c r="D7" i="75"/>
  <c r="C11" i="74"/>
  <c r="D11" i="74" s="1"/>
  <c r="D7" i="74"/>
  <c r="C11" i="73"/>
  <c r="D11" i="73" s="1"/>
  <c r="D7" i="73"/>
  <c r="C11" i="72"/>
  <c r="D11" i="72" s="1"/>
  <c r="D7" i="72"/>
  <c r="C11" i="71"/>
  <c r="D11" i="71" s="1"/>
  <c r="D7" i="71"/>
  <c r="C11" i="70"/>
  <c r="D11" i="70" s="1"/>
  <c r="D7" i="70"/>
  <c r="C11" i="69"/>
  <c r="D11" i="69" s="1"/>
  <c r="D7" i="69"/>
  <c r="C11" i="68"/>
  <c r="D11" i="68" s="1"/>
  <c r="D7" i="68"/>
  <c r="C11" i="67"/>
  <c r="D11" i="67" s="1"/>
  <c r="D7" i="67"/>
  <c r="C11" i="66"/>
  <c r="D11" i="66" s="1"/>
  <c r="D7" i="66"/>
  <c r="C11" i="65"/>
  <c r="D11" i="65" s="1"/>
  <c r="D7" i="65"/>
  <c r="C11" i="64"/>
  <c r="D11" i="64" s="1"/>
  <c r="D7" i="64"/>
  <c r="C11" i="63"/>
  <c r="D11" i="63" s="1"/>
  <c r="D7" i="63"/>
  <c r="C11" i="62"/>
  <c r="D11" i="62" s="1"/>
  <c r="D7" i="62"/>
  <c r="C11" i="61"/>
  <c r="D11" i="61" s="1"/>
  <c r="D7" i="61"/>
  <c r="C11" i="60"/>
  <c r="D11" i="60" s="1"/>
  <c r="D7" i="60"/>
  <c r="C11" i="59"/>
  <c r="D11" i="59" s="1"/>
  <c r="D7" i="59"/>
  <c r="C11" i="58"/>
  <c r="D11" i="58" s="1"/>
  <c r="D7" i="58"/>
  <c r="C11" i="57"/>
  <c r="D11" i="57" s="1"/>
  <c r="D7" i="57"/>
  <c r="C11" i="56"/>
  <c r="D11" i="56" s="1"/>
  <c r="D7" i="56"/>
  <c r="C11" i="55"/>
  <c r="D11" i="55" s="1"/>
  <c r="D7" i="55"/>
  <c r="C11" i="54"/>
  <c r="D11" i="54" s="1"/>
  <c r="D7" i="54"/>
</calcChain>
</file>

<file path=xl/sharedStrings.xml><?xml version="1.0" encoding="utf-8"?>
<sst xmlns="http://schemas.openxmlformats.org/spreadsheetml/2006/main" count="819" uniqueCount="32">
  <si>
    <t>As end of</t>
  </si>
  <si>
    <t>Index</t>
  </si>
  <si>
    <t>Period</t>
  </si>
  <si>
    <t>Cost</t>
  </si>
  <si>
    <t>Profit</t>
  </si>
  <si>
    <t>Percent</t>
  </si>
  <si>
    <t>Stocks</t>
  </si>
  <si>
    <t>Yearly Dividend</t>
  </si>
  <si>
    <t>Total</t>
  </si>
  <si>
    <t>09-30</t>
  </si>
  <si>
    <t>09-23</t>
  </si>
  <si>
    <t>09-16</t>
  </si>
  <si>
    <t>09-09</t>
  </si>
  <si>
    <t>09-02</t>
  </si>
  <si>
    <t>08-31</t>
  </si>
  <si>
    <t>08-26</t>
  </si>
  <si>
    <t>07-22</t>
  </si>
  <si>
    <t>07-08</t>
  </si>
  <si>
    <t>06-30</t>
  </si>
  <si>
    <t>06-24</t>
  </si>
  <si>
    <t>06-17</t>
  </si>
  <si>
    <t>06-10</t>
  </si>
  <si>
    <t>06-02</t>
  </si>
  <si>
    <t>05-27</t>
  </si>
  <si>
    <t>05-20</t>
  </si>
  <si>
    <t>05-13</t>
  </si>
  <si>
    <t>05-06</t>
  </si>
  <si>
    <t>04-29</t>
  </si>
  <si>
    <t>04-22</t>
  </si>
  <si>
    <t>04-15</t>
  </si>
  <si>
    <t>04-08</t>
  </si>
  <si>
    <t>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</si>
</sst>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&quot;฿&quot;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ourier New"/>
    </font>
    <font>
      <sz val="11"/>
      <color theme="1"/>
      <name val="Courier New"/>
    </font>
    <font>
      <sz val="11"/>
      <color rgb="FF000000"/>
      <name val="Courier Ne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87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10" fontId="2" fillId="0" borderId="0" xfId="0" applyNumberFormat="1" applyFont="1"/>
    <xf numFmtId="187" fontId="2" fillId="0" borderId="0" xfId="0" applyNumberFormat="1" applyFont="1"/>
    <xf numFmtId="187" fontId="3" fillId="2" borderId="0" xfId="0" applyNumberFormat="1" applyFont="1" applyFill="1" applyAlignment="1">
      <alignment wrapText="1"/>
    </xf>
    <xf numFmtId="187" fontId="0" fillId="0" borderId="0" xfId="0" applyNumberFormat="1"/>
    <xf numFmtId="10" fontId="0" fillId="0" borderId="0" xfId="0" applyNumberFormat="1"/>
    <xf numFmtId="16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BAFE-2CA1-43E9-AA4C-8C4A7E6D5B6E}">
  <dimension ref="A1:F23"/>
  <sheetViews>
    <sheetView tabSelected="1" workbookViewId="0">
      <selection activeCell="E5" sqref="E5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44995</v>
      </c>
      <c r="D1" t="s">
        <v>1</v>
      </c>
      <c r="E1">
        <v>1599.65</v>
      </c>
    </row>
    <row r="2" spans="1:6">
      <c r="E2" s="9">
        <f>(E1-E13)/E13</f>
        <v>-4.4994025689535106E-3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2417100</v>
      </c>
      <c r="C4" s="7">
        <v>-722160</v>
      </c>
      <c r="D4" s="5">
        <f>C4/B4</f>
        <v>-0.29877125480948241</v>
      </c>
      <c r="E4">
        <v>6</v>
      </c>
    </row>
    <row r="5" spans="1:6">
      <c r="A5" s="4">
        <v>3</v>
      </c>
      <c r="B5" s="7">
        <v>1520400</v>
      </c>
      <c r="C5" s="7">
        <v>-79350</v>
      </c>
      <c r="D5" s="5">
        <f>C5/B5</f>
        <v>-5.2190213101815312E-2</v>
      </c>
      <c r="E5">
        <v>6</v>
      </c>
      <c r="F5" s="8"/>
    </row>
    <row r="6" spans="1:6">
      <c r="A6" s="4">
        <v>1</v>
      </c>
      <c r="B6" s="7">
        <v>2224700</v>
      </c>
      <c r="C6" s="7">
        <v>-766450</v>
      </c>
      <c r="D6" s="5">
        <f>C6/B6</f>
        <v>-0.34451836202634062</v>
      </c>
      <c r="E6">
        <v>5</v>
      </c>
    </row>
    <row r="7" spans="1:6">
      <c r="A7" s="4"/>
      <c r="B7" s="6">
        <f>SUM(B4:B6)</f>
        <v>6162200</v>
      </c>
      <c r="C7" s="6">
        <f>SUM(C4:C6)</f>
        <v>-1567960</v>
      </c>
      <c r="D7" s="5">
        <f>C7/B7</f>
        <v>-0.25444808672227454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5195400</v>
      </c>
      <c r="C9" s="7">
        <v>-869200</v>
      </c>
      <c r="D9" s="5">
        <f>C9/B9</f>
        <v>-0.16730184393886899</v>
      </c>
      <c r="E9">
        <v>9</v>
      </c>
    </row>
    <row r="10" spans="1:6">
      <c r="A10" s="4"/>
      <c r="B10" s="7"/>
      <c r="C10" s="7">
        <v>484410.5</v>
      </c>
      <c r="D10" s="5">
        <f>C10/B9</f>
        <v>9.3238345459444899E-2</v>
      </c>
    </row>
    <row r="11" spans="1:6" ht="15.75">
      <c r="A11" s="1" t="s">
        <v>8</v>
      </c>
      <c r="B11" s="6">
        <f>B7+B9</f>
        <v>11357600</v>
      </c>
      <c r="C11" s="6">
        <f>C7+C9</f>
        <v>-2437160</v>
      </c>
      <c r="D11" s="5">
        <f>C11/B11</f>
        <v>-0.21458406705642036</v>
      </c>
      <c r="E11">
        <f>E4+E5+E6+E9</f>
        <v>26</v>
      </c>
    </row>
    <row r="13" spans="1:6" ht="15.75">
      <c r="B13" s="1" t="s">
        <v>0</v>
      </c>
      <c r="C13" s="10">
        <v>44988</v>
      </c>
      <c r="D13" t="s">
        <v>1</v>
      </c>
      <c r="E13">
        <v>1606.88</v>
      </c>
    </row>
    <row r="14" spans="1:6">
      <c r="E14" s="9">
        <v>-9.5355502819982133E-3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2618250</v>
      </c>
      <c r="C16" s="7">
        <v>-752800</v>
      </c>
      <c r="D16" s="5">
        <v>-0.28752029027021864</v>
      </c>
      <c r="E16">
        <v>7</v>
      </c>
    </row>
    <row r="17" spans="1:5">
      <c r="A17" s="4">
        <v>3</v>
      </c>
      <c r="B17" s="7">
        <v>1434000</v>
      </c>
      <c r="C17" s="7">
        <v>-87675</v>
      </c>
      <c r="D17" s="5">
        <v>-6.1140167364016736E-2</v>
      </c>
      <c r="E17">
        <v>6</v>
      </c>
    </row>
    <row r="18" spans="1:5">
      <c r="A18" s="4">
        <v>1</v>
      </c>
      <c r="B18" s="7">
        <v>2224700</v>
      </c>
      <c r="C18" s="7">
        <v>-745250</v>
      </c>
      <c r="D18" s="5">
        <v>-0.33498898727918369</v>
      </c>
      <c r="E18">
        <v>5</v>
      </c>
    </row>
    <row r="19" spans="1:5">
      <c r="A19" s="4"/>
      <c r="B19" s="6">
        <v>6276950</v>
      </c>
      <c r="C19" s="6">
        <v>-1585725</v>
      </c>
      <c r="D19" s="5">
        <v>-0.25262667378264919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5071250</v>
      </c>
      <c r="C21" s="7">
        <v>-747000</v>
      </c>
      <c r="D21" s="5">
        <v>-0.14730096130145429</v>
      </c>
      <c r="E21">
        <v>8</v>
      </c>
    </row>
    <row r="22" spans="1:5">
      <c r="A22" s="4"/>
      <c r="B22" s="7"/>
      <c r="C22" s="7">
        <v>484840</v>
      </c>
      <c r="D22" s="5">
        <v>9.5605619916194234E-2</v>
      </c>
    </row>
    <row r="23" spans="1:5" ht="15.75">
      <c r="A23" s="1" t="s">
        <v>8</v>
      </c>
      <c r="B23" s="6">
        <v>11348200</v>
      </c>
      <c r="C23" s="6">
        <v>-2332725</v>
      </c>
      <c r="D23" s="5">
        <v>-0.20555903138823778</v>
      </c>
      <c r="E23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0B87-89F1-4BDE-A748-CD348F83E0A4}">
  <dimension ref="A1:F23"/>
  <sheetViews>
    <sheetView workbookViewId="0">
      <selection activeCell="D11" sqref="D11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44988</v>
      </c>
      <c r="D1" t="s">
        <v>1</v>
      </c>
      <c r="E1">
        <v>1606.88</v>
      </c>
    </row>
    <row r="2" spans="1:6">
      <c r="E2" s="9">
        <f>(E1-E13)/E13</f>
        <v>-9.5355502819982133E-3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2618250</v>
      </c>
      <c r="C4" s="7">
        <v>-752800</v>
      </c>
      <c r="D4" s="5">
        <f>C4/B4</f>
        <v>-0.28752029027021864</v>
      </c>
      <c r="E4">
        <v>7</v>
      </c>
    </row>
    <row r="5" spans="1:6">
      <c r="A5" s="4">
        <v>3</v>
      </c>
      <c r="B5" s="7">
        <v>1434000</v>
      </c>
      <c r="C5" s="7">
        <v>-87675</v>
      </c>
      <c r="D5" s="5">
        <f>C5/B5</f>
        <v>-6.1140167364016736E-2</v>
      </c>
      <c r="E5">
        <v>6</v>
      </c>
      <c r="F5" s="8"/>
    </row>
    <row r="6" spans="1:6">
      <c r="A6" s="4">
        <v>1</v>
      </c>
      <c r="B6" s="7">
        <v>2224700</v>
      </c>
      <c r="C6" s="7">
        <v>-745250</v>
      </c>
      <c r="D6" s="5">
        <f>C6/B6</f>
        <v>-0.33498898727918369</v>
      </c>
      <c r="E6">
        <v>5</v>
      </c>
    </row>
    <row r="7" spans="1:6">
      <c r="A7" s="4"/>
      <c r="B7" s="6">
        <f>SUM(B4:B6)</f>
        <v>6276950</v>
      </c>
      <c r="C7" s="6">
        <f>SUM(C4:C6)</f>
        <v>-1585725</v>
      </c>
      <c r="D7" s="5">
        <f>C7/B7</f>
        <v>-0.25262667378264919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5071250</v>
      </c>
      <c r="C9" s="7">
        <v>-747000</v>
      </c>
      <c r="D9" s="5">
        <f>C9/B9</f>
        <v>-0.14730096130145429</v>
      </c>
      <c r="E9">
        <v>8</v>
      </c>
    </row>
    <row r="10" spans="1:6">
      <c r="A10" s="4"/>
      <c r="B10" s="7"/>
      <c r="C10" s="7">
        <v>484840</v>
      </c>
      <c r="D10" s="5">
        <f>C10/B9</f>
        <v>9.5605619916194234E-2</v>
      </c>
    </row>
    <row r="11" spans="1:6" ht="15.75">
      <c r="A11" s="1" t="s">
        <v>8</v>
      </c>
      <c r="B11" s="6">
        <f>B7+B9</f>
        <v>11348200</v>
      </c>
      <c r="C11" s="6">
        <f>C7+C9</f>
        <v>-2332725</v>
      </c>
      <c r="D11" s="5">
        <f>C11/B11</f>
        <v>-0.20555903138823778</v>
      </c>
      <c r="E11">
        <f>E4+E5+E6+E9</f>
        <v>26</v>
      </c>
    </row>
    <row r="13" spans="1:6" ht="15.75">
      <c r="B13" s="1" t="s">
        <v>0</v>
      </c>
      <c r="C13" s="10">
        <v>44985</v>
      </c>
      <c r="D13" t="s">
        <v>1</v>
      </c>
      <c r="E13">
        <v>1622.35</v>
      </c>
    </row>
    <row r="14" spans="1:6">
      <c r="E14" s="9">
        <v>-7.1418954480361764E-3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1523850</v>
      </c>
      <c r="C16" s="7">
        <v>-393900</v>
      </c>
      <c r="D16" s="5">
        <v>-0.2584900088591397</v>
      </c>
      <c r="E16">
        <v>5</v>
      </c>
    </row>
    <row r="17" spans="1:5">
      <c r="A17" s="4">
        <v>3</v>
      </c>
      <c r="B17" s="7">
        <v>1434000</v>
      </c>
      <c r="C17" s="7">
        <v>-62850</v>
      </c>
      <c r="D17" s="5">
        <v>-4.382845188284519E-2</v>
      </c>
      <c r="E17">
        <v>6</v>
      </c>
    </row>
    <row r="18" spans="1:5">
      <c r="A18" s="4">
        <v>1</v>
      </c>
      <c r="B18" s="7">
        <v>2224700</v>
      </c>
      <c r="C18" s="7">
        <v>-713350</v>
      </c>
      <c r="D18" s="5">
        <v>-0.3206499752775655</v>
      </c>
      <c r="E18">
        <v>5</v>
      </c>
    </row>
    <row r="19" spans="1:5">
      <c r="A19" s="4"/>
      <c r="B19" s="6">
        <v>5182550</v>
      </c>
      <c r="C19" s="6">
        <v>-1170100</v>
      </c>
      <c r="D19" s="5">
        <v>-0.22577688589593925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5393150</v>
      </c>
      <c r="C21" s="7">
        <v>-620900</v>
      </c>
      <c r="D21" s="5">
        <v>-0.11512752287624116</v>
      </c>
      <c r="E21">
        <v>9</v>
      </c>
    </row>
    <row r="22" spans="1:5">
      <c r="A22" s="4"/>
      <c r="B22" s="7"/>
      <c r="C22" s="7">
        <v>496840</v>
      </c>
      <c r="D22" s="5">
        <v>9.2124268748319624E-2</v>
      </c>
    </row>
    <row r="23" spans="1:5" ht="15.75">
      <c r="A23" s="1" t="s">
        <v>8</v>
      </c>
      <c r="B23" s="6">
        <v>10575700</v>
      </c>
      <c r="C23" s="6">
        <v>-1791000</v>
      </c>
      <c r="D23" s="5">
        <v>-0.1693504921660032</v>
      </c>
      <c r="E23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BD0B-A79F-4521-9DFA-CED233837B82}">
  <dimension ref="A1:F23"/>
  <sheetViews>
    <sheetView topLeftCell="A6" workbookViewId="0">
      <selection activeCell="C11" sqref="C11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44985</v>
      </c>
      <c r="D1" t="s">
        <v>1</v>
      </c>
      <c r="E1">
        <v>1622.35</v>
      </c>
    </row>
    <row r="2" spans="1:6">
      <c r="E2" s="9">
        <f>(E1-E13)/E13</f>
        <v>-7.1418954480361764E-3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1523850</v>
      </c>
      <c r="C4" s="7">
        <v>-393900</v>
      </c>
      <c r="D4" s="5">
        <f>C4/B4</f>
        <v>-0.2584900088591397</v>
      </c>
      <c r="E4">
        <v>5</v>
      </c>
    </row>
    <row r="5" spans="1:6">
      <c r="A5" s="4">
        <v>3</v>
      </c>
      <c r="B5" s="7">
        <v>1434000</v>
      </c>
      <c r="C5" s="7">
        <v>-62850</v>
      </c>
      <c r="D5" s="5">
        <f>C5/B5</f>
        <v>-4.382845188284519E-2</v>
      </c>
      <c r="E5">
        <v>6</v>
      </c>
      <c r="F5" s="8"/>
    </row>
    <row r="6" spans="1:6">
      <c r="A6" s="4">
        <v>1</v>
      </c>
      <c r="B6" s="7">
        <v>2224700</v>
      </c>
      <c r="C6" s="7">
        <v>-713350</v>
      </c>
      <c r="D6" s="5">
        <f>C6/B6</f>
        <v>-0.3206499752775655</v>
      </c>
      <c r="E6">
        <v>5</v>
      </c>
    </row>
    <row r="7" spans="1:6">
      <c r="A7" s="4"/>
      <c r="B7" s="6">
        <f>SUM(B4:B6)</f>
        <v>5182550</v>
      </c>
      <c r="C7" s="6">
        <f>SUM(C4:C6)</f>
        <v>-1170100</v>
      </c>
      <c r="D7" s="5">
        <f>C7/B7</f>
        <v>-0.22577688589593925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5393150</v>
      </c>
      <c r="C9" s="7">
        <v>-620900</v>
      </c>
      <c r="D9" s="5">
        <f>C9/B9</f>
        <v>-0.11512752287624116</v>
      </c>
      <c r="E9">
        <v>9</v>
      </c>
    </row>
    <row r="10" spans="1:6">
      <c r="A10" s="4"/>
      <c r="B10" s="7"/>
      <c r="C10" s="7">
        <v>496840</v>
      </c>
      <c r="D10" s="5">
        <f>C10/B9</f>
        <v>9.2124268748319624E-2</v>
      </c>
    </row>
    <row r="11" spans="1:6" ht="15.75">
      <c r="A11" s="1" t="s">
        <v>8</v>
      </c>
      <c r="B11" s="6">
        <f>B7+B9</f>
        <v>10575700</v>
      </c>
      <c r="C11" s="6">
        <f>C7+C9</f>
        <v>-1791000</v>
      </c>
      <c r="D11" s="5">
        <f>C11/B11</f>
        <v>-0.1693504921660032</v>
      </c>
      <c r="E11">
        <f>E4+E5+E6+E9</f>
        <v>25</v>
      </c>
    </row>
    <row r="13" spans="1:6" ht="15.75">
      <c r="B13" s="1" t="s">
        <v>0</v>
      </c>
      <c r="C13" s="10">
        <v>44981</v>
      </c>
      <c r="D13" t="s">
        <v>1</v>
      </c>
      <c r="E13">
        <v>1634.02</v>
      </c>
    </row>
    <row r="14" spans="1:6">
      <c r="E14" s="9">
        <v>-2.1744076056371721E-2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1559100</v>
      </c>
      <c r="C16" s="7">
        <v>-433700</v>
      </c>
      <c r="D16" s="5">
        <v>-0.27817330511192356</v>
      </c>
      <c r="E16">
        <v>5</v>
      </c>
    </row>
    <row r="17" spans="1:5">
      <c r="A17" s="4">
        <v>3</v>
      </c>
      <c r="B17" s="7">
        <v>1700850</v>
      </c>
      <c r="C17" s="7">
        <v>-237000</v>
      </c>
      <c r="D17" s="5">
        <v>-0.13934209365905284</v>
      </c>
      <c r="E17">
        <v>6</v>
      </c>
    </row>
    <row r="18" spans="1:5">
      <c r="A18" s="4">
        <v>1</v>
      </c>
      <c r="B18" s="7">
        <v>2224700</v>
      </c>
      <c r="C18" s="7">
        <v>-675850</v>
      </c>
      <c r="D18" s="5">
        <v>-0.30379376994650964</v>
      </c>
      <c r="E18">
        <v>5</v>
      </c>
    </row>
    <row r="19" spans="1:5">
      <c r="A19" s="4"/>
      <c r="B19" s="6">
        <v>5484650</v>
      </c>
      <c r="C19" s="6">
        <v>-1346550</v>
      </c>
      <c r="D19" s="5">
        <v>-0.24551247572771279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5699550</v>
      </c>
      <c r="C21" s="7">
        <v>-617100</v>
      </c>
      <c r="D21" s="5">
        <v>-0.10827170566097323</v>
      </c>
      <c r="E21">
        <v>10</v>
      </c>
    </row>
    <row r="22" spans="1:5">
      <c r="A22" s="4"/>
      <c r="B22" s="7"/>
      <c r="C22" s="7">
        <v>551516</v>
      </c>
      <c r="D22" s="5">
        <v>9.6764832311322824E-2</v>
      </c>
    </row>
    <row r="23" spans="1:5" ht="15.75">
      <c r="A23" s="1" t="s">
        <v>8</v>
      </c>
      <c r="B23" s="6">
        <v>11184200</v>
      </c>
      <c r="C23" s="6">
        <v>-1963650</v>
      </c>
      <c r="D23" s="5">
        <v>-0.17557357701042542</v>
      </c>
      <c r="E23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D0CC4-22F0-49BC-B057-37E97FBE7A14}">
  <dimension ref="A1:F23"/>
  <sheetViews>
    <sheetView workbookViewId="0">
      <selection activeCell="E4" sqref="E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44981</v>
      </c>
      <c r="D1" t="s">
        <v>1</v>
      </c>
      <c r="E1">
        <v>1634.02</v>
      </c>
    </row>
    <row r="2" spans="1:6">
      <c r="E2" s="9">
        <f>(E1-E13)/E13</f>
        <v>-2.1744076056371721E-2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1559100</v>
      </c>
      <c r="C4" s="7">
        <v>-433700</v>
      </c>
      <c r="D4" s="5">
        <f>C4/B4</f>
        <v>-0.27817330511192356</v>
      </c>
      <c r="E4">
        <v>5</v>
      </c>
    </row>
    <row r="5" spans="1:6">
      <c r="A5" s="4">
        <v>3</v>
      </c>
      <c r="B5" s="7">
        <v>1700850</v>
      </c>
      <c r="C5" s="7">
        <v>-237000</v>
      </c>
      <c r="D5" s="5">
        <f>C5/B5</f>
        <v>-0.13934209365905284</v>
      </c>
      <c r="E5">
        <v>6</v>
      </c>
      <c r="F5" s="8"/>
    </row>
    <row r="6" spans="1:6">
      <c r="A6" s="4">
        <v>1</v>
      </c>
      <c r="B6" s="7">
        <v>2224700</v>
      </c>
      <c r="C6" s="7">
        <v>-675850</v>
      </c>
      <c r="D6" s="5">
        <f>C6/B6</f>
        <v>-0.30379376994650964</v>
      </c>
      <c r="E6">
        <v>5</v>
      </c>
    </row>
    <row r="7" spans="1:6">
      <c r="A7" s="4"/>
      <c r="B7" s="6">
        <f>SUM(B4:B6)</f>
        <v>5484650</v>
      </c>
      <c r="C7" s="6">
        <f>SUM(C4:C6)</f>
        <v>-1346550</v>
      </c>
      <c r="D7" s="5">
        <f>C7/B7</f>
        <v>-0.24551247572771279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5699550</v>
      </c>
      <c r="C9" s="7">
        <v>-617100</v>
      </c>
      <c r="D9" s="5">
        <f>C9/B9</f>
        <v>-0.10827170566097323</v>
      </c>
      <c r="E9">
        <v>10</v>
      </c>
    </row>
    <row r="10" spans="1:6">
      <c r="A10" s="4"/>
      <c r="B10" s="7"/>
      <c r="C10" s="7">
        <v>551516</v>
      </c>
      <c r="D10" s="5">
        <f>C10/B9</f>
        <v>9.6764832311322824E-2</v>
      </c>
    </row>
    <row r="11" spans="1:6" ht="15.75">
      <c r="A11" s="1" t="s">
        <v>8</v>
      </c>
      <c r="B11" s="6">
        <f>B7+B9</f>
        <v>11184200</v>
      </c>
      <c r="C11" s="6">
        <f>C7+C9</f>
        <v>-1963650</v>
      </c>
      <c r="D11" s="5">
        <f>C11/B11</f>
        <v>-0.17557357701042542</v>
      </c>
      <c r="E11">
        <f>E4+E5+E6+E9</f>
        <v>26</v>
      </c>
    </row>
    <row r="13" spans="1:6" ht="15.75">
      <c r="B13" s="1" t="s">
        <v>0</v>
      </c>
      <c r="C13" s="10">
        <v>44967</v>
      </c>
      <c r="D13" t="s">
        <v>1</v>
      </c>
      <c r="E13">
        <v>1670.34</v>
      </c>
    </row>
    <row r="14" spans="1:6">
      <c r="E14" s="9">
        <v>-1.0673079201118235E-2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890100</v>
      </c>
      <c r="C16" s="7">
        <v>-96825</v>
      </c>
      <c r="D16" s="5">
        <v>-0.1087799123693967</v>
      </c>
      <c r="E16">
        <v>5</v>
      </c>
    </row>
    <row r="17" spans="1:5">
      <c r="A17" s="4">
        <v>3</v>
      </c>
      <c r="B17" s="7">
        <v>2100750</v>
      </c>
      <c r="C17" s="7">
        <v>-457700</v>
      </c>
      <c r="D17" s="5">
        <v>-0.21787456860645008</v>
      </c>
      <c r="E17">
        <v>5</v>
      </c>
    </row>
    <row r="18" spans="1:5">
      <c r="A18" s="4">
        <v>1</v>
      </c>
      <c r="B18" s="7">
        <v>2224700</v>
      </c>
      <c r="C18" s="7">
        <v>-674500</v>
      </c>
      <c r="D18" s="5">
        <v>-0.30318694655459161</v>
      </c>
      <c r="E18">
        <v>5</v>
      </c>
    </row>
    <row r="19" spans="1:5">
      <c r="A19" s="4"/>
      <c r="B19" s="6">
        <v>5215550</v>
      </c>
      <c r="C19" s="6">
        <v>-1229025</v>
      </c>
      <c r="D19" s="5">
        <v>-0.23564628850265074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5904750</v>
      </c>
      <c r="C21" s="7">
        <v>-585250</v>
      </c>
      <c r="D21" s="5">
        <v>-9.9115119183708036E-2</v>
      </c>
      <c r="E21">
        <v>11</v>
      </c>
    </row>
    <row r="22" spans="1:5">
      <c r="A22" s="4"/>
      <c r="B22" s="7"/>
      <c r="C22" s="7">
        <v>551516</v>
      </c>
      <c r="D22" s="5">
        <v>9.3402091536474871E-2</v>
      </c>
    </row>
    <row r="23" spans="1:5" ht="15.75">
      <c r="A23" s="1" t="s">
        <v>8</v>
      </c>
      <c r="B23" s="6">
        <v>11120300</v>
      </c>
      <c r="C23" s="6">
        <v>-1814275</v>
      </c>
      <c r="D23" s="5">
        <v>-0.16314982509464673</v>
      </c>
      <c r="E23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E434-8EB0-459E-8102-3AA330B0A12F}">
  <dimension ref="A1:F23"/>
  <sheetViews>
    <sheetView workbookViewId="0">
      <selection activeCell="E11" sqref="E11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44967</v>
      </c>
      <c r="D1" t="s">
        <v>1</v>
      </c>
      <c r="E1">
        <v>1670.34</v>
      </c>
    </row>
    <row r="2" spans="1:6">
      <c r="E2" s="9">
        <f>(E1-E13)/E13</f>
        <v>-1.0673079201118235E-2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890100</v>
      </c>
      <c r="C4" s="7">
        <v>-96825</v>
      </c>
      <c r="D4" s="5">
        <f>C4/B4</f>
        <v>-0.1087799123693967</v>
      </c>
      <c r="E4">
        <v>5</v>
      </c>
    </row>
    <row r="5" spans="1:6">
      <c r="A5" s="4">
        <v>3</v>
      </c>
      <c r="B5" s="7">
        <v>2100750</v>
      </c>
      <c r="C5" s="7">
        <v>-457700</v>
      </c>
      <c r="D5" s="5">
        <f>C5/B5</f>
        <v>-0.21787456860645008</v>
      </c>
      <c r="E5">
        <v>5</v>
      </c>
      <c r="F5" s="8"/>
    </row>
    <row r="6" spans="1:6">
      <c r="A6" s="4">
        <v>1</v>
      </c>
      <c r="B6" s="7">
        <v>2224700</v>
      </c>
      <c r="C6" s="7">
        <v>-674500</v>
      </c>
      <c r="D6" s="5">
        <f>C6/B6</f>
        <v>-0.30318694655459161</v>
      </c>
      <c r="E6">
        <v>5</v>
      </c>
    </row>
    <row r="7" spans="1:6">
      <c r="A7" s="4"/>
      <c r="B7" s="6">
        <f>SUM(B4:B6)</f>
        <v>5215550</v>
      </c>
      <c r="C7" s="6">
        <f>SUM(C4:C6)</f>
        <v>-1229025</v>
      </c>
      <c r="D7" s="5">
        <f>C7/B7</f>
        <v>-0.23564628850265074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5904750</v>
      </c>
      <c r="C9" s="7">
        <v>-585250</v>
      </c>
      <c r="D9" s="5">
        <f>C9/B9</f>
        <v>-9.9115119183708036E-2</v>
      </c>
      <c r="E9">
        <v>11</v>
      </c>
    </row>
    <row r="10" spans="1:6">
      <c r="A10" s="4"/>
      <c r="B10" s="7"/>
      <c r="C10" s="7">
        <v>551516</v>
      </c>
      <c r="D10" s="5">
        <f>C10/B9</f>
        <v>9.3402091536474871E-2</v>
      </c>
    </row>
    <row r="11" spans="1:6" ht="15.75">
      <c r="A11" s="1" t="s">
        <v>8</v>
      </c>
      <c r="B11" s="6">
        <f>B7+B9</f>
        <v>11120300</v>
      </c>
      <c r="C11" s="6">
        <f>C7+C9</f>
        <v>-1814275</v>
      </c>
      <c r="D11" s="5">
        <f>C11/B11</f>
        <v>-0.16314982509464673</v>
      </c>
      <c r="E11">
        <f>E4+E5+E6+E9</f>
        <v>26</v>
      </c>
    </row>
    <row r="13" spans="1:6" ht="15.75">
      <c r="B13" s="1" t="s">
        <v>0</v>
      </c>
      <c r="C13" s="10">
        <v>44960</v>
      </c>
      <c r="D13" t="s">
        <v>1</v>
      </c>
      <c r="E13">
        <v>1688.36</v>
      </c>
    </row>
    <row r="14" spans="1:6">
      <c r="E14" s="9">
        <v>4.1991316243382773E-3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890100</v>
      </c>
      <c r="C16" s="7">
        <v>-63825</v>
      </c>
      <c r="D16" s="5">
        <v>-7.170542635658915E-2</v>
      </c>
      <c r="E16">
        <v>5</v>
      </c>
    </row>
    <row r="17" spans="1:5">
      <c r="A17" s="4">
        <v>3</v>
      </c>
      <c r="B17" s="7">
        <v>2222250</v>
      </c>
      <c r="C17" s="7">
        <v>-370050</v>
      </c>
      <c r="D17" s="5">
        <v>-0.16652041849476881</v>
      </c>
      <c r="E17">
        <v>5</v>
      </c>
    </row>
    <row r="18" spans="1:5">
      <c r="A18" s="4">
        <v>1</v>
      </c>
      <c r="B18" s="7">
        <v>2319075</v>
      </c>
      <c r="C18" s="7">
        <v>-720375</v>
      </c>
      <c r="D18" s="5">
        <v>-0.31063031596649526</v>
      </c>
      <c r="E18">
        <v>5</v>
      </c>
    </row>
    <row r="19" spans="1:5">
      <c r="A19" s="4"/>
      <c r="B19" s="6">
        <v>5431425</v>
      </c>
      <c r="C19" s="6">
        <v>-1154250</v>
      </c>
      <c r="D19" s="5">
        <v>-0.21251329071100125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5899350</v>
      </c>
      <c r="C21" s="7">
        <v>-542100</v>
      </c>
      <c r="D21" s="5">
        <v>-9.1891479569783108E-2</v>
      </c>
      <c r="E21">
        <v>12</v>
      </c>
    </row>
    <row r="22" spans="1:5">
      <c r="A22" s="4"/>
      <c r="B22" s="7"/>
      <c r="C22" s="7">
        <v>552057</v>
      </c>
      <c r="D22" s="5">
        <v>9.3579292633934247E-2</v>
      </c>
    </row>
    <row r="23" spans="1:5" ht="15.75">
      <c r="A23" s="1" t="s">
        <v>8</v>
      </c>
      <c r="B23" s="6">
        <v>11330775</v>
      </c>
      <c r="C23" s="6">
        <v>-1696350</v>
      </c>
      <c r="D23" s="5">
        <v>-0.14971173639931956</v>
      </c>
      <c r="E23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1A0D-25B8-4CB3-8FCF-F0CBE7FF18A0}">
  <dimension ref="A1:F23"/>
  <sheetViews>
    <sheetView topLeftCell="A2" workbookViewId="0">
      <selection activeCell="D4" sqref="D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44960</v>
      </c>
      <c r="D1" t="s">
        <v>1</v>
      </c>
      <c r="E1">
        <v>1688.36</v>
      </c>
    </row>
    <row r="2" spans="1:6">
      <c r="E2" s="9">
        <f>(E1-E13)/E13</f>
        <v>4.1991316243382773E-3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890100</v>
      </c>
      <c r="C4" s="7">
        <v>-63825</v>
      </c>
      <c r="D4" s="5">
        <f>C4/B4</f>
        <v>-7.170542635658915E-2</v>
      </c>
      <c r="E4">
        <v>5</v>
      </c>
    </row>
    <row r="5" spans="1:6">
      <c r="A5" s="4">
        <v>3</v>
      </c>
      <c r="B5" s="7">
        <v>2222250</v>
      </c>
      <c r="C5" s="7">
        <v>-370050</v>
      </c>
      <c r="D5" s="5">
        <f>C5/B5</f>
        <v>-0.16652041849476881</v>
      </c>
      <c r="E5">
        <v>5</v>
      </c>
      <c r="F5" s="8"/>
    </row>
    <row r="6" spans="1:6">
      <c r="A6" s="4">
        <v>1</v>
      </c>
      <c r="B6" s="7">
        <v>2319075</v>
      </c>
      <c r="C6" s="7">
        <v>-720375</v>
      </c>
      <c r="D6" s="5">
        <f>C6/B6</f>
        <v>-0.31063031596649526</v>
      </c>
      <c r="E6">
        <v>5</v>
      </c>
    </row>
    <row r="7" spans="1:6">
      <c r="A7" s="4"/>
      <c r="B7" s="6">
        <f>SUM(B4:B6)</f>
        <v>5431425</v>
      </c>
      <c r="C7" s="6">
        <f>SUM(C4:C6)</f>
        <v>-1154250</v>
      </c>
      <c r="D7" s="5">
        <f>C7/B7</f>
        <v>-0.21251329071100125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5899350</v>
      </c>
      <c r="C9" s="7">
        <v>-542100</v>
      </c>
      <c r="D9" s="5">
        <f>C9/B9</f>
        <v>-9.1891479569783108E-2</v>
      </c>
      <c r="E9">
        <v>12</v>
      </c>
    </row>
    <row r="10" spans="1:6">
      <c r="A10" s="4"/>
      <c r="B10" s="7"/>
      <c r="C10" s="7">
        <v>552057</v>
      </c>
      <c r="D10" s="5">
        <f>C10/B9</f>
        <v>9.3579292633934247E-2</v>
      </c>
    </row>
    <row r="11" spans="1:6" ht="15.75">
      <c r="A11" s="1" t="s">
        <v>8</v>
      </c>
      <c r="B11" s="6">
        <f>B7+B9</f>
        <v>11330775</v>
      </c>
      <c r="C11" s="6">
        <f>C7+C9</f>
        <v>-1696350</v>
      </c>
      <c r="D11" s="5">
        <f>C11/B11</f>
        <v>-0.14971173639931956</v>
      </c>
      <c r="E11">
        <f>E4+E5+E6+E9</f>
        <v>27</v>
      </c>
    </row>
    <row r="13" spans="1:6" ht="15.75">
      <c r="B13" s="1" t="s">
        <v>0</v>
      </c>
      <c r="C13" s="10">
        <v>44953</v>
      </c>
      <c r="D13" t="s">
        <v>1</v>
      </c>
      <c r="E13">
        <v>1681.3</v>
      </c>
    </row>
    <row r="14" spans="1:6">
      <c r="E14" s="9">
        <v>2.4146668654046531E-3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774000</v>
      </c>
      <c r="C16" s="7">
        <v>-56100</v>
      </c>
      <c r="D16" s="5">
        <v>-7.2480620155038755E-2</v>
      </c>
      <c r="E16">
        <v>5</v>
      </c>
    </row>
    <row r="17" spans="1:5">
      <c r="A17" s="4">
        <v>3</v>
      </c>
      <c r="B17" s="7">
        <v>2250750</v>
      </c>
      <c r="C17" s="7">
        <v>-493050</v>
      </c>
      <c r="D17" s="5">
        <v>-0.21906031322892369</v>
      </c>
      <c r="E17">
        <v>5</v>
      </c>
    </row>
    <row r="18" spans="1:5">
      <c r="A18" s="4">
        <v>1</v>
      </c>
      <c r="B18" s="7">
        <v>2319075</v>
      </c>
      <c r="C18" s="7">
        <v>-693225</v>
      </c>
      <c r="D18" s="5">
        <v>-0.29892306199670127</v>
      </c>
      <c r="E18">
        <v>5</v>
      </c>
    </row>
    <row r="19" spans="1:5">
      <c r="A19" s="4"/>
      <c r="B19" s="6">
        <v>5343825</v>
      </c>
      <c r="C19" s="6">
        <v>-1242375</v>
      </c>
      <c r="D19" s="5">
        <v>-0.23248796508119185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5731300</v>
      </c>
      <c r="C21" s="7">
        <v>-566800</v>
      </c>
      <c r="D21" s="5">
        <v>-9.8895538534014976E-2</v>
      </c>
      <c r="E21">
        <v>12</v>
      </c>
    </row>
    <row r="22" spans="1:5">
      <c r="A22" s="4"/>
      <c r="B22" s="7"/>
      <c r="C22" s="7">
        <v>524613</v>
      </c>
      <c r="D22" s="5">
        <v>9.153473034041143E-2</v>
      </c>
    </row>
    <row r="23" spans="1:5" ht="15.75">
      <c r="A23" s="1" t="s">
        <v>8</v>
      </c>
      <c r="B23" s="6">
        <v>11075125</v>
      </c>
      <c r="C23" s="6">
        <v>-1809175</v>
      </c>
      <c r="D23" s="5">
        <v>-0.16335481540840396</v>
      </c>
      <c r="E23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B343B-E546-48B7-B00F-DB173C381BF1}">
  <dimension ref="A1:F23"/>
  <sheetViews>
    <sheetView topLeftCell="A12" workbookViewId="0">
      <selection activeCell="E5" sqref="E5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44953</v>
      </c>
      <c r="D1" t="s">
        <v>1</v>
      </c>
      <c r="E1">
        <v>1681.3</v>
      </c>
    </row>
    <row r="2" spans="1:6">
      <c r="E2" s="9">
        <f>(E1-E13)/E13</f>
        <v>2.4146668654046531E-3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774000</v>
      </c>
      <c r="C4" s="7">
        <v>-56100</v>
      </c>
      <c r="D4" s="5">
        <f>C4/B4</f>
        <v>-7.2480620155038755E-2</v>
      </c>
      <c r="E4">
        <v>5</v>
      </c>
    </row>
    <row r="5" spans="1:6">
      <c r="A5" s="4">
        <v>3</v>
      </c>
      <c r="B5" s="7">
        <v>2250750</v>
      </c>
      <c r="C5" s="7">
        <v>-493050</v>
      </c>
      <c r="D5" s="5">
        <f>C5/B5</f>
        <v>-0.21906031322892369</v>
      </c>
      <c r="E5">
        <v>5</v>
      </c>
      <c r="F5" s="8"/>
    </row>
    <row r="6" spans="1:6">
      <c r="A6" s="4">
        <v>1</v>
      </c>
      <c r="B6" s="7">
        <v>2319075</v>
      </c>
      <c r="C6" s="7">
        <v>-693225</v>
      </c>
      <c r="D6" s="5">
        <f>C6/B6</f>
        <v>-0.29892306199670127</v>
      </c>
      <c r="E6">
        <v>5</v>
      </c>
    </row>
    <row r="7" spans="1:6">
      <c r="A7" s="4"/>
      <c r="B7" s="6">
        <f>SUM(B4:B6)</f>
        <v>5343825</v>
      </c>
      <c r="C7" s="6">
        <f>SUM(C4:C6)</f>
        <v>-1242375</v>
      </c>
      <c r="D7" s="5">
        <f>C7/B7</f>
        <v>-0.23248796508119185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5731300</v>
      </c>
      <c r="C9" s="7">
        <v>-566800</v>
      </c>
      <c r="D9" s="5">
        <f>C9/B9</f>
        <v>-9.8895538534014976E-2</v>
      </c>
      <c r="E9">
        <v>12</v>
      </c>
    </row>
    <row r="10" spans="1:6">
      <c r="A10" s="4"/>
      <c r="B10" s="7"/>
      <c r="C10" s="7">
        <v>524613</v>
      </c>
      <c r="D10" s="5">
        <f>C10/B9</f>
        <v>9.153473034041143E-2</v>
      </c>
    </row>
    <row r="11" spans="1:6" ht="15.75">
      <c r="A11" s="1" t="s">
        <v>8</v>
      </c>
      <c r="B11" s="6">
        <f>B7+B9</f>
        <v>11075125</v>
      </c>
      <c r="C11" s="6">
        <f>C7+C9</f>
        <v>-1809175</v>
      </c>
      <c r="D11" s="5">
        <f>C11/B11</f>
        <v>-0.16335481540840396</v>
      </c>
      <c r="E11">
        <f>E4+E5+E6+E9</f>
        <v>27</v>
      </c>
    </row>
    <row r="13" spans="1:6" ht="15.75">
      <c r="B13" s="1" t="s">
        <v>0</v>
      </c>
      <c r="C13" s="10">
        <v>44946</v>
      </c>
      <c r="D13" t="s">
        <v>1</v>
      </c>
      <c r="E13">
        <v>1677.25</v>
      </c>
    </row>
    <row r="14" spans="1:6">
      <c r="E14" s="9">
        <v>3.3342985466351976E-2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633600</v>
      </c>
      <c r="C16" s="7">
        <v>-27000</v>
      </c>
      <c r="D16" s="5">
        <v>-4.261363636363636E-2</v>
      </c>
      <c r="E16">
        <v>4</v>
      </c>
    </row>
    <row r="17" spans="1:5">
      <c r="A17" s="4">
        <v>3</v>
      </c>
      <c r="B17" s="7">
        <v>2553750</v>
      </c>
      <c r="C17" s="7">
        <v>-495400</v>
      </c>
      <c r="D17" s="5">
        <v>-0.19398923152227118</v>
      </c>
      <c r="E17">
        <v>6</v>
      </c>
    </row>
    <row r="18" spans="1:5">
      <c r="A18" s="4">
        <v>1</v>
      </c>
      <c r="B18" s="7">
        <v>2490325</v>
      </c>
      <c r="C18" s="7">
        <v>-814375</v>
      </c>
      <c r="D18" s="5">
        <v>-0.32701555017919348</v>
      </c>
      <c r="E18">
        <v>5</v>
      </c>
    </row>
    <row r="19" spans="1:5">
      <c r="A19" s="4"/>
      <c r="B19" s="6">
        <v>5677675</v>
      </c>
      <c r="C19" s="6">
        <v>-1336775</v>
      </c>
      <c r="D19" s="5">
        <v>-0.23544408582738532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5536300</v>
      </c>
      <c r="C21" s="7">
        <v>-551400</v>
      </c>
      <c r="D21" s="5">
        <v>-9.9597203908747725E-2</v>
      </c>
      <c r="E21">
        <v>12</v>
      </c>
    </row>
    <row r="22" spans="1:5">
      <c r="A22" s="4"/>
      <c r="B22" s="7"/>
      <c r="C22" s="7">
        <v>515554</v>
      </c>
      <c r="D22" s="5">
        <v>9.3122482524429673E-2</v>
      </c>
    </row>
    <row r="23" spans="1:5" ht="15.75">
      <c r="A23" s="1" t="s">
        <v>8</v>
      </c>
      <c r="B23" s="6">
        <v>11213975</v>
      </c>
      <c r="C23" s="6">
        <v>-1888175</v>
      </c>
      <c r="D23" s="5">
        <v>-0.1683769582150843</v>
      </c>
      <c r="E23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AD41-CBFC-4D5D-B471-4BAE4228F78D}">
  <dimension ref="A1:F23"/>
  <sheetViews>
    <sheetView topLeftCell="C2" workbookViewId="0">
      <selection activeCell="C2" sqref="C2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44946</v>
      </c>
      <c r="D1" t="s">
        <v>1</v>
      </c>
      <c r="E1">
        <v>1677.25</v>
      </c>
    </row>
    <row r="2" spans="1:6">
      <c r="E2" s="9">
        <f>(E1-E13)/E13</f>
        <v>3.3342985466351976E-2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633600</v>
      </c>
      <c r="C4" s="7">
        <v>-27000</v>
      </c>
      <c r="D4" s="5">
        <f>C4/B4</f>
        <v>-4.261363636363636E-2</v>
      </c>
      <c r="E4">
        <v>4</v>
      </c>
    </row>
    <row r="5" spans="1:6">
      <c r="A5" s="4">
        <v>3</v>
      </c>
      <c r="B5" s="7">
        <v>2553750</v>
      </c>
      <c r="C5" s="7">
        <v>-495400</v>
      </c>
      <c r="D5" s="5">
        <f>C5/B5</f>
        <v>-0.19398923152227118</v>
      </c>
      <c r="E5">
        <v>6</v>
      </c>
      <c r="F5" s="8"/>
    </row>
    <row r="6" spans="1:6">
      <c r="A6" s="4">
        <v>1</v>
      </c>
      <c r="B6" s="7">
        <v>2490325</v>
      </c>
      <c r="C6" s="7">
        <v>-814375</v>
      </c>
      <c r="D6" s="5">
        <f>C6/B6</f>
        <v>-0.32701555017919348</v>
      </c>
      <c r="E6">
        <v>5</v>
      </c>
    </row>
    <row r="7" spans="1:6">
      <c r="A7" s="4"/>
      <c r="B7" s="6">
        <f>SUM(B4:B6)</f>
        <v>5677675</v>
      </c>
      <c r="C7" s="6">
        <f>SUM(C4:C6)</f>
        <v>-1336775</v>
      </c>
      <c r="D7" s="5">
        <f>C7/B7</f>
        <v>-0.23544408582738532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5536300</v>
      </c>
      <c r="C9" s="7">
        <v>-551400</v>
      </c>
      <c r="D9" s="5">
        <f>C9/B9</f>
        <v>-9.9597203908747725E-2</v>
      </c>
      <c r="E9">
        <v>12</v>
      </c>
    </row>
    <row r="10" spans="1:6">
      <c r="A10" s="4"/>
      <c r="B10" s="7"/>
      <c r="C10" s="7">
        <v>515554</v>
      </c>
      <c r="D10" s="5">
        <f>C10/B9</f>
        <v>9.3122482524429673E-2</v>
      </c>
    </row>
    <row r="11" spans="1:6" ht="15.75">
      <c r="A11" s="1" t="s">
        <v>8</v>
      </c>
      <c r="B11" s="6">
        <f>B7+B9</f>
        <v>11213975</v>
      </c>
      <c r="C11" s="6">
        <f>C7+C9</f>
        <v>-1888175</v>
      </c>
      <c r="D11" s="5">
        <f>C11/B11</f>
        <v>-0.1683769582150843</v>
      </c>
      <c r="E11">
        <f>E4+E5+E6+E9</f>
        <v>27</v>
      </c>
    </row>
    <row r="13" spans="1:6" ht="15.75">
      <c r="B13" s="1" t="s">
        <v>0</v>
      </c>
      <c r="C13" s="10">
        <v>44939</v>
      </c>
      <c r="D13" t="s">
        <v>1</v>
      </c>
      <c r="E13">
        <v>1623.13</v>
      </c>
    </row>
    <row r="14" spans="1:6">
      <c r="E14" s="9">
        <v>0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390600</v>
      </c>
      <c r="C16" s="7">
        <v>-27600</v>
      </c>
      <c r="D16" s="5">
        <v>-7.0660522273425494E-2</v>
      </c>
      <c r="E16">
        <v>2</v>
      </c>
    </row>
    <row r="17" spans="1:5">
      <c r="A17" s="4">
        <v>3</v>
      </c>
      <c r="B17" s="7">
        <v>2553750</v>
      </c>
      <c r="C17" s="7">
        <v>-440650</v>
      </c>
      <c r="D17" s="5">
        <v>-0.17255017131669115</v>
      </c>
      <c r="E17">
        <v>6</v>
      </c>
    </row>
    <row r="18" spans="1:5">
      <c r="A18" s="4">
        <v>1</v>
      </c>
      <c r="B18" s="7">
        <v>2734950</v>
      </c>
      <c r="C18" s="7">
        <v>-865650</v>
      </c>
      <c r="D18" s="5">
        <v>-0.31651401305325511</v>
      </c>
      <c r="E18">
        <v>5</v>
      </c>
    </row>
    <row r="19" spans="1:5">
      <c r="A19" s="4"/>
      <c r="B19" s="6">
        <v>5679300</v>
      </c>
      <c r="C19" s="6">
        <v>-1333900</v>
      </c>
      <c r="D19" s="5">
        <v>-0.23487049460320814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5358300</v>
      </c>
      <c r="C21" s="7">
        <v>-625800</v>
      </c>
      <c r="D21" s="5">
        <v>-0.11679077319299032</v>
      </c>
      <c r="E21">
        <v>12</v>
      </c>
    </row>
    <row r="22" spans="1:5">
      <c r="A22" s="4"/>
      <c r="B22" s="7"/>
      <c r="C22" s="7">
        <v>499982</v>
      </c>
      <c r="D22" s="5">
        <v>9.3309818412556228E-2</v>
      </c>
    </row>
    <row r="23" spans="1:5" ht="15.75">
      <c r="A23" s="1" t="s">
        <v>8</v>
      </c>
      <c r="B23" s="6">
        <v>11037600</v>
      </c>
      <c r="C23" s="6">
        <v>-1959700</v>
      </c>
      <c r="D23" s="5">
        <v>-0.17754765528738131</v>
      </c>
      <c r="E23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40F4-D437-4BCC-BFB7-6750205043CB}">
  <dimension ref="A1:F23"/>
  <sheetViews>
    <sheetView topLeftCell="C7" workbookViewId="0">
      <selection activeCell="C11" sqref="C11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44939</v>
      </c>
      <c r="D1" t="s">
        <v>1</v>
      </c>
      <c r="E1">
        <v>1623.13</v>
      </c>
    </row>
    <row r="2" spans="1:6">
      <c r="E2" s="9">
        <f>(E1-E13)/E13</f>
        <v>0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390600</v>
      </c>
      <c r="C4" s="7">
        <v>-27600</v>
      </c>
      <c r="D4" s="5">
        <f>C4/B4</f>
        <v>-7.0660522273425494E-2</v>
      </c>
      <c r="E4">
        <v>2</v>
      </c>
    </row>
    <row r="5" spans="1:6">
      <c r="A5" s="4">
        <v>3</v>
      </c>
      <c r="B5" s="7">
        <v>2553750</v>
      </c>
      <c r="C5" s="7">
        <v>-440650</v>
      </c>
      <c r="D5" s="5">
        <f>C5/B5</f>
        <v>-0.17255017131669115</v>
      </c>
      <c r="E5">
        <v>6</v>
      </c>
      <c r="F5" s="8"/>
    </row>
    <row r="6" spans="1:6">
      <c r="A6" s="4">
        <v>1</v>
      </c>
      <c r="B6" s="7">
        <v>2734950</v>
      </c>
      <c r="C6" s="7">
        <v>-865650</v>
      </c>
      <c r="D6" s="5">
        <f>C6/B6</f>
        <v>-0.31651401305325511</v>
      </c>
      <c r="E6">
        <v>5</v>
      </c>
    </row>
    <row r="7" spans="1:6">
      <c r="A7" s="4"/>
      <c r="B7" s="6">
        <f>SUM(B4:B6)</f>
        <v>5679300</v>
      </c>
      <c r="C7" s="6">
        <f>SUM(C4:C6)</f>
        <v>-1333900</v>
      </c>
      <c r="D7" s="5">
        <f>C7/B7</f>
        <v>-0.23487049460320814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5358300</v>
      </c>
      <c r="C9" s="7">
        <v>-625800</v>
      </c>
      <c r="D9" s="5">
        <f>C9/B9</f>
        <v>-0.11679077319299032</v>
      </c>
      <c r="E9">
        <v>12</v>
      </c>
    </row>
    <row r="10" spans="1:6">
      <c r="A10" s="4"/>
      <c r="B10" s="7"/>
      <c r="C10" s="7">
        <v>499982</v>
      </c>
      <c r="D10" s="5">
        <f>C10/B9</f>
        <v>9.3309818412556228E-2</v>
      </c>
    </row>
    <row r="11" spans="1:6" ht="15.75">
      <c r="A11" s="1" t="s">
        <v>8</v>
      </c>
      <c r="B11" s="6">
        <f>B7+B9</f>
        <v>11037600</v>
      </c>
      <c r="C11" s="6">
        <f>C7+C9</f>
        <v>-1959700</v>
      </c>
      <c r="D11" s="5">
        <f>C11/B11</f>
        <v>-0.17754765528738131</v>
      </c>
      <c r="E11">
        <f>E4+E5+E6+E9</f>
        <v>25</v>
      </c>
    </row>
    <row r="13" spans="1:6" ht="15.75">
      <c r="B13" s="1" t="s">
        <v>0</v>
      </c>
      <c r="C13" s="10">
        <v>44925</v>
      </c>
      <c r="D13" t="s">
        <v>1</v>
      </c>
      <c r="E13">
        <v>1623.13</v>
      </c>
    </row>
    <row r="14" spans="1:6">
      <c r="E14" s="9">
        <v>0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243000</v>
      </c>
      <c r="C16" s="7">
        <v>-37800</v>
      </c>
      <c r="D16" s="5">
        <v>-0.15555555555555556</v>
      </c>
      <c r="E16">
        <v>1</v>
      </c>
    </row>
    <row r="17" spans="1:5">
      <c r="A17" s="4">
        <v>3</v>
      </c>
      <c r="B17" s="7">
        <v>2767500</v>
      </c>
      <c r="C17" s="7">
        <v>-538500</v>
      </c>
      <c r="D17" s="5">
        <v>-0.194579945799458</v>
      </c>
      <c r="E17">
        <v>8</v>
      </c>
    </row>
    <row r="18" spans="1:5">
      <c r="A18" s="4">
        <v>1</v>
      </c>
      <c r="B18" s="7">
        <v>2734950</v>
      </c>
      <c r="C18" s="7">
        <v>-951750</v>
      </c>
      <c r="D18" s="5">
        <v>-0.34799539296879284</v>
      </c>
      <c r="E18">
        <v>5</v>
      </c>
    </row>
    <row r="19" spans="1:5">
      <c r="A19" s="4"/>
      <c r="B19" s="6">
        <v>5745450</v>
      </c>
      <c r="C19" s="6">
        <v>-1528050</v>
      </c>
      <c r="D19" s="5">
        <v>-0.26595828003028482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5358300</v>
      </c>
      <c r="C21" s="7">
        <v>-703700</v>
      </c>
      <c r="D21" s="5">
        <v>-0.13132896627661758</v>
      </c>
      <c r="E21">
        <v>12</v>
      </c>
    </row>
    <row r="22" spans="1:5">
      <c r="A22" s="4"/>
      <c r="B22" s="7"/>
      <c r="C22" s="7">
        <v>495908</v>
      </c>
      <c r="D22" s="5">
        <v>9.2549502640762935E-2</v>
      </c>
    </row>
    <row r="23" spans="1:5" ht="15.75">
      <c r="A23" s="1" t="s">
        <v>8</v>
      </c>
      <c r="B23" s="6">
        <v>11103750</v>
      </c>
      <c r="C23" s="6">
        <v>-2231750</v>
      </c>
      <c r="D23" s="5">
        <v>-0.20099065630980525</v>
      </c>
      <c r="E23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AE9E-5892-4688-B0B8-49B7ABD40E7A}">
  <dimension ref="A1:F23"/>
  <sheetViews>
    <sheetView workbookViewId="0">
      <selection activeCell="E4" sqref="E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44925</v>
      </c>
      <c r="D1" t="s">
        <v>1</v>
      </c>
      <c r="E1">
        <v>1623.13</v>
      </c>
    </row>
    <row r="2" spans="1:6">
      <c r="E2" s="9">
        <f>(E1-E13)/E13</f>
        <v>0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243000</v>
      </c>
      <c r="C4" s="7">
        <v>-37800</v>
      </c>
      <c r="D4" s="5">
        <f>C4/B4</f>
        <v>-0.15555555555555556</v>
      </c>
      <c r="E4">
        <v>1</v>
      </c>
    </row>
    <row r="5" spans="1:6">
      <c r="A5" s="4">
        <v>3</v>
      </c>
      <c r="B5" s="7">
        <v>2767500</v>
      </c>
      <c r="C5" s="7">
        <v>-538500</v>
      </c>
      <c r="D5" s="5">
        <f>C5/B5</f>
        <v>-0.194579945799458</v>
      </c>
      <c r="E5">
        <v>8</v>
      </c>
      <c r="F5" s="8"/>
    </row>
    <row r="6" spans="1:6">
      <c r="A6" s="4">
        <v>1</v>
      </c>
      <c r="B6" s="7">
        <v>2734950</v>
      </c>
      <c r="C6" s="7">
        <v>-951750</v>
      </c>
      <c r="D6" s="5">
        <f>C6/B6</f>
        <v>-0.34799539296879284</v>
      </c>
      <c r="E6">
        <v>5</v>
      </c>
    </row>
    <row r="7" spans="1:6">
      <c r="A7" s="4"/>
      <c r="B7" s="6">
        <f>SUM(B4:B6)</f>
        <v>5745450</v>
      </c>
      <c r="C7" s="6">
        <f>SUM(C4:C6)</f>
        <v>-1528050</v>
      </c>
      <c r="D7" s="5">
        <f>C7/B7</f>
        <v>-0.26595828003028482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5358300</v>
      </c>
      <c r="C9" s="7">
        <v>-703700</v>
      </c>
      <c r="D9" s="5">
        <f>C9/B9</f>
        <v>-0.13132896627661758</v>
      </c>
      <c r="E9">
        <v>12</v>
      </c>
    </row>
    <row r="10" spans="1:6">
      <c r="A10" s="4"/>
      <c r="B10" s="7"/>
      <c r="C10" s="7">
        <v>495908</v>
      </c>
      <c r="D10" s="5">
        <f>C10/B9</f>
        <v>9.2549502640762935E-2</v>
      </c>
    </row>
    <row r="11" spans="1:6" ht="15.75">
      <c r="A11" s="1" t="s">
        <v>8</v>
      </c>
      <c r="B11" s="6">
        <f>B7+B9</f>
        <v>11103750</v>
      </c>
      <c r="C11" s="6">
        <f>C7+C9</f>
        <v>-2231750</v>
      </c>
      <c r="D11" s="5">
        <f>C11/B11</f>
        <v>-0.20099065630980525</v>
      </c>
      <c r="E11">
        <f>E4+E5+E6+E9</f>
        <v>26</v>
      </c>
    </row>
    <row r="13" spans="1:6" ht="15.75">
      <c r="B13" s="1" t="s">
        <v>0</v>
      </c>
      <c r="C13" s="10">
        <v>44918</v>
      </c>
      <c r="D13" t="s">
        <v>1</v>
      </c>
      <c r="E13">
        <v>1623.13</v>
      </c>
    </row>
    <row r="14" spans="1:6">
      <c r="E14" s="9">
        <v>0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243000</v>
      </c>
      <c r="C16" s="7">
        <v>-42600</v>
      </c>
      <c r="D16" s="5">
        <v>-0.17530864197530865</v>
      </c>
      <c r="E16">
        <v>1</v>
      </c>
    </row>
    <row r="17" spans="1:5">
      <c r="A17" s="4">
        <v>3</v>
      </c>
      <c r="B17" s="7">
        <v>2818500</v>
      </c>
      <c r="C17" s="7">
        <v>-631550</v>
      </c>
      <c r="D17" s="5">
        <v>-0.22407308852226362</v>
      </c>
      <c r="E17">
        <v>8</v>
      </c>
    </row>
    <row r="18" spans="1:5">
      <c r="A18" s="4">
        <v>1</v>
      </c>
      <c r="B18" s="7">
        <v>2990450</v>
      </c>
      <c r="C18" s="7">
        <v>-1084200</v>
      </c>
      <c r="D18" s="5">
        <v>-0.36255413064923342</v>
      </c>
      <c r="E18">
        <v>5</v>
      </c>
    </row>
    <row r="19" spans="1:5">
      <c r="A19" s="4"/>
      <c r="B19" s="6">
        <v>6051950</v>
      </c>
      <c r="C19" s="6">
        <v>-1758350</v>
      </c>
      <c r="D19" s="5">
        <v>-0.29054271763646428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5358300</v>
      </c>
      <c r="C21" s="7">
        <v>-740500</v>
      </c>
      <c r="D21" s="5">
        <v>-0.13819681615437732</v>
      </c>
      <c r="E21">
        <v>12</v>
      </c>
    </row>
    <row r="22" spans="1:5">
      <c r="A22" s="4"/>
      <c r="B22" s="7"/>
      <c r="C22" s="7">
        <v>495908</v>
      </c>
      <c r="D22" s="5">
        <v>9.2549502640762935E-2</v>
      </c>
    </row>
    <row r="23" spans="1:5" ht="15.75">
      <c r="A23" s="1" t="s">
        <v>8</v>
      </c>
      <c r="B23" s="6">
        <v>11410250</v>
      </c>
      <c r="C23" s="6">
        <v>-2498850</v>
      </c>
      <c r="D23" s="5">
        <v>-0.21900046011261803</v>
      </c>
      <c r="E23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337A-3AF7-4E82-A563-E0179D83D079}">
  <dimension ref="A1:F23"/>
  <sheetViews>
    <sheetView topLeftCell="B1" workbookViewId="0">
      <selection activeCell="C13" sqref="C13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44918</v>
      </c>
      <c r="D1" t="s">
        <v>1</v>
      </c>
      <c r="E1">
        <v>1623.13</v>
      </c>
    </row>
    <row r="2" spans="1:6">
      <c r="E2" s="9">
        <f>(E1-E13)/E13</f>
        <v>0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243000</v>
      </c>
      <c r="C4" s="7">
        <v>-42600</v>
      </c>
      <c r="D4" s="5">
        <f>C4/B4</f>
        <v>-0.17530864197530865</v>
      </c>
      <c r="E4">
        <v>1</v>
      </c>
    </row>
    <row r="5" spans="1:6">
      <c r="A5" s="4">
        <v>3</v>
      </c>
      <c r="B5" s="7">
        <v>2818500</v>
      </c>
      <c r="C5" s="7">
        <v>-631550</v>
      </c>
      <c r="D5" s="5">
        <f>C5/B5</f>
        <v>-0.22407308852226362</v>
      </c>
      <c r="E5">
        <v>8</v>
      </c>
      <c r="F5" s="8"/>
    </row>
    <row r="6" spans="1:6">
      <c r="A6" s="4">
        <v>1</v>
      </c>
      <c r="B6" s="7">
        <v>2990450</v>
      </c>
      <c r="C6" s="7">
        <v>-1084200</v>
      </c>
      <c r="D6" s="5">
        <f>C6/B6</f>
        <v>-0.36255413064923342</v>
      </c>
      <c r="E6">
        <v>5</v>
      </c>
    </row>
    <row r="7" spans="1:6">
      <c r="A7" s="4"/>
      <c r="B7" s="6">
        <f>SUM(B4:B6)</f>
        <v>6051950</v>
      </c>
      <c r="C7" s="6">
        <f>SUM(C4:C6)</f>
        <v>-1758350</v>
      </c>
      <c r="D7" s="5">
        <f>C7/B7</f>
        <v>-0.29054271763646428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5358300</v>
      </c>
      <c r="C9" s="7">
        <v>-740500</v>
      </c>
      <c r="D9" s="5">
        <f>C9/B9</f>
        <v>-0.13819681615437732</v>
      </c>
      <c r="E9">
        <v>12</v>
      </c>
    </row>
    <row r="10" spans="1:6">
      <c r="A10" s="4"/>
      <c r="B10" s="7"/>
      <c r="C10" s="7">
        <v>495908</v>
      </c>
      <c r="D10" s="5">
        <f>C10/B9</f>
        <v>9.2549502640762935E-2</v>
      </c>
    </row>
    <row r="11" spans="1:6" ht="15.75">
      <c r="A11" s="1" t="s">
        <v>8</v>
      </c>
      <c r="B11" s="6">
        <f>B7+B9</f>
        <v>11410250</v>
      </c>
      <c r="C11" s="6">
        <f>C7+C9</f>
        <v>-2498850</v>
      </c>
      <c r="D11" s="5">
        <f>C11/B11</f>
        <v>-0.21900046011261803</v>
      </c>
      <c r="E11">
        <f>E4+E5+E6+E9</f>
        <v>26</v>
      </c>
    </row>
    <row r="13" spans="1:6" ht="15.75">
      <c r="B13" s="1" t="s">
        <v>0</v>
      </c>
      <c r="C13" s="10">
        <v>44904</v>
      </c>
      <c r="D13" t="s">
        <v>1</v>
      </c>
      <c r="E13">
        <v>1623.13</v>
      </c>
    </row>
    <row r="14" spans="1:6">
      <c r="E14" s="9">
        <v>-1.126928723281129E-2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291600</v>
      </c>
      <c r="C16" s="7">
        <v>-57120</v>
      </c>
      <c r="D16" s="5">
        <v>-0.19588477366255144</v>
      </c>
      <c r="E16">
        <v>2</v>
      </c>
    </row>
    <row r="17" spans="1:5">
      <c r="A17" s="4">
        <v>3</v>
      </c>
      <c r="B17" s="7">
        <v>2553750</v>
      </c>
      <c r="C17" s="7">
        <v>-561550</v>
      </c>
      <c r="D17" s="5">
        <v>-0.21989231522271169</v>
      </c>
      <c r="E17">
        <v>6</v>
      </c>
    </row>
    <row r="18" spans="1:5">
      <c r="A18" s="4">
        <v>1</v>
      </c>
      <c r="B18" s="7">
        <v>2990450</v>
      </c>
      <c r="C18" s="7">
        <v>-1106200</v>
      </c>
      <c r="D18" s="5">
        <v>-0.36991088297747832</v>
      </c>
      <c r="E18">
        <v>5</v>
      </c>
    </row>
    <row r="19" spans="1:5">
      <c r="A19" s="4"/>
      <c r="B19" s="6">
        <v>5835800</v>
      </c>
      <c r="C19" s="6">
        <v>-1724870</v>
      </c>
      <c r="D19" s="5">
        <v>-0.29556701737550978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5358300</v>
      </c>
      <c r="C21" s="7">
        <v>-809300</v>
      </c>
      <c r="D21" s="5">
        <v>-0.15103670940410205</v>
      </c>
      <c r="E21">
        <v>12</v>
      </c>
    </row>
    <row r="22" spans="1:5">
      <c r="A22" s="4"/>
      <c r="B22" s="7"/>
      <c r="C22" s="7">
        <v>495908</v>
      </c>
      <c r="D22" s="5">
        <v>9.2549502640762935E-2</v>
      </c>
    </row>
    <row r="23" spans="1:5" ht="15.75">
      <c r="A23" s="1" t="s">
        <v>8</v>
      </c>
      <c r="B23" s="6">
        <v>11194100</v>
      </c>
      <c r="C23" s="6">
        <v>-2534170</v>
      </c>
      <c r="D23" s="5">
        <v>-0.22638443465754282</v>
      </c>
      <c r="E23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25F7-2A12-4AC1-9D7D-356A85181936}">
  <dimension ref="A1:F23"/>
  <sheetViews>
    <sheetView workbookViewId="0">
      <selection activeCell="C13" sqref="C13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44904</v>
      </c>
      <c r="D1" t="s">
        <v>1</v>
      </c>
      <c r="E1">
        <v>1623.13</v>
      </c>
    </row>
    <row r="2" spans="1:6">
      <c r="E2" s="9">
        <f>(E1-E13)/E13</f>
        <v>-1.126928723281129E-2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291600</v>
      </c>
      <c r="C4" s="7">
        <v>-57120</v>
      </c>
      <c r="D4" s="5">
        <f>C4/B4</f>
        <v>-0.19588477366255144</v>
      </c>
      <c r="E4">
        <v>2</v>
      </c>
    </row>
    <row r="5" spans="1:6">
      <c r="A5" s="4">
        <v>3</v>
      </c>
      <c r="B5" s="7">
        <v>2553750</v>
      </c>
      <c r="C5" s="7">
        <v>-561550</v>
      </c>
      <c r="D5" s="5">
        <f>C5/B5</f>
        <v>-0.21989231522271169</v>
      </c>
      <c r="E5">
        <v>6</v>
      </c>
      <c r="F5" s="8"/>
    </row>
    <row r="6" spans="1:6">
      <c r="A6" s="4">
        <v>1</v>
      </c>
      <c r="B6" s="7">
        <v>2990450</v>
      </c>
      <c r="C6" s="7">
        <v>-1106200</v>
      </c>
      <c r="D6" s="5">
        <f>C6/B6</f>
        <v>-0.36991088297747832</v>
      </c>
      <c r="E6">
        <v>5</v>
      </c>
    </row>
    <row r="7" spans="1:6">
      <c r="A7" s="4"/>
      <c r="B7" s="6">
        <f>SUM(B4:B6)</f>
        <v>5835800</v>
      </c>
      <c r="C7" s="6">
        <f>SUM(C4:C6)</f>
        <v>-1724870</v>
      </c>
      <c r="D7" s="5">
        <f>C7/B7</f>
        <v>-0.29556701737550978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5358300</v>
      </c>
      <c r="C9" s="7">
        <v>-809300</v>
      </c>
      <c r="D9" s="5">
        <f>C9/B9</f>
        <v>-0.15103670940410205</v>
      </c>
      <c r="E9">
        <v>12</v>
      </c>
    </row>
    <row r="10" spans="1:6">
      <c r="A10" s="4"/>
      <c r="B10" s="7"/>
      <c r="C10" s="7">
        <v>495908</v>
      </c>
      <c r="D10" s="5">
        <f>C10/B9</f>
        <v>9.2549502640762935E-2</v>
      </c>
    </row>
    <row r="11" spans="1:6" ht="15.75">
      <c r="A11" s="1" t="s">
        <v>8</v>
      </c>
      <c r="B11" s="6">
        <f>B7+B9</f>
        <v>11194100</v>
      </c>
      <c r="C11" s="6">
        <f>C7+C9</f>
        <v>-2534170</v>
      </c>
      <c r="D11" s="5">
        <f>C11/B11</f>
        <v>-0.22638443465754282</v>
      </c>
      <c r="E11">
        <f>E4+E5+E6+E9</f>
        <v>25</v>
      </c>
    </row>
    <row r="13" spans="1:6" ht="15.75">
      <c r="B13" s="1" t="s">
        <v>0</v>
      </c>
      <c r="C13" s="10">
        <v>44897</v>
      </c>
      <c r="D13" t="s">
        <v>1</v>
      </c>
      <c r="E13">
        <v>1641.63</v>
      </c>
    </row>
    <row r="14" spans="1:6">
      <c r="E14" s="9">
        <v>1.2826682460946294E-2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340200</v>
      </c>
      <c r="C16" s="7">
        <v>-72600</v>
      </c>
      <c r="D16" s="5">
        <v>-0.21340388007054673</v>
      </c>
      <c r="E16">
        <v>2</v>
      </c>
    </row>
    <row r="17" spans="1:5">
      <c r="A17" s="4">
        <v>3</v>
      </c>
      <c r="B17" s="7">
        <v>2553750</v>
      </c>
      <c r="C17" s="7">
        <v>-558350</v>
      </c>
      <c r="D17" s="5">
        <v>-0.21863925599608419</v>
      </c>
      <c r="E17">
        <v>6</v>
      </c>
    </row>
    <row r="18" spans="1:5">
      <c r="A18" s="4">
        <v>1</v>
      </c>
      <c r="B18" s="7">
        <v>2990450</v>
      </c>
      <c r="C18" s="7">
        <v>-1086950</v>
      </c>
      <c r="D18" s="5">
        <v>-0.36347372469026401</v>
      </c>
      <c r="E18">
        <v>5</v>
      </c>
    </row>
    <row r="19" spans="1:5">
      <c r="A19" s="4"/>
      <c r="B19" s="6">
        <v>5884400</v>
      </c>
      <c r="C19" s="6">
        <v>-1717900</v>
      </c>
      <c r="D19" s="5">
        <v>-0.29194140439127186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5358300</v>
      </c>
      <c r="C21" s="7">
        <v>-777300</v>
      </c>
      <c r="D21" s="5">
        <v>-0.14506466603213705</v>
      </c>
      <c r="E21">
        <v>12</v>
      </c>
    </row>
    <row r="22" spans="1:5">
      <c r="A22" s="4"/>
      <c r="B22" s="7"/>
      <c r="C22" s="7">
        <v>495908</v>
      </c>
      <c r="D22" s="5">
        <v>9.2549502640762935E-2</v>
      </c>
    </row>
    <row r="23" spans="1:5" ht="15.75">
      <c r="A23" s="1" t="s">
        <v>8</v>
      </c>
      <c r="B23" s="6">
        <v>11242700</v>
      </c>
      <c r="C23" s="6">
        <v>-2495200</v>
      </c>
      <c r="D23" s="5">
        <v>-0.22193956967632331</v>
      </c>
      <c r="E23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BD0F-E711-40AB-B04C-504DAC97DAD1}">
  <dimension ref="A1:F23"/>
  <sheetViews>
    <sheetView workbookViewId="0">
      <selection activeCell="E2" sqref="E2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44897</v>
      </c>
      <c r="D1" t="s">
        <v>1</v>
      </c>
      <c r="E1">
        <v>1641.63</v>
      </c>
    </row>
    <row r="2" spans="1:6">
      <c r="E2" s="9">
        <f>(E1-E13)/E13</f>
        <v>1.2826682460946294E-2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340200</v>
      </c>
      <c r="C4" s="7">
        <v>-72600</v>
      </c>
      <c r="D4" s="5">
        <f>C4/B4</f>
        <v>-0.21340388007054673</v>
      </c>
      <c r="E4">
        <v>2</v>
      </c>
    </row>
    <row r="5" spans="1:6">
      <c r="A5" s="4">
        <v>3</v>
      </c>
      <c r="B5" s="7">
        <v>2553750</v>
      </c>
      <c r="C5" s="7">
        <v>-558350</v>
      </c>
      <c r="D5" s="5">
        <f>C5/B5</f>
        <v>-0.21863925599608419</v>
      </c>
      <c r="E5">
        <v>6</v>
      </c>
      <c r="F5" s="8"/>
    </row>
    <row r="6" spans="1:6">
      <c r="A6" s="4">
        <v>1</v>
      </c>
      <c r="B6" s="7">
        <v>2990450</v>
      </c>
      <c r="C6" s="7">
        <v>-1086950</v>
      </c>
      <c r="D6" s="5">
        <f>C6/B6</f>
        <v>-0.36347372469026401</v>
      </c>
      <c r="E6">
        <v>5</v>
      </c>
    </row>
    <row r="7" spans="1:6">
      <c r="A7" s="4"/>
      <c r="B7" s="6">
        <f>SUM(B4:B6)</f>
        <v>5884400</v>
      </c>
      <c r="C7" s="6">
        <f>SUM(C4:C6)</f>
        <v>-1717900</v>
      </c>
      <c r="D7" s="5">
        <f>C7/B7</f>
        <v>-0.29194140439127186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5358300</v>
      </c>
      <c r="C9" s="7">
        <v>-777300</v>
      </c>
      <c r="D9" s="5">
        <f>C9/B9</f>
        <v>-0.14506466603213705</v>
      </c>
      <c r="E9">
        <v>12</v>
      </c>
    </row>
    <row r="10" spans="1:6">
      <c r="A10" s="4"/>
      <c r="B10" s="7"/>
      <c r="C10" s="7">
        <v>495908</v>
      </c>
      <c r="D10" s="5">
        <f>C10/B9</f>
        <v>9.2549502640762935E-2</v>
      </c>
    </row>
    <row r="11" spans="1:6" ht="15.75">
      <c r="A11" s="1" t="s">
        <v>8</v>
      </c>
      <c r="B11" s="6">
        <f>B7+B9</f>
        <v>11242700</v>
      </c>
      <c r="C11" s="6">
        <f>C7+C9</f>
        <v>-2495200</v>
      </c>
      <c r="D11" s="5">
        <f>C11/B11</f>
        <v>-0.22193956967632331</v>
      </c>
      <c r="E11">
        <f>E4+E5+E6+E9</f>
        <v>25</v>
      </c>
    </row>
    <row r="13" spans="1:6" ht="15.75">
      <c r="B13" s="1" t="s">
        <v>0</v>
      </c>
      <c r="C13" s="10">
        <v>44890</v>
      </c>
      <c r="D13" t="s">
        <v>1</v>
      </c>
      <c r="E13">
        <v>1620.84</v>
      </c>
    </row>
    <row r="14" spans="1:6">
      <c r="E14" s="9">
        <v>2.1392622636608643E-3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340200</v>
      </c>
      <c r="C16" s="7">
        <v>-72720</v>
      </c>
      <c r="D16" s="5">
        <v>-0.21375661375661376</v>
      </c>
      <c r="E16">
        <v>2</v>
      </c>
    </row>
    <row r="17" spans="1:5">
      <c r="A17" s="4">
        <v>3</v>
      </c>
      <c r="B17" s="7">
        <v>2553750</v>
      </c>
      <c r="C17" s="7">
        <v>-640825</v>
      </c>
      <c r="D17" s="5">
        <v>-0.25093489965736659</v>
      </c>
      <c r="E17">
        <v>6</v>
      </c>
    </row>
    <row r="18" spans="1:5">
      <c r="A18" s="4">
        <v>1</v>
      </c>
      <c r="B18" s="7">
        <v>2990450</v>
      </c>
      <c r="C18" s="7">
        <v>-1101250</v>
      </c>
      <c r="D18" s="5">
        <v>-0.3682556137036232</v>
      </c>
      <c r="E18">
        <v>5</v>
      </c>
    </row>
    <row r="19" spans="1:5">
      <c r="A19" s="4"/>
      <c r="B19" s="6">
        <v>5884400</v>
      </c>
      <c r="C19" s="6">
        <v>-1814795</v>
      </c>
      <c r="D19" s="5">
        <v>-0.30840782407722112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5283300</v>
      </c>
      <c r="C21" s="7">
        <v>-791200</v>
      </c>
      <c r="D21" s="5">
        <v>-0.14975488804345768</v>
      </c>
      <c r="E21">
        <v>11</v>
      </c>
    </row>
    <row r="22" spans="1:5">
      <c r="A22" s="4"/>
      <c r="B22" s="7"/>
      <c r="C22" s="7">
        <v>470895</v>
      </c>
      <c r="D22" s="5">
        <v>8.9128953494974739E-2</v>
      </c>
    </row>
    <row r="23" spans="1:5" ht="15.75">
      <c r="A23" s="1" t="s">
        <v>8</v>
      </c>
      <c r="B23" s="6">
        <v>11167700</v>
      </c>
      <c r="C23" s="6">
        <v>-2605995</v>
      </c>
      <c r="D23" s="5">
        <v>-0.2333510928839421</v>
      </c>
      <c r="E23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8857-6133-4F63-8B69-BD836A7A1BCA}">
  <dimension ref="A1:F23"/>
  <sheetViews>
    <sheetView workbookViewId="0">
      <selection activeCell="E4" sqref="E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44890</v>
      </c>
      <c r="D1" t="s">
        <v>1</v>
      </c>
      <c r="E1">
        <v>1620.84</v>
      </c>
    </row>
    <row r="2" spans="1:6">
      <c r="E2" s="9">
        <f>(E1-E13)/E13</f>
        <v>2.1392622636608643E-3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340200</v>
      </c>
      <c r="C4" s="7">
        <v>-72720</v>
      </c>
      <c r="D4" s="5">
        <f>C4/B4</f>
        <v>-0.21375661375661376</v>
      </c>
      <c r="E4">
        <v>2</v>
      </c>
    </row>
    <row r="5" spans="1:6">
      <c r="A5" s="4">
        <v>3</v>
      </c>
      <c r="B5" s="7">
        <v>2553750</v>
      </c>
      <c r="C5" s="7">
        <v>-640825</v>
      </c>
      <c r="D5" s="5">
        <f>C5/B5</f>
        <v>-0.25093489965736659</v>
      </c>
      <c r="E5">
        <v>6</v>
      </c>
      <c r="F5" s="8"/>
    </row>
    <row r="6" spans="1:6">
      <c r="A6" s="4">
        <v>1</v>
      </c>
      <c r="B6" s="7">
        <v>2990450</v>
      </c>
      <c r="C6" s="7">
        <v>-1101250</v>
      </c>
      <c r="D6" s="5">
        <f>C6/B6</f>
        <v>-0.3682556137036232</v>
      </c>
      <c r="E6">
        <v>5</v>
      </c>
    </row>
    <row r="7" spans="1:6">
      <c r="A7" s="4"/>
      <c r="B7" s="6">
        <f>SUM(B4:B6)</f>
        <v>5884400</v>
      </c>
      <c r="C7" s="6">
        <f>SUM(C4:C6)</f>
        <v>-1814795</v>
      </c>
      <c r="D7" s="5">
        <f>C7/B7</f>
        <v>-0.30840782407722112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5283300</v>
      </c>
      <c r="C9" s="7">
        <v>-791200</v>
      </c>
      <c r="D9" s="5">
        <f>C9/B9</f>
        <v>-0.14975488804345768</v>
      </c>
      <c r="E9">
        <v>11</v>
      </c>
    </row>
    <row r="10" spans="1:6">
      <c r="A10" s="4"/>
      <c r="B10" s="7"/>
      <c r="C10" s="7">
        <v>470895</v>
      </c>
      <c r="D10" s="5">
        <f>C10/B9</f>
        <v>8.9128953494974739E-2</v>
      </c>
    </row>
    <row r="11" spans="1:6" ht="15.75">
      <c r="A11" s="1" t="s">
        <v>8</v>
      </c>
      <c r="B11" s="6">
        <f>B7+B9</f>
        <v>11167700</v>
      </c>
      <c r="C11" s="6">
        <f>C7+C9</f>
        <v>-2605995</v>
      </c>
      <c r="D11" s="5">
        <f>C11/B11</f>
        <v>-0.2333510928839421</v>
      </c>
      <c r="E11">
        <f>E4+E5+E6+E9</f>
        <v>24</v>
      </c>
    </row>
    <row r="13" spans="1:6" ht="15.75">
      <c r="B13" s="1" t="s">
        <v>0</v>
      </c>
      <c r="C13" s="10">
        <v>44883</v>
      </c>
      <c r="D13" t="s">
        <v>1</v>
      </c>
      <c r="E13">
        <v>1617.38</v>
      </c>
    </row>
    <row r="14" spans="1:6">
      <c r="E14" s="9">
        <v>-1.2160338119697705E-2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340200</v>
      </c>
      <c r="C16" s="7">
        <v>-67560</v>
      </c>
      <c r="D16" s="5">
        <v>-0.19858906525573192</v>
      </c>
      <c r="E16">
        <v>2</v>
      </c>
    </row>
    <row r="17" spans="1:5">
      <c r="A17" s="4">
        <v>3</v>
      </c>
      <c r="B17" s="7">
        <v>2658750</v>
      </c>
      <c r="C17" s="7">
        <v>-573150</v>
      </c>
      <c r="D17" s="5">
        <v>-0.21557122708039492</v>
      </c>
      <c r="E17">
        <v>7</v>
      </c>
    </row>
    <row r="18" spans="1:5">
      <c r="A18" s="4">
        <v>1</v>
      </c>
      <c r="B18" s="7">
        <v>2990450</v>
      </c>
      <c r="C18" s="7">
        <v>-1086350</v>
      </c>
      <c r="D18" s="5">
        <v>-0.36327308599040276</v>
      </c>
      <c r="E18">
        <v>5</v>
      </c>
    </row>
    <row r="19" spans="1:5">
      <c r="A19" s="4"/>
      <c r="B19" s="6">
        <v>5989400</v>
      </c>
      <c r="C19" s="6">
        <v>-1727060</v>
      </c>
      <c r="D19" s="5">
        <v>-0.28835275653654791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5189100</v>
      </c>
      <c r="C21" s="7">
        <v>-700200</v>
      </c>
      <c r="D21" s="5">
        <v>-0.13493669422443197</v>
      </c>
      <c r="E21">
        <v>11</v>
      </c>
    </row>
    <row r="22" spans="1:5">
      <c r="A22" s="4"/>
      <c r="B22" s="7"/>
      <c r="C22" s="7">
        <v>470895</v>
      </c>
      <c r="D22" s="5">
        <v>9.074695033820894E-2</v>
      </c>
    </row>
    <row r="23" spans="1:5" ht="15.75">
      <c r="A23" s="1" t="s">
        <v>8</v>
      </c>
      <c r="B23" s="6">
        <v>11178500</v>
      </c>
      <c r="C23" s="6">
        <v>-2427260</v>
      </c>
      <c r="D23" s="5">
        <v>-0.21713646732566982</v>
      </c>
      <c r="E23">
        <v>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DDB9-2F12-43CB-8C09-0C6CA6EFFA7C}">
  <dimension ref="A1:F23"/>
  <sheetViews>
    <sheetView workbookViewId="0">
      <selection activeCell="D4" sqref="D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44883</v>
      </c>
      <c r="D1" t="s">
        <v>1</v>
      </c>
      <c r="E1">
        <v>1617.38</v>
      </c>
    </row>
    <row r="2" spans="1:6">
      <c r="E2" s="9">
        <f>(E1-E13)/E13</f>
        <v>-1.2160338119697705E-2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340200</v>
      </c>
      <c r="C4" s="7">
        <v>-67560</v>
      </c>
      <c r="D4" s="5">
        <f>C4/B4</f>
        <v>-0.19858906525573192</v>
      </c>
      <c r="E4">
        <v>2</v>
      </c>
    </row>
    <row r="5" spans="1:6">
      <c r="A5" s="4">
        <v>3</v>
      </c>
      <c r="B5" s="7">
        <v>2658750</v>
      </c>
      <c r="C5" s="7">
        <v>-573150</v>
      </c>
      <c r="D5" s="5">
        <f>C5/B5</f>
        <v>-0.21557122708039492</v>
      </c>
      <c r="E5">
        <v>7</v>
      </c>
      <c r="F5" s="8"/>
    </row>
    <row r="6" spans="1:6">
      <c r="A6" s="4">
        <v>1</v>
      </c>
      <c r="B6" s="7">
        <v>2990450</v>
      </c>
      <c r="C6" s="7">
        <v>-1086350</v>
      </c>
      <c r="D6" s="5">
        <f>C6/B6</f>
        <v>-0.36327308599040276</v>
      </c>
      <c r="E6">
        <v>5</v>
      </c>
    </row>
    <row r="7" spans="1:6">
      <c r="A7" s="4"/>
      <c r="B7" s="6">
        <f>SUM(B4:B6)</f>
        <v>5989400</v>
      </c>
      <c r="C7" s="6">
        <f>SUM(C4:C6)</f>
        <v>-1727060</v>
      </c>
      <c r="D7" s="5">
        <f>C7/B7</f>
        <v>-0.28835275653654791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5189100</v>
      </c>
      <c r="C9" s="7">
        <v>-700200</v>
      </c>
      <c r="D9" s="5">
        <f>C9/B9</f>
        <v>-0.13493669422443197</v>
      </c>
      <c r="E9">
        <v>11</v>
      </c>
    </row>
    <row r="10" spans="1:6">
      <c r="A10" s="4"/>
      <c r="B10" s="7"/>
      <c r="C10" s="7">
        <v>470895</v>
      </c>
      <c r="D10" s="5">
        <f>C10/B9</f>
        <v>9.074695033820894E-2</v>
      </c>
    </row>
    <row r="11" spans="1:6" ht="15.75">
      <c r="A11" s="1" t="s">
        <v>8</v>
      </c>
      <c r="B11" s="6">
        <f>B7+B9</f>
        <v>11178500</v>
      </c>
      <c r="C11" s="6">
        <f>C7+C9</f>
        <v>-2427260</v>
      </c>
      <c r="D11" s="5">
        <f>C11/B11</f>
        <v>-0.21713646732566982</v>
      </c>
      <c r="E11">
        <f>E4+E5+E6+E9</f>
        <v>25</v>
      </c>
    </row>
    <row r="13" spans="1:6" ht="15.75">
      <c r="B13" s="1" t="s">
        <v>0</v>
      </c>
      <c r="C13" s="10">
        <v>44876</v>
      </c>
      <c r="D13" t="s">
        <v>1</v>
      </c>
      <c r="E13">
        <v>1637.29</v>
      </c>
    </row>
    <row r="14" spans="1:6">
      <c r="E14" s="9">
        <v>6.7452899798317841E-3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388800</v>
      </c>
      <c r="C16" s="7">
        <v>-87360</v>
      </c>
      <c r="D16" s="5">
        <v>-0.22469135802469137</v>
      </c>
      <c r="E16">
        <v>2</v>
      </c>
    </row>
    <row r="17" spans="1:5">
      <c r="A17" s="4">
        <v>3</v>
      </c>
      <c r="B17" s="7">
        <v>2553750</v>
      </c>
      <c r="C17" s="7">
        <v>-659950</v>
      </c>
      <c r="D17" s="5">
        <v>-0.2584238864415076</v>
      </c>
      <c r="E17">
        <v>6</v>
      </c>
    </row>
    <row r="18" spans="1:5">
      <c r="A18" s="4">
        <v>1</v>
      </c>
      <c r="B18" s="7">
        <v>2990450</v>
      </c>
      <c r="C18" s="7">
        <v>-1038350</v>
      </c>
      <c r="D18" s="5">
        <v>-0.34722199000150478</v>
      </c>
      <c r="E18">
        <v>5</v>
      </c>
    </row>
    <row r="19" spans="1:5">
      <c r="A19" s="4"/>
      <c r="B19" s="6">
        <v>5933000</v>
      </c>
      <c r="C19" s="6">
        <v>-1785660</v>
      </c>
      <c r="D19" s="5">
        <v>-0.30097084105848643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5003100</v>
      </c>
      <c r="C21" s="7">
        <v>-693500</v>
      </c>
      <c r="D21" s="5">
        <v>-0.13861405928324438</v>
      </c>
      <c r="E21">
        <v>11</v>
      </c>
    </row>
    <row r="22" spans="1:5">
      <c r="A22" s="4"/>
      <c r="B22" s="7"/>
      <c r="C22" s="7">
        <v>461836</v>
      </c>
      <c r="D22" s="5">
        <v>9.2309967819951627E-2</v>
      </c>
    </row>
    <row r="23" spans="1:5" ht="15.75">
      <c r="A23" s="1" t="s">
        <v>8</v>
      </c>
      <c r="B23" s="6">
        <v>10936100</v>
      </c>
      <c r="C23" s="6">
        <v>-2479160</v>
      </c>
      <c r="D23" s="5">
        <v>-0.22669507411234352</v>
      </c>
      <c r="E23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9C9-A045-4537-847E-58AB49A0F240}">
  <dimension ref="A1:F23"/>
  <sheetViews>
    <sheetView workbookViewId="0">
      <selection activeCell="D8" sqref="D8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44876</v>
      </c>
      <c r="D1" t="s">
        <v>1</v>
      </c>
      <c r="E1">
        <v>1637.29</v>
      </c>
    </row>
    <row r="2" spans="1:6">
      <c r="E2" s="9">
        <f>(E1-E13)/E13</f>
        <v>6.7452899798317841E-3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388800</v>
      </c>
      <c r="C4" s="7">
        <v>-87360</v>
      </c>
      <c r="D4" s="5">
        <f>C4/B4</f>
        <v>-0.22469135802469137</v>
      </c>
      <c r="E4">
        <v>2</v>
      </c>
    </row>
    <row r="5" spans="1:6">
      <c r="A5" s="4">
        <v>3</v>
      </c>
      <c r="B5" s="7">
        <v>2553750</v>
      </c>
      <c r="C5" s="7">
        <v>-659950</v>
      </c>
      <c r="D5" s="5">
        <f>C5/B5</f>
        <v>-0.2584238864415076</v>
      </c>
      <c r="E5">
        <v>6</v>
      </c>
      <c r="F5" s="8"/>
    </row>
    <row r="6" spans="1:6">
      <c r="A6" s="4">
        <v>1</v>
      </c>
      <c r="B6" s="7">
        <v>2990450</v>
      </c>
      <c r="C6" s="7">
        <v>-1038350</v>
      </c>
      <c r="D6" s="5">
        <f>C6/B6</f>
        <v>-0.34722199000150478</v>
      </c>
      <c r="E6">
        <v>5</v>
      </c>
    </row>
    <row r="7" spans="1:6">
      <c r="A7" s="4"/>
      <c r="B7" s="6">
        <f>SUM(B4:B6)</f>
        <v>5933000</v>
      </c>
      <c r="C7" s="6">
        <f>SUM(C4:C6)</f>
        <v>-1785660</v>
      </c>
      <c r="D7" s="5">
        <f>C7/B7</f>
        <v>-0.30097084105848643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5003100</v>
      </c>
      <c r="C9" s="7">
        <v>-693500</v>
      </c>
      <c r="D9" s="5">
        <f>C9/B9</f>
        <v>-0.13861405928324438</v>
      </c>
      <c r="E9">
        <v>11</v>
      </c>
    </row>
    <row r="10" spans="1:6">
      <c r="A10" s="4"/>
      <c r="B10" s="7"/>
      <c r="C10" s="7">
        <v>461836</v>
      </c>
      <c r="D10" s="5">
        <f>C10/B9</f>
        <v>9.2309967819951627E-2</v>
      </c>
    </row>
    <row r="11" spans="1:6" ht="15.75">
      <c r="A11" s="1" t="s">
        <v>8</v>
      </c>
      <c r="B11" s="6">
        <f>B7+B9</f>
        <v>10936100</v>
      </c>
      <c r="C11" s="6">
        <f>C7+C9</f>
        <v>-2479160</v>
      </c>
      <c r="D11" s="5">
        <f>C11/B11</f>
        <v>-0.22669507411234352</v>
      </c>
      <c r="E11">
        <f>E4+E5+E6+E9</f>
        <v>24</v>
      </c>
    </row>
    <row r="13" spans="1:6" ht="15.75">
      <c r="B13" s="1" t="s">
        <v>0</v>
      </c>
      <c r="C13" s="10">
        <v>44869</v>
      </c>
      <c r="D13" t="s">
        <v>1</v>
      </c>
      <c r="E13">
        <v>1626.32</v>
      </c>
    </row>
    <row r="14" spans="1:6">
      <c r="E14" s="9">
        <v>1.0915239066112997E-2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1067200</v>
      </c>
      <c r="C16" s="7">
        <v>-199900</v>
      </c>
      <c r="D16" s="5">
        <v>-0.18731259370314843</v>
      </c>
      <c r="E16">
        <v>4</v>
      </c>
    </row>
    <row r="17" spans="1:5">
      <c r="A17" s="4">
        <v>3</v>
      </c>
      <c r="B17" s="7">
        <v>2553700</v>
      </c>
      <c r="C17" s="7">
        <v>-679325</v>
      </c>
      <c r="D17" s="5">
        <v>-0.26601597681795042</v>
      </c>
      <c r="E17">
        <v>6</v>
      </c>
    </row>
    <row r="18" spans="1:5">
      <c r="A18" s="4">
        <v>1</v>
      </c>
      <c r="B18" s="7">
        <v>2515250</v>
      </c>
      <c r="C18" s="7">
        <v>-894158</v>
      </c>
      <c r="D18" s="5">
        <v>-0.3554946824371335</v>
      </c>
      <c r="E18">
        <v>4</v>
      </c>
    </row>
    <row r="19" spans="1:5">
      <c r="A19" s="4"/>
      <c r="B19" s="6">
        <v>6136150</v>
      </c>
      <c r="C19" s="6">
        <v>-1773383</v>
      </c>
      <c r="D19" s="5">
        <v>-0.28900580983189783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4924100</v>
      </c>
      <c r="C21" s="7">
        <v>-800150</v>
      </c>
      <c r="D21" s="5">
        <v>-0.1624966999045511</v>
      </c>
      <c r="E21">
        <v>11</v>
      </c>
    </row>
    <row r="22" spans="1:5">
      <c r="A22" s="4"/>
      <c r="B22" s="7"/>
      <c r="C22" s="7">
        <v>434774</v>
      </c>
      <c r="D22" s="5">
        <v>8.8295119920391546E-2</v>
      </c>
    </row>
    <row r="23" spans="1:5" ht="15.75">
      <c r="A23" s="1" t="s">
        <v>8</v>
      </c>
      <c r="B23" s="6">
        <v>11060250</v>
      </c>
      <c r="C23" s="6">
        <v>-2573533</v>
      </c>
      <c r="D23" s="5">
        <v>-0.23268307678397865</v>
      </c>
      <c r="E23">
        <v>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1D16-9650-498C-A9CB-3013046074CB}">
  <dimension ref="A1:F23"/>
  <sheetViews>
    <sheetView topLeftCell="A6" workbookViewId="0">
      <selection activeCell="E2" sqref="E2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44869</v>
      </c>
      <c r="D1" t="s">
        <v>1</v>
      </c>
      <c r="E1">
        <v>1626.32</v>
      </c>
    </row>
    <row r="2" spans="1:6">
      <c r="E2" s="9">
        <f>(E1-E13)/E13</f>
        <v>1.0915239066112997E-2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1067200</v>
      </c>
      <c r="C4" s="7">
        <v>-199900</v>
      </c>
      <c r="D4" s="5">
        <f>C4/B4</f>
        <v>-0.18731259370314843</v>
      </c>
      <c r="E4">
        <v>4</v>
      </c>
    </row>
    <row r="5" spans="1:6">
      <c r="A5" s="4">
        <v>3</v>
      </c>
      <c r="B5" s="7">
        <v>2553700</v>
      </c>
      <c r="C5" s="7">
        <v>-679325</v>
      </c>
      <c r="D5" s="5">
        <f>C5/B5</f>
        <v>-0.26601597681795042</v>
      </c>
      <c r="E5">
        <v>6</v>
      </c>
      <c r="F5" s="8"/>
    </row>
    <row r="6" spans="1:6">
      <c r="A6" s="4">
        <v>1</v>
      </c>
      <c r="B6" s="7">
        <v>2515250</v>
      </c>
      <c r="C6" s="7">
        <v>-894158</v>
      </c>
      <c r="D6" s="5">
        <f>C6/B6</f>
        <v>-0.3554946824371335</v>
      </c>
      <c r="E6">
        <v>4</v>
      </c>
    </row>
    <row r="7" spans="1:6">
      <c r="A7" s="4"/>
      <c r="B7" s="6">
        <f>SUM(B4:B6)</f>
        <v>6136150</v>
      </c>
      <c r="C7" s="6">
        <f>SUM(C4:C6)</f>
        <v>-1773383</v>
      </c>
      <c r="D7" s="5">
        <f>C7/B7</f>
        <v>-0.28900580983189783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4924100</v>
      </c>
      <c r="C9" s="7">
        <v>-800150</v>
      </c>
      <c r="D9" s="5">
        <f>C9/B9</f>
        <v>-0.1624966999045511</v>
      </c>
      <c r="E9">
        <v>11</v>
      </c>
    </row>
    <row r="10" spans="1:6">
      <c r="A10" s="4"/>
      <c r="B10" s="7"/>
      <c r="C10" s="7">
        <v>434774</v>
      </c>
      <c r="D10" s="5">
        <f>C10/B9</f>
        <v>8.8295119920391546E-2</v>
      </c>
    </row>
    <row r="11" spans="1:6" ht="15.75">
      <c r="A11" s="1" t="s">
        <v>8</v>
      </c>
      <c r="B11" s="6">
        <f>B7+B9</f>
        <v>11060250</v>
      </c>
      <c r="C11" s="6">
        <f>C7+C9</f>
        <v>-2573533</v>
      </c>
      <c r="D11" s="5">
        <f>C11/B11</f>
        <v>-0.23268307678397865</v>
      </c>
      <c r="E11">
        <f>E4+E5+E6+E9</f>
        <v>25</v>
      </c>
    </row>
    <row r="13" spans="1:6" ht="15.75">
      <c r="B13" s="1" t="s">
        <v>0</v>
      </c>
      <c r="C13" s="10">
        <v>44865</v>
      </c>
      <c r="D13" t="s">
        <v>1</v>
      </c>
      <c r="E13">
        <v>1608.76</v>
      </c>
    </row>
    <row r="14" spans="1:6">
      <c r="E14" s="9">
        <v>1.0064480483195502E-2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1067200</v>
      </c>
      <c r="C16" s="7">
        <v>-215520</v>
      </c>
      <c r="D16" s="5">
        <v>-0.20194902548725638</v>
      </c>
      <c r="E16">
        <v>4</v>
      </c>
    </row>
    <row r="17" spans="1:5">
      <c r="A17" s="4">
        <v>3</v>
      </c>
      <c r="B17" s="7">
        <v>2685000</v>
      </c>
      <c r="C17" s="7">
        <v>-793200</v>
      </c>
      <c r="D17" s="5">
        <v>-0.2954189944134078</v>
      </c>
      <c r="E17">
        <v>6</v>
      </c>
    </row>
    <row r="18" spans="1:5">
      <c r="A18" s="4">
        <v>1</v>
      </c>
      <c r="B18" s="7">
        <v>2579625</v>
      </c>
      <c r="C18" s="7">
        <v>-968625</v>
      </c>
      <c r="D18" s="5">
        <v>-0.37549062363715657</v>
      </c>
      <c r="E18">
        <v>4</v>
      </c>
    </row>
    <row r="19" spans="1:5">
      <c r="A19" s="4"/>
      <c r="B19" s="6">
        <v>6331825</v>
      </c>
      <c r="C19" s="6">
        <v>-1977345</v>
      </c>
      <c r="D19" s="5">
        <v>-0.31228674197407541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4924100</v>
      </c>
      <c r="C21" s="7">
        <v>-890750</v>
      </c>
      <c r="D21" s="5">
        <v>-0.18089600129972991</v>
      </c>
      <c r="E21">
        <v>11</v>
      </c>
    </row>
    <row r="22" spans="1:5">
      <c r="A22" s="4"/>
      <c r="B22" s="7"/>
      <c r="C22" s="7">
        <v>434814</v>
      </c>
      <c r="D22" s="5">
        <v>8.8303243232265793E-2</v>
      </c>
    </row>
    <row r="23" spans="1:5" ht="15.75">
      <c r="A23" s="1" t="s">
        <v>8</v>
      </c>
      <c r="B23" s="6">
        <v>11255925</v>
      </c>
      <c r="C23" s="6">
        <v>-2868095</v>
      </c>
      <c r="D23" s="5">
        <v>-0.25480757911944152</v>
      </c>
      <c r="E23">
        <v>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CAF5-AB95-4B4D-81C0-7BB1FCCFFE03}">
  <dimension ref="A1:F23"/>
  <sheetViews>
    <sheetView workbookViewId="0">
      <selection activeCell="E4" sqref="E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44865</v>
      </c>
      <c r="D1" t="s">
        <v>1</v>
      </c>
      <c r="E1">
        <v>1608.76</v>
      </c>
    </row>
    <row r="2" spans="1:6">
      <c r="E2" s="9">
        <f>(E1-E13)/E13</f>
        <v>1.0064480483195502E-2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1067200</v>
      </c>
      <c r="C4" s="7">
        <v>-215520</v>
      </c>
      <c r="D4" s="5">
        <f>C4/B4</f>
        <v>-0.20194902548725638</v>
      </c>
      <c r="E4">
        <v>4</v>
      </c>
    </row>
    <row r="5" spans="1:6">
      <c r="A5" s="4">
        <v>3</v>
      </c>
      <c r="B5" s="7">
        <v>2685000</v>
      </c>
      <c r="C5" s="7">
        <v>-793200</v>
      </c>
      <c r="D5" s="5">
        <f>C5/B5</f>
        <v>-0.2954189944134078</v>
      </c>
      <c r="E5">
        <v>6</v>
      </c>
      <c r="F5" s="8"/>
    </row>
    <row r="6" spans="1:6">
      <c r="A6" s="4">
        <v>1</v>
      </c>
      <c r="B6" s="7">
        <v>2579625</v>
      </c>
      <c r="C6" s="7">
        <v>-968625</v>
      </c>
      <c r="D6" s="5">
        <f>C6/B6</f>
        <v>-0.37549062363715657</v>
      </c>
      <c r="E6">
        <v>4</v>
      </c>
    </row>
    <row r="7" spans="1:6">
      <c r="A7" s="4"/>
      <c r="B7" s="6">
        <f>SUM(B4:B6)</f>
        <v>6331825</v>
      </c>
      <c r="C7" s="6">
        <f>SUM(C4:C6)</f>
        <v>-1977345</v>
      </c>
      <c r="D7" s="5">
        <f>C7/B7</f>
        <v>-0.31228674197407541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4924100</v>
      </c>
      <c r="C9" s="7">
        <v>-890750</v>
      </c>
      <c r="D9" s="5">
        <f>C9/B9</f>
        <v>-0.18089600129972991</v>
      </c>
      <c r="E9">
        <v>11</v>
      </c>
    </row>
    <row r="10" spans="1:6">
      <c r="A10" s="4"/>
      <c r="B10" s="7"/>
      <c r="C10" s="7">
        <v>434814</v>
      </c>
      <c r="D10" s="5">
        <f>C10/B9</f>
        <v>8.8303243232265793E-2</v>
      </c>
    </row>
    <row r="11" spans="1:6" ht="15.75">
      <c r="A11" s="1" t="s">
        <v>8</v>
      </c>
      <c r="B11" s="6">
        <f>B7+B9</f>
        <v>11255925</v>
      </c>
      <c r="C11" s="6">
        <f>C7+C9</f>
        <v>-2868095</v>
      </c>
      <c r="D11" s="5">
        <f>C11/B11</f>
        <v>-0.25480757911944152</v>
      </c>
      <c r="E11">
        <f>E4+E5+E6+E9</f>
        <v>25</v>
      </c>
    </row>
    <row r="13" spans="1:6" ht="15.75">
      <c r="B13" s="1" t="s">
        <v>0</v>
      </c>
      <c r="C13" s="10">
        <v>44855</v>
      </c>
      <c r="D13" t="s">
        <v>1</v>
      </c>
      <c r="E13">
        <v>1592.73</v>
      </c>
    </row>
    <row r="14" spans="1:6">
      <c r="E14" s="9">
        <v>2.0470533963787365E-2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1067200</v>
      </c>
      <c r="C16" s="7">
        <v>-222600</v>
      </c>
      <c r="D16" s="5">
        <v>-0.20858320839580211</v>
      </c>
      <c r="E16">
        <v>4</v>
      </c>
    </row>
    <row r="17" spans="1:5">
      <c r="A17" s="4">
        <v>3</v>
      </c>
      <c r="B17" s="7">
        <v>2685000</v>
      </c>
      <c r="C17" s="7">
        <v>-802575</v>
      </c>
      <c r="D17" s="5">
        <v>-0.29891061452513967</v>
      </c>
      <c r="E17">
        <v>6</v>
      </c>
    </row>
    <row r="18" spans="1:5">
      <c r="A18" s="4">
        <v>1</v>
      </c>
      <c r="B18" s="7">
        <v>2733375</v>
      </c>
      <c r="C18" s="7">
        <v>-981525</v>
      </c>
      <c r="D18" s="5">
        <v>-0.35908903827685551</v>
      </c>
      <c r="E18">
        <v>4</v>
      </c>
    </row>
    <row r="19" spans="1:5">
      <c r="A19" s="4"/>
      <c r="B19" s="6">
        <v>6485575</v>
      </c>
      <c r="C19" s="6">
        <v>-2006700</v>
      </c>
      <c r="D19" s="5">
        <v>-0.30940972851289206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4899100</v>
      </c>
      <c r="C21" s="7">
        <v>-903700</v>
      </c>
      <c r="D21" s="5">
        <v>-0.18446245228715477</v>
      </c>
      <c r="E21">
        <v>11</v>
      </c>
    </row>
    <row r="22" spans="1:5">
      <c r="A22" s="4"/>
      <c r="B22" s="7"/>
      <c r="C22" s="7">
        <v>431374</v>
      </c>
      <c r="D22" s="5">
        <v>8.8051682962176719E-2</v>
      </c>
    </row>
    <row r="23" spans="1:5" ht="15.75">
      <c r="A23" s="1" t="s">
        <v>8</v>
      </c>
      <c r="B23" s="6">
        <v>11384675</v>
      </c>
      <c r="C23" s="6">
        <v>-2910400</v>
      </c>
      <c r="D23" s="5">
        <v>-0.25564190457786456</v>
      </c>
      <c r="E23">
        <v>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7ADB-96F4-4457-BBFF-9DCEC53934AC}">
  <dimension ref="A1:F23"/>
  <sheetViews>
    <sheetView workbookViewId="0">
      <selection activeCell="D4" sqref="D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44855</v>
      </c>
      <c r="D1" t="s">
        <v>1</v>
      </c>
      <c r="E1">
        <v>1592.73</v>
      </c>
    </row>
    <row r="2" spans="1:6">
      <c r="E2" s="9">
        <f>(E1-E13)/E13</f>
        <v>2.0470533963787365E-2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1067200</v>
      </c>
      <c r="C4" s="7">
        <v>-222600</v>
      </c>
      <c r="D4" s="5">
        <f>C4/B4</f>
        <v>-0.20858320839580211</v>
      </c>
      <c r="E4">
        <v>4</v>
      </c>
    </row>
    <row r="5" spans="1:6">
      <c r="A5" s="4">
        <v>3</v>
      </c>
      <c r="B5" s="7">
        <v>2685000</v>
      </c>
      <c r="C5" s="7">
        <v>-802575</v>
      </c>
      <c r="D5" s="5">
        <f>C5/B5</f>
        <v>-0.29891061452513967</v>
      </c>
      <c r="E5">
        <v>6</v>
      </c>
      <c r="F5" s="8"/>
    </row>
    <row r="6" spans="1:6">
      <c r="A6" s="4">
        <v>1</v>
      </c>
      <c r="B6" s="7">
        <v>2733375</v>
      </c>
      <c r="C6" s="7">
        <v>-981525</v>
      </c>
      <c r="D6" s="5">
        <f>C6/B6</f>
        <v>-0.35908903827685551</v>
      </c>
      <c r="E6">
        <v>4</v>
      </c>
    </row>
    <row r="7" spans="1:6">
      <c r="A7" s="4"/>
      <c r="B7" s="6">
        <f>SUM(B4:B6)</f>
        <v>6485575</v>
      </c>
      <c r="C7" s="6">
        <f>SUM(C4:C6)</f>
        <v>-2006700</v>
      </c>
      <c r="D7" s="5">
        <f>C7/B7</f>
        <v>-0.30940972851289206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4899100</v>
      </c>
      <c r="C9" s="7">
        <v>-903700</v>
      </c>
      <c r="D9" s="5">
        <f>C9/B9</f>
        <v>-0.18446245228715477</v>
      </c>
      <c r="E9">
        <v>11</v>
      </c>
    </row>
    <row r="10" spans="1:6">
      <c r="A10" s="4"/>
      <c r="B10" s="7"/>
      <c r="C10" s="7">
        <v>431374</v>
      </c>
      <c r="D10" s="5">
        <f>C10/B9</f>
        <v>8.8051682962176719E-2</v>
      </c>
    </row>
    <row r="11" spans="1:6" ht="15.75">
      <c r="A11" s="1" t="s">
        <v>8</v>
      </c>
      <c r="B11" s="6">
        <f>B7+B9</f>
        <v>11384675</v>
      </c>
      <c r="C11" s="6">
        <f>C7+C9</f>
        <v>-2910400</v>
      </c>
      <c r="D11" s="5">
        <f>C11/B11</f>
        <v>-0.25564190457786456</v>
      </c>
      <c r="E11">
        <f>E4+E5+E6+E9</f>
        <v>25</v>
      </c>
    </row>
    <row r="13" spans="1:6" ht="15.75">
      <c r="B13" s="1" t="s">
        <v>0</v>
      </c>
      <c r="C13" s="10">
        <v>44846</v>
      </c>
      <c r="D13" t="s">
        <v>1</v>
      </c>
      <c r="E13">
        <v>1560.78</v>
      </c>
    </row>
    <row r="14" spans="1:6">
      <c r="E14" s="9">
        <v>0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1067200</v>
      </c>
      <c r="C16" s="7">
        <v>-215920</v>
      </c>
      <c r="D16" s="5">
        <v>-0.20232383808095952</v>
      </c>
      <c r="E16">
        <v>4</v>
      </c>
    </row>
    <row r="17" spans="1:5">
      <c r="A17" s="4">
        <v>3</v>
      </c>
      <c r="B17" s="7">
        <v>2685000</v>
      </c>
      <c r="C17" s="7">
        <v>-804150</v>
      </c>
      <c r="D17" s="5">
        <v>-0.29949720670391061</v>
      </c>
      <c r="E17">
        <v>6</v>
      </c>
    </row>
    <row r="18" spans="1:5">
      <c r="A18" s="4">
        <v>1</v>
      </c>
      <c r="B18" s="7">
        <v>2733375</v>
      </c>
      <c r="C18" s="7">
        <v>-953475</v>
      </c>
      <c r="D18" s="5">
        <v>-0.34882699958842089</v>
      </c>
      <c r="E18">
        <v>4</v>
      </c>
    </row>
    <row r="19" spans="1:5">
      <c r="A19" s="4"/>
      <c r="B19" s="6">
        <v>6485575</v>
      </c>
      <c r="C19" s="6">
        <v>-1973545</v>
      </c>
      <c r="D19" s="5">
        <v>-0.30429761432101238</v>
      </c>
    </row>
    <row r="20" spans="1:5" ht="15.75">
      <c r="B20" s="6"/>
      <c r="C20" s="2" t="s">
        <v>7</v>
      </c>
      <c r="D20" s="5"/>
    </row>
    <row r="21" spans="1:5">
      <c r="A21" s="4">
        <v>2</v>
      </c>
      <c r="B21" s="7">
        <v>4815820</v>
      </c>
      <c r="C21" s="7">
        <v>-874500</v>
      </c>
      <c r="D21" s="5">
        <v>-0.1815890128783883</v>
      </c>
      <c r="E21">
        <v>11</v>
      </c>
    </row>
    <row r="22" spans="1:5">
      <c r="A22" s="4"/>
      <c r="B22" s="7"/>
      <c r="C22" s="7">
        <v>431374</v>
      </c>
      <c r="D22" s="5">
        <v>8.9574361167983854E-2</v>
      </c>
    </row>
    <row r="23" spans="1:5" ht="15.75">
      <c r="A23" s="1" t="s">
        <v>8</v>
      </c>
      <c r="B23" s="6">
        <v>11301395</v>
      </c>
      <c r="C23" s="6">
        <v>-2848045</v>
      </c>
      <c r="D23" s="5">
        <v>-0.25200826977554541</v>
      </c>
      <c r="E23">
        <v>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2EA1-5CCF-4137-9424-938A20BE20D7}">
  <dimension ref="A1:F23"/>
  <sheetViews>
    <sheetView workbookViewId="0">
      <selection activeCell="B18" sqref="B18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44846</v>
      </c>
      <c r="D1" t="s">
        <v>1</v>
      </c>
      <c r="E1">
        <v>1560.78</v>
      </c>
    </row>
    <row r="2" spans="1:6">
      <c r="E2" s="9">
        <f>(E1-E13)/E13</f>
        <v>-1.1639099267965317E-2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1067200</v>
      </c>
      <c r="C4" s="7">
        <v>-231480</v>
      </c>
      <c r="D4" s="5">
        <f>C4/B4</f>
        <v>-0.21690404797601198</v>
      </c>
      <c r="E4">
        <v>4</v>
      </c>
    </row>
    <row r="5" spans="1:6">
      <c r="A5" s="4">
        <v>3</v>
      </c>
      <c r="B5" s="7">
        <v>2685000</v>
      </c>
      <c r="C5" s="7">
        <v>-865950</v>
      </c>
      <c r="D5" s="5">
        <f>C5/B5</f>
        <v>-0.32251396648044695</v>
      </c>
      <c r="E5">
        <v>6</v>
      </c>
      <c r="F5" s="8"/>
    </row>
    <row r="6" spans="1:6">
      <c r="A6" s="4">
        <v>1</v>
      </c>
      <c r="B6" s="7">
        <v>2733375</v>
      </c>
      <c r="C6" s="7">
        <v>-989175</v>
      </c>
      <c r="D6" s="5">
        <f>C6/B6</f>
        <v>-0.36188777610097406</v>
      </c>
      <c r="E6">
        <v>4</v>
      </c>
    </row>
    <row r="7" spans="1:6">
      <c r="A7" s="4"/>
      <c r="B7" s="6">
        <f>SUM(B4:B6)</f>
        <v>6485575</v>
      </c>
      <c r="C7" s="6">
        <f>SUM(C4:C6)</f>
        <v>-2086605</v>
      </c>
      <c r="D7" s="5">
        <f>C7/B7</f>
        <v>-0.32173014728840543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4899100</v>
      </c>
      <c r="C9" s="7">
        <v>-910450</v>
      </c>
      <c r="D9" s="5">
        <f>C9/B9</f>
        <v>-0.18584025637361964</v>
      </c>
      <c r="E9">
        <v>11</v>
      </c>
    </row>
    <row r="10" spans="1:6">
      <c r="A10" s="4"/>
      <c r="B10" s="7"/>
      <c r="C10" s="7">
        <v>431374</v>
      </c>
      <c r="D10" s="5">
        <f>C10/B9</f>
        <v>8.8051682962176719E-2</v>
      </c>
    </row>
    <row r="11" spans="1:6" ht="15.75">
      <c r="A11" s="1" t="s">
        <v>8</v>
      </c>
      <c r="B11" s="6">
        <f>B7+B9</f>
        <v>11384675</v>
      </c>
      <c r="C11" s="6">
        <f>C7+C9</f>
        <v>-2997055</v>
      </c>
      <c r="D11" s="5">
        <f>C11/B11</f>
        <v>-0.26325345255793425</v>
      </c>
      <c r="E11">
        <f>E4+E5+E6+E9</f>
        <v>25</v>
      </c>
    </row>
    <row r="13" spans="1:6" ht="15.75">
      <c r="B13" s="1" t="s">
        <v>0</v>
      </c>
      <c r="C13" s="10">
        <v>44841</v>
      </c>
      <c r="D13" t="s">
        <v>1</v>
      </c>
      <c r="E13">
        <v>1579.16</v>
      </c>
    </row>
    <row r="14" spans="1:6">
      <c r="E14" s="9">
        <v>-6.51144063264774E-3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1067200</v>
      </c>
      <c r="C16" s="7">
        <v>-216200</v>
      </c>
      <c r="D16" s="5">
        <v>-0.20258620689655171</v>
      </c>
      <c r="E16">
        <v>4</v>
      </c>
    </row>
    <row r="17" spans="1:5">
      <c r="A17" s="4">
        <v>3</v>
      </c>
      <c r="B17" s="7">
        <v>2685000</v>
      </c>
      <c r="C17" s="7">
        <v>-825750</v>
      </c>
      <c r="D17" s="5">
        <v>-0.3075418994413408</v>
      </c>
      <c r="E17">
        <v>6</v>
      </c>
    </row>
    <row r="18" spans="1:5">
      <c r="A18" s="4">
        <v>1</v>
      </c>
      <c r="B18" s="7">
        <v>2733375</v>
      </c>
      <c r="C18" s="7">
        <v>-935775</v>
      </c>
      <c r="D18" s="5">
        <v>-0.34235148854438197</v>
      </c>
      <c r="E18">
        <v>4</v>
      </c>
    </row>
    <row r="19" spans="1:5">
      <c r="A19" s="4"/>
      <c r="B19" s="6">
        <v>6485575</v>
      </c>
      <c r="C19" s="6">
        <v>-1977725</v>
      </c>
      <c r="D19" s="5">
        <v>-0.30494212155437261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4815850</v>
      </c>
      <c r="C21" s="7">
        <v>-843300</v>
      </c>
      <c r="D21" s="5">
        <v>-0.17510927458288775</v>
      </c>
      <c r="E21">
        <v>11</v>
      </c>
    </row>
    <row r="22" spans="1:5">
      <c r="A22" s="4"/>
      <c r="B22" s="7"/>
      <c r="C22" s="7">
        <v>412624</v>
      </c>
      <c r="D22" s="5"/>
    </row>
    <row r="23" spans="1:5" ht="15.75">
      <c r="A23" s="1" t="s">
        <v>8</v>
      </c>
      <c r="B23" s="6">
        <v>11301425</v>
      </c>
      <c r="C23" s="6">
        <v>-2821025</v>
      </c>
      <c r="D23" s="5">
        <v>-0.24961675186978632</v>
      </c>
      <c r="E23">
        <v>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9FA7-338A-465C-B22A-F5F9311A3AA5}">
  <dimension ref="A1:F23"/>
  <sheetViews>
    <sheetView topLeftCell="A7" workbookViewId="0">
      <selection activeCell="A10" sqref="A10:XFD11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>
        <v>44841</v>
      </c>
      <c r="D1" t="s">
        <v>1</v>
      </c>
      <c r="E1">
        <v>1579.16</v>
      </c>
    </row>
    <row r="2" spans="1:6">
      <c r="E2" s="9">
        <f>(E1-E13)/E13</f>
        <v>-6.51144063264774E-3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1067200</v>
      </c>
      <c r="C4" s="7">
        <v>-216200</v>
      </c>
      <c r="D4" s="5">
        <f>C4/B4</f>
        <v>-0.20258620689655171</v>
      </c>
      <c r="E4">
        <v>4</v>
      </c>
    </row>
    <row r="5" spans="1:6">
      <c r="A5" s="4">
        <v>3</v>
      </c>
      <c r="B5" s="7">
        <v>2685000</v>
      </c>
      <c r="C5" s="7">
        <v>-825750</v>
      </c>
      <c r="D5" s="5">
        <f>C5/B5</f>
        <v>-0.3075418994413408</v>
      </c>
      <c r="E5">
        <v>6</v>
      </c>
      <c r="F5" s="8"/>
    </row>
    <row r="6" spans="1:6">
      <c r="A6" s="4">
        <v>1</v>
      </c>
      <c r="B6" s="7">
        <v>2733375</v>
      </c>
      <c r="C6" s="7">
        <v>-935775</v>
      </c>
      <c r="D6" s="5">
        <f>C6/B6</f>
        <v>-0.34235148854438197</v>
      </c>
      <c r="E6">
        <v>4</v>
      </c>
    </row>
    <row r="7" spans="1:6">
      <c r="A7" s="4"/>
      <c r="B7" s="6">
        <f>SUM(B4:B6)</f>
        <v>6485575</v>
      </c>
      <c r="C7" s="6">
        <f>SUM(C4:C6)</f>
        <v>-1977725</v>
      </c>
      <c r="D7" s="5">
        <f>C7/B7</f>
        <v>-0.30494212155437261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4815850</v>
      </c>
      <c r="C9" s="7">
        <v>-843300</v>
      </c>
      <c r="D9" s="5">
        <f>C9/B9</f>
        <v>-0.17510927458288775</v>
      </c>
      <c r="E9">
        <v>11</v>
      </c>
    </row>
    <row r="10" spans="1:6">
      <c r="A10" s="4"/>
      <c r="B10" s="7"/>
      <c r="C10" s="7">
        <v>412624</v>
      </c>
      <c r="D10" s="5"/>
    </row>
    <row r="11" spans="1:6" ht="15.75">
      <c r="A11" s="1" t="s">
        <v>8</v>
      </c>
      <c r="B11" s="6">
        <f>B7+B9</f>
        <v>11301425</v>
      </c>
      <c r="C11" s="6">
        <f>C7+C9</f>
        <v>-2821025</v>
      </c>
      <c r="D11" s="5">
        <f>C11/B11</f>
        <v>-0.24961675186978632</v>
      </c>
      <c r="E11">
        <f>E4+E5+E6+E9</f>
        <v>25</v>
      </c>
    </row>
    <row r="13" spans="1:6" ht="15.75">
      <c r="B13" s="1" t="s">
        <v>0</v>
      </c>
      <c r="C13" s="10" t="s">
        <v>9</v>
      </c>
      <c r="D13" t="s">
        <v>1</v>
      </c>
      <c r="E13">
        <v>1589.51</v>
      </c>
    </row>
    <row r="14" spans="1:6">
      <c r="E14" s="9">
        <v>-2.5862438791206799E-2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1067200</v>
      </c>
      <c r="C16" s="7">
        <v>-203720</v>
      </c>
      <c r="D16" s="5">
        <v>-0.19089205397301348</v>
      </c>
      <c r="E16">
        <v>4</v>
      </c>
    </row>
    <row r="17" spans="1:5">
      <c r="A17" s="4">
        <v>3</v>
      </c>
      <c r="B17" s="7">
        <v>2851500</v>
      </c>
      <c r="C17" s="7">
        <v>-796275</v>
      </c>
      <c r="D17" s="5">
        <v>-0.27924776433456078</v>
      </c>
      <c r="E17">
        <v>7</v>
      </c>
    </row>
    <row r="18" spans="1:5">
      <c r="A18" s="4">
        <v>1</v>
      </c>
      <c r="B18" s="7">
        <v>2733375</v>
      </c>
      <c r="C18" s="7">
        <v>-949125</v>
      </c>
      <c r="D18" s="5">
        <v>-0.34723556043352999</v>
      </c>
      <c r="E18">
        <v>4</v>
      </c>
    </row>
    <row r="19" spans="1:5">
      <c r="A19" s="4"/>
      <c r="B19" s="6">
        <v>6652075</v>
      </c>
      <c r="C19" s="6">
        <v>-1949120</v>
      </c>
      <c r="D19" s="5">
        <v>-0.29300932415825137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4815850</v>
      </c>
      <c r="C21" s="7">
        <v>-831350</v>
      </c>
      <c r="D21" s="5">
        <v>-0.17262788500472398</v>
      </c>
      <c r="E21">
        <v>11</v>
      </c>
    </row>
    <row r="22" spans="1:5">
      <c r="A22" s="4"/>
      <c r="B22" s="7"/>
      <c r="C22" s="7">
        <v>412624</v>
      </c>
      <c r="D22" s="5"/>
    </row>
    <row r="23" spans="1:5" ht="15.75">
      <c r="A23" s="1" t="s">
        <v>8</v>
      </c>
      <c r="B23" s="6">
        <v>11467925</v>
      </c>
      <c r="C23" s="6">
        <v>-2780470</v>
      </c>
      <c r="D23" s="5">
        <v>-0.24245624208389921</v>
      </c>
      <c r="E23">
        <v>26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81B6-A8A7-42B3-884B-7E8A5702EF15}">
  <dimension ref="A1:F23"/>
  <sheetViews>
    <sheetView workbookViewId="0">
      <selection activeCell="D4" sqref="D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9</v>
      </c>
      <c r="D1" t="s">
        <v>1</v>
      </c>
      <c r="E1">
        <v>1589.51</v>
      </c>
    </row>
    <row r="2" spans="1:6">
      <c r="E2" s="9">
        <f>(E1-E13)/E13</f>
        <v>-2.5862438791206799E-2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1067200</v>
      </c>
      <c r="C4" s="7">
        <v>-203720</v>
      </c>
      <c r="D4" s="5">
        <f>C4/B4</f>
        <v>-0.19089205397301348</v>
      </c>
      <c r="E4">
        <v>4</v>
      </c>
    </row>
    <row r="5" spans="1:6">
      <c r="A5" s="4">
        <v>3</v>
      </c>
      <c r="B5" s="7">
        <v>2851500</v>
      </c>
      <c r="C5" s="7">
        <v>-796275</v>
      </c>
      <c r="D5" s="5">
        <f>C5/B5</f>
        <v>-0.27924776433456078</v>
      </c>
      <c r="E5">
        <v>7</v>
      </c>
      <c r="F5" s="8"/>
    </row>
    <row r="6" spans="1:6">
      <c r="A6" s="4">
        <v>1</v>
      </c>
      <c r="B6" s="7">
        <v>2733375</v>
      </c>
      <c r="C6" s="7">
        <v>-949125</v>
      </c>
      <c r="D6" s="5">
        <f>C6/B6</f>
        <v>-0.34723556043352999</v>
      </c>
      <c r="E6">
        <v>4</v>
      </c>
    </row>
    <row r="7" spans="1:6">
      <c r="A7" s="4"/>
      <c r="B7" s="6">
        <f>SUM(B4:B6)</f>
        <v>6652075</v>
      </c>
      <c r="C7" s="6">
        <f>SUM(C4:C6)</f>
        <v>-1949120</v>
      </c>
      <c r="D7" s="5">
        <f>C7/B7</f>
        <v>-0.29300932415825137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4815850</v>
      </c>
      <c r="C9" s="7">
        <v>-831350</v>
      </c>
      <c r="D9" s="5">
        <f>C9/B9</f>
        <v>-0.17262788500472398</v>
      </c>
      <c r="E9">
        <v>11</v>
      </c>
    </row>
    <row r="10" spans="1:6">
      <c r="A10" s="4"/>
      <c r="B10" s="7"/>
      <c r="C10" s="7">
        <v>412624</v>
      </c>
      <c r="D10" s="5"/>
    </row>
    <row r="11" spans="1:6" ht="15.75">
      <c r="A11" s="1" t="s">
        <v>8</v>
      </c>
      <c r="B11" s="6">
        <f>B7+B9</f>
        <v>11467925</v>
      </c>
      <c r="C11" s="6">
        <f>C7+C9</f>
        <v>-2780470</v>
      </c>
      <c r="D11" s="5">
        <f>C11/B11</f>
        <v>-0.24245624208389921</v>
      </c>
      <c r="E11">
        <f>E4+E5+E6+E9</f>
        <v>26</v>
      </c>
    </row>
    <row r="13" spans="1:6" ht="15.75">
      <c r="B13" s="1" t="s">
        <v>0</v>
      </c>
      <c r="C13" s="10" t="s">
        <v>10</v>
      </c>
      <c r="D13" t="s">
        <v>1</v>
      </c>
      <c r="E13">
        <v>1631.71</v>
      </c>
    </row>
    <row r="14" spans="1:6">
      <c r="E14" s="9">
        <v>8.0348380765452975E-4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1067200</v>
      </c>
      <c r="C16" s="7">
        <v>-180640</v>
      </c>
      <c r="D16" s="5">
        <v>-0.16926536731634184</v>
      </c>
      <c r="E16">
        <v>4</v>
      </c>
    </row>
    <row r="17" spans="1:5">
      <c r="A17" s="4">
        <v>3</v>
      </c>
      <c r="B17" s="7">
        <v>2685000</v>
      </c>
      <c r="C17" s="7">
        <v>-610125</v>
      </c>
      <c r="D17" s="5">
        <v>-0.22723463687150838</v>
      </c>
      <c r="E17">
        <v>6</v>
      </c>
    </row>
    <row r="18" spans="1:5">
      <c r="A18" s="4">
        <v>1</v>
      </c>
      <c r="B18" s="7">
        <v>2733375</v>
      </c>
      <c r="C18" s="7">
        <v>-869325</v>
      </c>
      <c r="D18" s="5">
        <v>-0.31804088352311705</v>
      </c>
      <c r="E18">
        <v>4</v>
      </c>
    </row>
    <row r="19" spans="1:5">
      <c r="A19" s="4"/>
      <c r="B19" s="6">
        <v>6485575</v>
      </c>
      <c r="C19" s="6">
        <v>-1660090</v>
      </c>
      <c r="D19" s="5">
        <v>-0.25596651029399858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4815850</v>
      </c>
      <c r="C21" s="7">
        <v>-692750</v>
      </c>
      <c r="D21" s="5">
        <v>-0.14384791885129314</v>
      </c>
      <c r="E21">
        <v>11</v>
      </c>
    </row>
    <row r="22" spans="1:5">
      <c r="A22" s="4"/>
      <c r="B22" s="7"/>
      <c r="C22" s="7">
        <v>412624</v>
      </c>
      <c r="D22" s="5"/>
    </row>
    <row r="23" spans="1:5" ht="15.75">
      <c r="A23" s="1" t="s">
        <v>8</v>
      </c>
      <c r="B23" s="6">
        <v>11301425</v>
      </c>
      <c r="C23" s="6">
        <v>-2352840</v>
      </c>
      <c r="D23" s="5">
        <v>-0.20818967519582707</v>
      </c>
      <c r="E23">
        <v>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79C7-5E7F-4236-B68A-DB0F1546F1E7}">
  <dimension ref="A1:F23"/>
  <sheetViews>
    <sheetView topLeftCell="A7" workbookViewId="0">
      <selection activeCell="D7" sqref="D7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10</v>
      </c>
      <c r="D1" t="s">
        <v>1</v>
      </c>
      <c r="E1">
        <v>1631.71</v>
      </c>
    </row>
    <row r="2" spans="1:6">
      <c r="E2" s="9">
        <f>(E1-E13)/E13</f>
        <v>8.0348380765452975E-4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1067200</v>
      </c>
      <c r="C4" s="7">
        <v>-180640</v>
      </c>
      <c r="D4" s="5">
        <f>C4/B4</f>
        <v>-0.16926536731634184</v>
      </c>
      <c r="E4">
        <v>4</v>
      </c>
    </row>
    <row r="5" spans="1:6">
      <c r="A5" s="4">
        <v>3</v>
      </c>
      <c r="B5" s="7">
        <v>2685000</v>
      </c>
      <c r="C5" s="7">
        <v>-610125</v>
      </c>
      <c r="D5" s="5">
        <f>C5/B5</f>
        <v>-0.22723463687150838</v>
      </c>
      <c r="E5">
        <v>6</v>
      </c>
      <c r="F5" s="8"/>
    </row>
    <row r="6" spans="1:6">
      <c r="A6" s="4">
        <v>1</v>
      </c>
      <c r="B6" s="7">
        <v>2733375</v>
      </c>
      <c r="C6" s="7">
        <v>-869325</v>
      </c>
      <c r="D6" s="5">
        <f>C6/B6</f>
        <v>-0.31804088352311705</v>
      </c>
      <c r="E6">
        <v>4</v>
      </c>
    </row>
    <row r="7" spans="1:6">
      <c r="A7" s="4"/>
      <c r="B7" s="6">
        <f>SUM(B4:B6)</f>
        <v>6485575</v>
      </c>
      <c r="C7" s="6">
        <f>SUM(C4:C6)</f>
        <v>-1660090</v>
      </c>
      <c r="D7" s="5">
        <f>C7/B7</f>
        <v>-0.25596651029399858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4815850</v>
      </c>
      <c r="C9" s="7">
        <v>-692750</v>
      </c>
      <c r="D9" s="5">
        <f>C9/B9</f>
        <v>-0.14384791885129314</v>
      </c>
      <c r="E9">
        <v>11</v>
      </c>
    </row>
    <row r="10" spans="1:6">
      <c r="A10" s="4"/>
      <c r="B10" s="7"/>
      <c r="C10" s="7">
        <v>412624</v>
      </c>
      <c r="D10" s="5"/>
    </row>
    <row r="11" spans="1:6" ht="15.75">
      <c r="A11" s="1" t="s">
        <v>8</v>
      </c>
      <c r="B11" s="6">
        <f>B7+B9</f>
        <v>11301425</v>
      </c>
      <c r="C11" s="6">
        <f>C7+C9</f>
        <v>-2352840</v>
      </c>
      <c r="D11" s="5">
        <f>C11/B11</f>
        <v>-0.20818967519582707</v>
      </c>
      <c r="E11">
        <f>E4+E5+E6+E9</f>
        <v>25</v>
      </c>
    </row>
    <row r="13" spans="1:6" ht="15.75">
      <c r="B13" s="1" t="s">
        <v>0</v>
      </c>
      <c r="C13" s="10" t="s">
        <v>11</v>
      </c>
      <c r="D13" t="s">
        <v>1</v>
      </c>
      <c r="E13">
        <v>1630.4</v>
      </c>
    </row>
    <row r="14" spans="1:6">
      <c r="E14" s="9">
        <v>-1.4637802033095093E-2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1067200</v>
      </c>
      <c r="C16" s="7">
        <v>-170860</v>
      </c>
      <c r="D16" s="5">
        <v>-0.16010119940029985</v>
      </c>
      <c r="E16">
        <v>4</v>
      </c>
    </row>
    <row r="17" spans="1:5">
      <c r="A17" s="4">
        <v>3</v>
      </c>
      <c r="B17" s="7">
        <v>2685000</v>
      </c>
      <c r="C17" s="7">
        <v>-532425</v>
      </c>
      <c r="D17" s="5">
        <v>-0.19829608938547486</v>
      </c>
      <c r="E17">
        <v>6</v>
      </c>
    </row>
    <row r="18" spans="1:5">
      <c r="A18" s="4">
        <v>1</v>
      </c>
      <c r="B18" s="7">
        <v>2733375</v>
      </c>
      <c r="C18" s="7">
        <v>-837735</v>
      </c>
      <c r="D18" s="5">
        <v>-0.30648374262587458</v>
      </c>
      <c r="E18">
        <v>4</v>
      </c>
    </row>
    <row r="19" spans="1:5">
      <c r="A19" s="4"/>
      <c r="B19" s="6">
        <v>6485575</v>
      </c>
      <c r="C19" s="6">
        <v>-1541020</v>
      </c>
      <c r="D19" s="5">
        <v>-0.23760730544323364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4815850</v>
      </c>
      <c r="C21" s="7">
        <v>-727850</v>
      </c>
      <c r="D21" s="5">
        <v>-0.15113635183820093</v>
      </c>
      <c r="E21">
        <v>11</v>
      </c>
    </row>
    <row r="22" spans="1:5">
      <c r="A22" s="4"/>
      <c r="B22" s="7"/>
      <c r="C22" s="7">
        <v>412624</v>
      </c>
      <c r="D22" s="5"/>
    </row>
    <row r="23" spans="1:5" ht="15.75">
      <c r="A23" s="1" t="s">
        <v>8</v>
      </c>
      <c r="B23" s="6">
        <v>11301425</v>
      </c>
      <c r="C23" s="6">
        <v>-2268870</v>
      </c>
      <c r="D23" s="5">
        <v>-0.20075963871812624</v>
      </c>
      <c r="E23">
        <v>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4D0D-50CB-4D1C-B42A-BD165988606E}">
  <dimension ref="A1:F23"/>
  <sheetViews>
    <sheetView workbookViewId="0">
      <selection activeCell="E4" sqref="E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11</v>
      </c>
      <c r="D1" t="s">
        <v>1</v>
      </c>
      <c r="E1">
        <v>1630.4</v>
      </c>
    </row>
    <row r="2" spans="1:6">
      <c r="E2" s="9">
        <f>(E1-E13)/E13</f>
        <v>-1.4637802033095093E-2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1067200</v>
      </c>
      <c r="C4" s="7">
        <v>-170860</v>
      </c>
      <c r="D4" s="5">
        <f>C4/B4</f>
        <v>-0.16010119940029985</v>
      </c>
      <c r="E4">
        <v>4</v>
      </c>
    </row>
    <row r="5" spans="1:6">
      <c r="A5" s="4">
        <v>3</v>
      </c>
      <c r="B5" s="7">
        <v>2685000</v>
      </c>
      <c r="C5" s="7">
        <v>-532425</v>
      </c>
      <c r="D5" s="5">
        <f>C5/B5</f>
        <v>-0.19829608938547486</v>
      </c>
      <c r="E5">
        <v>6</v>
      </c>
      <c r="F5" s="8"/>
    </row>
    <row r="6" spans="1:6">
      <c r="A6" s="4">
        <v>1</v>
      </c>
      <c r="B6" s="7">
        <v>2733375</v>
      </c>
      <c r="C6" s="7">
        <v>-837735</v>
      </c>
      <c r="D6" s="5">
        <f>C6/B6</f>
        <v>-0.30648374262587458</v>
      </c>
      <c r="E6">
        <v>4</v>
      </c>
    </row>
    <row r="7" spans="1:6">
      <c r="A7" s="4"/>
      <c r="B7" s="6">
        <f>SUM(B4:B6)</f>
        <v>6485575</v>
      </c>
      <c r="C7" s="6">
        <f>SUM(C4:C6)</f>
        <v>-1541020</v>
      </c>
      <c r="D7" s="5">
        <f>C7/B7</f>
        <v>-0.23760730544323364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4815850</v>
      </c>
      <c r="C9" s="7">
        <v>-727850</v>
      </c>
      <c r="D9" s="5">
        <f>C9/B9</f>
        <v>-0.15113635183820093</v>
      </c>
      <c r="E9">
        <v>11</v>
      </c>
    </row>
    <row r="10" spans="1:6">
      <c r="A10" s="4"/>
      <c r="B10" s="7"/>
      <c r="C10" s="7">
        <v>412624</v>
      </c>
      <c r="D10" s="5"/>
    </row>
    <row r="11" spans="1:6" ht="15.75">
      <c r="A11" s="1" t="s">
        <v>8</v>
      </c>
      <c r="B11" s="6">
        <f>B7+B9</f>
        <v>11301425</v>
      </c>
      <c r="C11" s="6">
        <f>C7+C9</f>
        <v>-2268870</v>
      </c>
      <c r="D11" s="5">
        <f>C11/B11</f>
        <v>-0.20075963871812624</v>
      </c>
      <c r="E11">
        <f>E4+E5+E6+E9</f>
        <v>25</v>
      </c>
    </row>
    <row r="13" spans="1:6" ht="15.75">
      <c r="B13" s="1" t="s">
        <v>0</v>
      </c>
      <c r="C13" s="10" t="s">
        <v>12</v>
      </c>
      <c r="D13" t="s">
        <v>1</v>
      </c>
      <c r="E13">
        <v>1654.62</v>
      </c>
    </row>
    <row r="14" spans="1:6">
      <c r="E14" s="9">
        <v>2.0016644576641988E-2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1067200</v>
      </c>
      <c r="C16" s="7">
        <v>-151240</v>
      </c>
      <c r="D16" s="5">
        <v>-0.14171664167916043</v>
      </c>
      <c r="E16">
        <v>4</v>
      </c>
    </row>
    <row r="17" spans="1:5">
      <c r="A17" s="4">
        <v>3</v>
      </c>
      <c r="B17" s="7">
        <v>2790000</v>
      </c>
      <c r="C17" s="7">
        <v>-588825</v>
      </c>
      <c r="D17" s="5">
        <v>-0.2110483870967742</v>
      </c>
      <c r="E17">
        <v>7</v>
      </c>
    </row>
    <row r="18" spans="1:5">
      <c r="A18" s="4">
        <v>1</v>
      </c>
      <c r="B18" s="7">
        <v>2733375</v>
      </c>
      <c r="C18" s="7">
        <v>-810525</v>
      </c>
      <c r="D18" s="5">
        <v>-0.29652901632597062</v>
      </c>
      <c r="E18">
        <v>4</v>
      </c>
    </row>
    <row r="19" spans="1:5">
      <c r="A19" s="4"/>
      <c r="B19" s="6">
        <v>6590575</v>
      </c>
      <c r="C19" s="6">
        <v>-1550590</v>
      </c>
      <c r="D19" s="5">
        <v>-0.23527385698516443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4720850</v>
      </c>
      <c r="C21" s="7">
        <v>-685900</v>
      </c>
      <c r="D21" s="5">
        <v>-0.1452916318035947</v>
      </c>
      <c r="E21">
        <v>11</v>
      </c>
    </row>
    <row r="22" spans="1:5">
      <c r="A22" s="4"/>
      <c r="B22" s="7"/>
      <c r="C22" s="7">
        <v>408687</v>
      </c>
      <c r="D22" s="5"/>
    </row>
    <row r="23" spans="1:5" ht="15.75">
      <c r="A23" s="1" t="s">
        <v>8</v>
      </c>
      <c r="B23" s="6">
        <v>11311425</v>
      </c>
      <c r="C23" s="6">
        <v>-2236490</v>
      </c>
      <c r="D23" s="5">
        <v>-0.19771956230094795</v>
      </c>
      <c r="E23">
        <v>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6E2E-01BE-4921-B22D-3695FED1ADE7}">
  <dimension ref="A1:F23"/>
  <sheetViews>
    <sheetView workbookViewId="0">
      <selection activeCell="C12" sqref="C12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12</v>
      </c>
      <c r="D1" t="s">
        <v>1</v>
      </c>
      <c r="E1">
        <v>1654.62</v>
      </c>
    </row>
    <row r="2" spans="1:6">
      <c r="E2" s="9">
        <f>(E1-E13)/E13</f>
        <v>2.0016644576641988E-2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1067200</v>
      </c>
      <c r="C4" s="7">
        <v>-151240</v>
      </c>
      <c r="D4" s="5">
        <f>C4/B4</f>
        <v>-0.14171664167916043</v>
      </c>
      <c r="E4">
        <v>4</v>
      </c>
    </row>
    <row r="5" spans="1:6">
      <c r="A5" s="4">
        <v>3</v>
      </c>
      <c r="B5" s="7">
        <v>2790000</v>
      </c>
      <c r="C5" s="7">
        <v>-588825</v>
      </c>
      <c r="D5" s="5">
        <f>C5/B5</f>
        <v>-0.2110483870967742</v>
      </c>
      <c r="E5">
        <v>7</v>
      </c>
      <c r="F5" s="8"/>
    </row>
    <row r="6" spans="1:6">
      <c r="A6" s="4">
        <v>1</v>
      </c>
      <c r="B6" s="7">
        <v>2733375</v>
      </c>
      <c r="C6" s="7">
        <v>-810525</v>
      </c>
      <c r="D6" s="5">
        <f>C6/B6</f>
        <v>-0.29652901632597062</v>
      </c>
      <c r="E6">
        <v>4</v>
      </c>
    </row>
    <row r="7" spans="1:6">
      <c r="A7" s="4"/>
      <c r="B7" s="6">
        <f>SUM(B4:B6)</f>
        <v>6590575</v>
      </c>
      <c r="C7" s="6">
        <f>SUM(C4:C6)</f>
        <v>-1550590</v>
      </c>
      <c r="D7" s="5">
        <f>C7/B7</f>
        <v>-0.23527385698516443</v>
      </c>
    </row>
    <row r="8" spans="1:6" ht="15.75">
      <c r="B8" s="6"/>
      <c r="C8" s="2" t="s">
        <v>7</v>
      </c>
      <c r="D8" s="5"/>
    </row>
    <row r="9" spans="1:6">
      <c r="A9" s="4">
        <v>2</v>
      </c>
      <c r="B9" s="7">
        <v>4720850</v>
      </c>
      <c r="C9" s="7">
        <v>-685900</v>
      </c>
      <c r="D9" s="5">
        <f>C9/B9</f>
        <v>-0.1452916318035947</v>
      </c>
      <c r="E9">
        <v>11</v>
      </c>
    </row>
    <row r="10" spans="1:6">
      <c r="A10" s="4"/>
      <c r="B10" s="7"/>
      <c r="C10" s="7">
        <v>408687</v>
      </c>
      <c r="D10" s="5"/>
    </row>
    <row r="11" spans="1:6" ht="15.75">
      <c r="A11" s="1" t="s">
        <v>8</v>
      </c>
      <c r="B11" s="6">
        <f>B7+B9</f>
        <v>11311425</v>
      </c>
      <c r="C11" s="6">
        <f>C7+C9</f>
        <v>-2236490</v>
      </c>
      <c r="D11" s="5">
        <f>C11/B11</f>
        <v>-0.19771956230094795</v>
      </c>
      <c r="E11">
        <f>E4+E5+E6+E9</f>
        <v>26</v>
      </c>
    </row>
    <row r="13" spans="1:6" ht="15.75">
      <c r="B13" s="1" t="s">
        <v>0</v>
      </c>
      <c r="C13" s="10" t="s">
        <v>13</v>
      </c>
      <c r="D13" t="s">
        <v>1</v>
      </c>
      <c r="E13">
        <v>1622.15</v>
      </c>
    </row>
    <row r="14" spans="1:6">
      <c r="E14" s="9">
        <v>-1.0238387240455647E-2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1067200</v>
      </c>
      <c r="C16" s="7">
        <v>-147540</v>
      </c>
      <c r="D16" s="5">
        <v>-0.1382496251874063</v>
      </c>
      <c r="E16">
        <v>4</v>
      </c>
    </row>
    <row r="17" spans="1:5">
      <c r="A17" s="4">
        <v>3</v>
      </c>
      <c r="B17" s="7">
        <v>2685000</v>
      </c>
      <c r="C17" s="7">
        <v>-577050</v>
      </c>
      <c r="D17" s="5">
        <v>-0.21491620111731843</v>
      </c>
      <c r="E17">
        <v>6</v>
      </c>
    </row>
    <row r="18" spans="1:5">
      <c r="A18" s="4">
        <v>1</v>
      </c>
      <c r="B18" s="7">
        <v>2733375</v>
      </c>
      <c r="C18" s="7">
        <v>-833925</v>
      </c>
      <c r="D18" s="5">
        <v>-0.30508986143503908</v>
      </c>
      <c r="E18">
        <v>4</v>
      </c>
    </row>
    <row r="19" spans="1:5">
      <c r="A19" s="4"/>
      <c r="B19" s="6">
        <v>6485575</v>
      </c>
      <c r="C19" s="6">
        <v>-1558515</v>
      </c>
      <c r="D19" s="5">
        <v>-0.24030483033501271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4822850</v>
      </c>
      <c r="C21" s="7">
        <v>-643550</v>
      </c>
      <c r="D21" s="5">
        <v>-0.13343769762692184</v>
      </c>
      <c r="E21">
        <v>12</v>
      </c>
    </row>
    <row r="22" spans="1:5">
      <c r="A22" s="4"/>
      <c r="B22" s="7"/>
      <c r="C22" s="7">
        <v>414087</v>
      </c>
      <c r="D22" s="5"/>
    </row>
    <row r="23" spans="1:5" ht="15.75">
      <c r="A23" s="1" t="s">
        <v>8</v>
      </c>
      <c r="B23" s="6">
        <v>11308425</v>
      </c>
      <c r="C23" s="6">
        <v>-2202065</v>
      </c>
      <c r="D23" s="5">
        <v>-0.19472782460864355</v>
      </c>
      <c r="E23">
        <v>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2EB4-D778-40D0-B276-27EF58F0C0DB}">
  <dimension ref="A1:F23"/>
  <sheetViews>
    <sheetView workbookViewId="0">
      <selection activeCell="B11" sqref="B11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13</v>
      </c>
      <c r="D1" t="s">
        <v>1</v>
      </c>
      <c r="E1">
        <v>1622.15</v>
      </c>
    </row>
    <row r="2" spans="1:6">
      <c r="E2" s="9">
        <f>(E1-E13)/E13</f>
        <v>-1.0238387240455647E-2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1067200</v>
      </c>
      <c r="C4" s="7">
        <v>-147540</v>
      </c>
      <c r="D4" s="5">
        <f>C4/B4</f>
        <v>-0.1382496251874063</v>
      </c>
      <c r="E4">
        <v>4</v>
      </c>
    </row>
    <row r="5" spans="1:6">
      <c r="A5" s="4">
        <v>3</v>
      </c>
      <c r="B5" s="7">
        <v>2685000</v>
      </c>
      <c r="C5" s="7">
        <v>-577050</v>
      </c>
      <c r="D5" s="5">
        <f>C5/B5</f>
        <v>-0.21491620111731843</v>
      </c>
      <c r="E5">
        <v>6</v>
      </c>
      <c r="F5" s="8"/>
    </row>
    <row r="6" spans="1:6">
      <c r="A6" s="4">
        <v>1</v>
      </c>
      <c r="B6" s="7">
        <v>2733375</v>
      </c>
      <c r="C6" s="7">
        <v>-833925</v>
      </c>
      <c r="D6" s="5">
        <f>C6/B6</f>
        <v>-0.30508986143503908</v>
      </c>
      <c r="E6">
        <v>4</v>
      </c>
    </row>
    <row r="7" spans="1:6">
      <c r="A7" s="4"/>
      <c r="B7" s="6">
        <f>SUM(B4:B6)</f>
        <v>6485575</v>
      </c>
      <c r="C7" s="6">
        <f>SUM(C4:C6)</f>
        <v>-1558515</v>
      </c>
      <c r="D7" s="5">
        <f>C7/B7</f>
        <v>-0.24030483033501271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4822850</v>
      </c>
      <c r="C9" s="7">
        <v>-643550</v>
      </c>
      <c r="D9" s="5">
        <f>C9/B9</f>
        <v>-0.13343769762692184</v>
      </c>
      <c r="E9">
        <v>12</v>
      </c>
    </row>
    <row r="10" spans="1:6">
      <c r="A10" s="4"/>
      <c r="B10" s="7"/>
      <c r="C10" s="7">
        <v>414087</v>
      </c>
      <c r="D10" s="5"/>
    </row>
    <row r="11" spans="1:6" ht="15.75">
      <c r="A11" s="1" t="s">
        <v>8</v>
      </c>
      <c r="B11" s="6">
        <f>B7+B9</f>
        <v>11308425</v>
      </c>
      <c r="C11" s="6">
        <f>C7+C9</f>
        <v>-2202065</v>
      </c>
      <c r="D11" s="5">
        <f>C11/B11</f>
        <v>-0.19472782460864355</v>
      </c>
      <c r="E11">
        <f>E4+E5+E6+E9</f>
        <v>26</v>
      </c>
    </row>
    <row r="13" spans="1:6" ht="15.75">
      <c r="B13" s="1" t="s">
        <v>0</v>
      </c>
      <c r="C13" s="10" t="s">
        <v>14</v>
      </c>
      <c r="D13" t="s">
        <v>1</v>
      </c>
      <c r="E13">
        <v>1638.93</v>
      </c>
    </row>
    <row r="14" spans="1:6">
      <c r="E14" s="9">
        <v>-3.5567066720168712E-3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1067200</v>
      </c>
      <c r="C16" s="7">
        <v>-147360</v>
      </c>
      <c r="D16" s="5">
        <v>-0.13808095952023988</v>
      </c>
      <c r="E16">
        <v>4</v>
      </c>
    </row>
    <row r="17" spans="1:5">
      <c r="A17" s="4">
        <v>3</v>
      </c>
      <c r="B17" s="7">
        <v>2685000</v>
      </c>
      <c r="C17" s="7">
        <v>-512850</v>
      </c>
      <c r="D17" s="5">
        <v>-0.19100558659217878</v>
      </c>
      <c r="E17">
        <v>6</v>
      </c>
    </row>
    <row r="18" spans="1:5">
      <c r="A18" s="4">
        <v>1</v>
      </c>
      <c r="B18" s="7">
        <v>2733375</v>
      </c>
      <c r="C18" s="7">
        <v>-789975</v>
      </c>
      <c r="D18" s="5">
        <v>-0.28901083824941692</v>
      </c>
      <c r="E18">
        <v>4</v>
      </c>
    </row>
    <row r="19" spans="1:5">
      <c r="A19" s="4"/>
      <c r="B19" s="6">
        <v>6485575</v>
      </c>
      <c r="C19" s="6">
        <v>-1450185</v>
      </c>
      <c r="D19" s="5">
        <v>-0.22360160818431674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4878350</v>
      </c>
      <c r="C21" s="7">
        <v>-643450</v>
      </c>
      <c r="D21" s="5">
        <v>-0.13189910523025203</v>
      </c>
      <c r="E21">
        <v>12</v>
      </c>
    </row>
    <row r="22" spans="1:5">
      <c r="A22" s="4"/>
      <c r="B22" s="7"/>
      <c r="C22" s="7">
        <v>418287</v>
      </c>
      <c r="D22" s="5"/>
    </row>
    <row r="23" spans="1:5" ht="15.75">
      <c r="A23" s="1" t="s">
        <v>8</v>
      </c>
      <c r="B23" s="6">
        <v>11363925</v>
      </c>
      <c r="C23" s="6">
        <v>-2093635</v>
      </c>
      <c r="D23" s="5">
        <v>-0.18423520042590918</v>
      </c>
      <c r="E23">
        <v>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8A6C-6C26-460F-96B1-49CFFFD51578}">
  <dimension ref="A1:F23"/>
  <sheetViews>
    <sheetView workbookViewId="0">
      <selection activeCell="E4" sqref="E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14</v>
      </c>
      <c r="D1" t="s">
        <v>1</v>
      </c>
      <c r="E1">
        <v>1638.93</v>
      </c>
    </row>
    <row r="2" spans="1:6">
      <c r="E2" s="9">
        <f>(E1-E13)/E13</f>
        <v>-3.5567066720168712E-3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1067200</v>
      </c>
      <c r="C4" s="7">
        <v>-147360</v>
      </c>
      <c r="D4" s="5">
        <f>C4/B4</f>
        <v>-0.13808095952023988</v>
      </c>
      <c r="E4">
        <v>4</v>
      </c>
    </row>
    <row r="5" spans="1:6">
      <c r="A5" s="4">
        <v>3</v>
      </c>
      <c r="B5" s="7">
        <v>2685000</v>
      </c>
      <c r="C5" s="7">
        <v>-512850</v>
      </c>
      <c r="D5" s="5">
        <f>C5/B5</f>
        <v>-0.19100558659217878</v>
      </c>
      <c r="E5">
        <v>6</v>
      </c>
      <c r="F5" s="8"/>
    </row>
    <row r="6" spans="1:6">
      <c r="A6" s="4">
        <v>1</v>
      </c>
      <c r="B6" s="7">
        <v>2733375</v>
      </c>
      <c r="C6" s="7">
        <v>-789975</v>
      </c>
      <c r="D6" s="5">
        <f>C6/B6</f>
        <v>-0.28901083824941692</v>
      </c>
      <c r="E6">
        <v>4</v>
      </c>
    </row>
    <row r="7" spans="1:6">
      <c r="A7" s="4"/>
      <c r="B7" s="6">
        <f>SUM(B4:B6)</f>
        <v>6485575</v>
      </c>
      <c r="C7" s="6">
        <f>SUM(C4:C6)</f>
        <v>-1450185</v>
      </c>
      <c r="D7" s="5">
        <f>C7/B7</f>
        <v>-0.22360160818431674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4878350</v>
      </c>
      <c r="C9" s="7">
        <v>-643450</v>
      </c>
      <c r="D9" s="5">
        <f>C9/B9</f>
        <v>-0.13189910523025203</v>
      </c>
      <c r="E9">
        <v>12</v>
      </c>
    </row>
    <row r="10" spans="1:6">
      <c r="A10" s="4"/>
      <c r="B10" s="7"/>
      <c r="C10" s="7">
        <v>418287</v>
      </c>
      <c r="D10" s="5"/>
    </row>
    <row r="11" spans="1:6" ht="15.75">
      <c r="A11" s="1" t="s">
        <v>8</v>
      </c>
      <c r="B11" s="6">
        <f>B7+B9</f>
        <v>11363925</v>
      </c>
      <c r="C11" s="6">
        <f>C7+C9</f>
        <v>-2093635</v>
      </c>
      <c r="D11" s="5">
        <f>C11/B11</f>
        <v>-0.18423520042590918</v>
      </c>
      <c r="E11">
        <f>E4+E5+E6+E9</f>
        <v>26</v>
      </c>
    </row>
    <row r="13" spans="1:6" ht="15.75">
      <c r="B13" s="1" t="s">
        <v>0</v>
      </c>
      <c r="C13" s="10" t="s">
        <v>15</v>
      </c>
      <c r="D13" t="s">
        <v>1</v>
      </c>
      <c r="E13">
        <v>1644.78</v>
      </c>
    </row>
    <row r="14" spans="1:6">
      <c r="E14" s="9">
        <v>5.9282682758753903E-2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1067200</v>
      </c>
      <c r="C16" s="7">
        <v>-142140</v>
      </c>
      <c r="D16" s="5">
        <v>-0.1331896551724138</v>
      </c>
      <c r="E16">
        <v>4</v>
      </c>
    </row>
    <row r="17" spans="1:5">
      <c r="A17" s="4">
        <v>3</v>
      </c>
      <c r="B17" s="7">
        <v>2579400</v>
      </c>
      <c r="C17" s="7">
        <v>-470925</v>
      </c>
      <c r="D17" s="5">
        <v>-0.1825715282623866</v>
      </c>
      <c r="E17">
        <v>5</v>
      </c>
    </row>
    <row r="18" spans="1:5">
      <c r="A18" s="4">
        <v>1</v>
      </c>
      <c r="B18" s="7">
        <v>2733375</v>
      </c>
      <c r="C18" s="7">
        <v>-795525</v>
      </c>
      <c r="D18" s="5">
        <v>-0.29104129510220883</v>
      </c>
      <c r="E18">
        <v>4</v>
      </c>
    </row>
    <row r="19" spans="1:5">
      <c r="A19" s="4"/>
      <c r="B19" s="6">
        <v>6379975</v>
      </c>
      <c r="C19" s="6">
        <v>-1408590</v>
      </c>
      <c r="D19" s="5">
        <v>-0.2207829967985768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4878350</v>
      </c>
      <c r="C21" s="7">
        <v>-594250</v>
      </c>
      <c r="D21" s="5">
        <v>-0.12181372800229585</v>
      </c>
      <c r="E21">
        <v>12</v>
      </c>
    </row>
    <row r="22" spans="1:5">
      <c r="A22" s="4"/>
      <c r="B22" s="7"/>
      <c r="C22" s="7">
        <v>418287</v>
      </c>
      <c r="D22" s="5"/>
    </row>
    <row r="23" spans="1:5" ht="15.75">
      <c r="A23" s="1" t="s">
        <v>8</v>
      </c>
      <c r="B23" s="6">
        <v>11258325</v>
      </c>
      <c r="C23" s="6">
        <v>-2002840</v>
      </c>
      <c r="D23" s="5">
        <v>-0.17789857727503869</v>
      </c>
      <c r="E23">
        <v>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F9F5-A396-46A0-8FBA-29B66ED210B5}">
  <dimension ref="A1:F23"/>
  <sheetViews>
    <sheetView workbookViewId="0">
      <selection activeCell="B2" sqref="B2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15</v>
      </c>
      <c r="D1" t="s">
        <v>1</v>
      </c>
      <c r="E1">
        <v>1644.78</v>
      </c>
    </row>
    <row r="2" spans="1:6">
      <c r="E2" s="9">
        <f>(E1-E13)/E13</f>
        <v>5.9282682758753903E-2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1067200</v>
      </c>
      <c r="C4" s="7">
        <v>-142140</v>
      </c>
      <c r="D4" s="5">
        <f>C4/B4</f>
        <v>-0.1331896551724138</v>
      </c>
      <c r="E4">
        <v>4</v>
      </c>
    </row>
    <row r="5" spans="1:6">
      <c r="A5" s="4">
        <v>3</v>
      </c>
      <c r="B5" s="7">
        <v>2579400</v>
      </c>
      <c r="C5" s="7">
        <v>-470925</v>
      </c>
      <c r="D5" s="5">
        <f>C5/B5</f>
        <v>-0.1825715282623866</v>
      </c>
      <c r="E5">
        <v>5</v>
      </c>
      <c r="F5" s="8"/>
    </row>
    <row r="6" spans="1:6">
      <c r="A6" s="4">
        <v>1</v>
      </c>
      <c r="B6" s="7">
        <v>2733375</v>
      </c>
      <c r="C6" s="7">
        <v>-795525</v>
      </c>
      <c r="D6" s="5">
        <f>C6/B6</f>
        <v>-0.29104129510220883</v>
      </c>
      <c r="E6">
        <v>4</v>
      </c>
    </row>
    <row r="7" spans="1:6">
      <c r="A7" s="4"/>
      <c r="B7" s="6">
        <f>SUM(B4:B6)</f>
        <v>6379975</v>
      </c>
      <c r="C7" s="6">
        <f>SUM(C4:C6)</f>
        <v>-1408590</v>
      </c>
      <c r="D7" s="5">
        <f>C7/B7</f>
        <v>-0.2207829967985768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4878350</v>
      </c>
      <c r="C9" s="7">
        <v>-594250</v>
      </c>
      <c r="D9" s="5">
        <f>C9/B9</f>
        <v>-0.12181372800229585</v>
      </c>
      <c r="E9">
        <v>12</v>
      </c>
    </row>
    <row r="10" spans="1:6">
      <c r="A10" s="4"/>
      <c r="B10" s="7"/>
      <c r="C10" s="7">
        <v>418287</v>
      </c>
      <c r="D10" s="5"/>
    </row>
    <row r="11" spans="1:6" ht="15.75">
      <c r="A11" s="1" t="s">
        <v>8</v>
      </c>
      <c r="B11" s="6">
        <f>B7+B9</f>
        <v>11258325</v>
      </c>
      <c r="C11" s="6">
        <f>C7+C9</f>
        <v>-2002840</v>
      </c>
      <c r="D11" s="5">
        <f>C11/B11</f>
        <v>-0.17789857727503869</v>
      </c>
      <c r="E11">
        <f>E4+E5+E6+E9</f>
        <v>25</v>
      </c>
    </row>
    <row r="13" spans="1:6" ht="15.75">
      <c r="B13" s="1" t="s">
        <v>0</v>
      </c>
      <c r="C13" s="10" t="s">
        <v>16</v>
      </c>
      <c r="D13" t="s">
        <v>1</v>
      </c>
      <c r="E13">
        <v>1552.73</v>
      </c>
    </row>
    <row r="14" spans="1:6">
      <c r="E14" s="9">
        <v>-4.8324969396322196E-3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1529850</v>
      </c>
      <c r="C16" s="7">
        <v>-164085</v>
      </c>
      <c r="D16" s="5">
        <v>-0.10725561329542112</v>
      </c>
      <c r="E16">
        <v>6</v>
      </c>
    </row>
    <row r="17" spans="1:5">
      <c r="A17" s="4">
        <v>3</v>
      </c>
      <c r="B17" s="7">
        <v>2634600</v>
      </c>
      <c r="C17" s="7">
        <v>-425850</v>
      </c>
      <c r="D17" s="5">
        <v>-0.16163744021862902</v>
      </c>
      <c r="E17">
        <v>6</v>
      </c>
    </row>
    <row r="18" spans="1:5">
      <c r="A18" s="4">
        <v>1</v>
      </c>
      <c r="B18" s="7">
        <v>1968375</v>
      </c>
      <c r="C18" s="7">
        <v>-630075</v>
      </c>
      <c r="D18" s="5">
        <v>-0.320099066488855</v>
      </c>
      <c r="E18">
        <v>3</v>
      </c>
    </row>
    <row r="19" spans="1:5">
      <c r="A19" s="4"/>
      <c r="B19" s="6">
        <v>6132825</v>
      </c>
      <c r="C19" s="6">
        <v>-1220010</v>
      </c>
      <c r="D19" s="5">
        <v>-0.19893116141419329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5194400</v>
      </c>
      <c r="C21" s="7">
        <v>-813200</v>
      </c>
      <c r="D21" s="5">
        <v>-0.15655321115046975</v>
      </c>
      <c r="E21">
        <v>10</v>
      </c>
    </row>
    <row r="22" spans="1:5">
      <c r="A22" s="4"/>
      <c r="B22" s="7"/>
      <c r="C22" s="7">
        <v>449686.38</v>
      </c>
      <c r="D22" s="5"/>
    </row>
    <row r="23" spans="1:5" ht="15.75">
      <c r="A23" s="1" t="s">
        <v>8</v>
      </c>
      <c r="B23" s="6">
        <v>11327225</v>
      </c>
      <c r="C23" s="6">
        <v>-2033210</v>
      </c>
      <c r="D23" s="5">
        <v>-0.17949762629417179</v>
      </c>
      <c r="E23">
        <v>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937A8-AE8D-4D47-80D4-9B0701666A08}">
  <dimension ref="A1:F23"/>
  <sheetViews>
    <sheetView workbookViewId="0">
      <selection activeCell="E2" sqref="E2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16</v>
      </c>
      <c r="D1" t="s">
        <v>1</v>
      </c>
      <c r="E1">
        <v>1552.73</v>
      </c>
    </row>
    <row r="2" spans="1:6">
      <c r="E2" s="9">
        <f>(E1-E13)/E13</f>
        <v>-4.8324969396322196E-3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1529850</v>
      </c>
      <c r="C4" s="7">
        <v>-164085</v>
      </c>
      <c r="D4" s="5">
        <f>C4/B4</f>
        <v>-0.10725561329542112</v>
      </c>
      <c r="E4">
        <v>6</v>
      </c>
    </row>
    <row r="5" spans="1:6">
      <c r="A5" s="4">
        <v>3</v>
      </c>
      <c r="B5" s="7">
        <v>2634600</v>
      </c>
      <c r="C5" s="7">
        <v>-425850</v>
      </c>
      <c r="D5" s="5">
        <f>C5/B5</f>
        <v>-0.16163744021862902</v>
      </c>
      <c r="E5">
        <v>6</v>
      </c>
      <c r="F5" s="8"/>
    </row>
    <row r="6" spans="1:6">
      <c r="A6" s="4">
        <v>1</v>
      </c>
      <c r="B6" s="7">
        <v>1968375</v>
      </c>
      <c r="C6" s="7">
        <v>-630075</v>
      </c>
      <c r="D6" s="5">
        <f>C6/B6</f>
        <v>-0.320099066488855</v>
      </c>
      <c r="E6">
        <v>3</v>
      </c>
    </row>
    <row r="7" spans="1:6">
      <c r="A7" s="4"/>
      <c r="B7" s="6">
        <f>SUM(B4:B6)</f>
        <v>6132825</v>
      </c>
      <c r="C7" s="6">
        <f>SUM(C4:C6)</f>
        <v>-1220010</v>
      </c>
      <c r="D7" s="5">
        <f>C7/B7</f>
        <v>-0.19893116141419329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5194400</v>
      </c>
      <c r="C9" s="7">
        <v>-813200</v>
      </c>
      <c r="D9" s="5">
        <f>C9/B9</f>
        <v>-0.15655321115046975</v>
      </c>
      <c r="E9">
        <v>10</v>
      </c>
    </row>
    <row r="10" spans="1:6">
      <c r="A10" s="4"/>
      <c r="B10" s="7"/>
      <c r="C10" s="7">
        <v>449686.38</v>
      </c>
      <c r="D10" s="5"/>
    </row>
    <row r="11" spans="1:6" ht="15.75">
      <c r="A11" s="1" t="s">
        <v>8</v>
      </c>
      <c r="B11" s="6">
        <f>B7+B9</f>
        <v>11327225</v>
      </c>
      <c r="C11" s="6">
        <f>C7+C9</f>
        <v>-2033210</v>
      </c>
      <c r="D11" s="5">
        <f>C11/B11</f>
        <v>-0.17949762629417179</v>
      </c>
      <c r="E11">
        <f>E4+E5+E6+E9</f>
        <v>25</v>
      </c>
    </row>
    <row r="13" spans="1:6" ht="15.75">
      <c r="B13" s="1" t="s">
        <v>0</v>
      </c>
      <c r="C13" s="10" t="s">
        <v>17</v>
      </c>
      <c r="D13" t="s">
        <v>1</v>
      </c>
      <c r="E13">
        <v>1560.27</v>
      </c>
    </row>
    <row r="14" spans="1:6">
      <c r="E14" s="9">
        <v>-5.1392245254506044E-3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1529850</v>
      </c>
      <c r="C16" s="7">
        <v>-159270</v>
      </c>
      <c r="D16" s="5">
        <v>-0.10410824590646142</v>
      </c>
      <c r="E16">
        <v>6</v>
      </c>
    </row>
    <row r="17" spans="1:5">
      <c r="A17" s="4">
        <v>3</v>
      </c>
      <c r="B17" s="7">
        <v>2634600</v>
      </c>
      <c r="C17" s="7">
        <v>-464250</v>
      </c>
      <c r="D17" s="5">
        <v>-0.17621270781143247</v>
      </c>
      <c r="E17">
        <v>6</v>
      </c>
    </row>
    <row r="18" spans="1:5">
      <c r="A18" s="4">
        <v>1</v>
      </c>
      <c r="B18" s="7">
        <v>1968375</v>
      </c>
      <c r="C18" s="7">
        <v>-671775</v>
      </c>
      <c r="D18" s="5">
        <v>-0.34128405410554391</v>
      </c>
      <c r="E18">
        <v>3</v>
      </c>
    </row>
    <row r="19" spans="1:5">
      <c r="A19" s="4"/>
      <c r="B19" s="6">
        <v>6132825</v>
      </c>
      <c r="C19" s="6">
        <v>-1295295</v>
      </c>
      <c r="D19" s="5">
        <v>-0.21120690709420209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5291900</v>
      </c>
      <c r="C21" s="7">
        <v>-839600</v>
      </c>
      <c r="D21" s="5">
        <v>-0.15865757100474309</v>
      </c>
      <c r="E21">
        <v>11</v>
      </c>
    </row>
    <row r="22" spans="1:5">
      <c r="A22" s="4"/>
      <c r="B22" s="7"/>
      <c r="C22" s="7">
        <v>449686.38</v>
      </c>
      <c r="D22" s="5"/>
    </row>
    <row r="23" spans="1:5" ht="15.75">
      <c r="A23" s="1" t="s">
        <v>8</v>
      </c>
      <c r="B23" s="6">
        <v>11424725</v>
      </c>
      <c r="C23" s="6">
        <v>-2134895</v>
      </c>
      <c r="D23" s="5">
        <v>-0.18686620465700488</v>
      </c>
      <c r="E23">
        <v>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E53A-0A0B-4221-A40B-FB852C2A95D2}">
  <dimension ref="A1:F23"/>
  <sheetViews>
    <sheetView workbookViewId="0">
      <selection activeCell="D4" sqref="D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17</v>
      </c>
      <c r="D1" t="s">
        <v>1</v>
      </c>
      <c r="E1">
        <v>1560.27</v>
      </c>
    </row>
    <row r="2" spans="1:6">
      <c r="E2" s="9">
        <f>(E1-E13)/E13</f>
        <v>-5.1392245254506044E-3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1529850</v>
      </c>
      <c r="C4" s="7">
        <v>-159270</v>
      </c>
      <c r="D4" s="5">
        <f>C4/B4</f>
        <v>-0.10410824590646142</v>
      </c>
      <c r="E4">
        <v>6</v>
      </c>
    </row>
    <row r="5" spans="1:6">
      <c r="A5" s="4">
        <v>3</v>
      </c>
      <c r="B5" s="7">
        <v>2634600</v>
      </c>
      <c r="C5" s="7">
        <v>-464250</v>
      </c>
      <c r="D5" s="5">
        <f>C5/B5</f>
        <v>-0.17621270781143247</v>
      </c>
      <c r="E5">
        <v>6</v>
      </c>
      <c r="F5" s="8"/>
    </row>
    <row r="6" spans="1:6">
      <c r="A6" s="4">
        <v>1</v>
      </c>
      <c r="B6" s="7">
        <v>1968375</v>
      </c>
      <c r="C6" s="7">
        <v>-671775</v>
      </c>
      <c r="D6" s="5">
        <f>C6/B6</f>
        <v>-0.34128405410554391</v>
      </c>
      <c r="E6">
        <v>3</v>
      </c>
    </row>
    <row r="7" spans="1:6">
      <c r="A7" s="4"/>
      <c r="B7" s="6">
        <f>SUM(B4:B6)</f>
        <v>6132825</v>
      </c>
      <c r="C7" s="6">
        <f>SUM(C4:C6)</f>
        <v>-1295295</v>
      </c>
      <c r="D7" s="5">
        <f>C7/B7</f>
        <v>-0.21120690709420209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5291900</v>
      </c>
      <c r="C9" s="7">
        <v>-839600</v>
      </c>
      <c r="D9" s="5">
        <f>C9/B9</f>
        <v>-0.15865757100474309</v>
      </c>
      <c r="E9">
        <v>11</v>
      </c>
    </row>
    <row r="10" spans="1:6">
      <c r="A10" s="4"/>
      <c r="B10" s="7"/>
      <c r="C10" s="7">
        <v>449686.38</v>
      </c>
      <c r="D10" s="5"/>
    </row>
    <row r="11" spans="1:6" ht="15.75">
      <c r="A11" s="1" t="s">
        <v>8</v>
      </c>
      <c r="B11" s="6">
        <f>B7+B9</f>
        <v>11424725</v>
      </c>
      <c r="C11" s="6">
        <f>C7+C9</f>
        <v>-2134895</v>
      </c>
      <c r="D11" s="5">
        <f>C11/B11</f>
        <v>-0.18686620465700488</v>
      </c>
      <c r="E11">
        <f>E4+E5+E6+E9</f>
        <v>26</v>
      </c>
    </row>
    <row r="13" spans="1:6" ht="15.75">
      <c r="B13" s="1" t="s">
        <v>0</v>
      </c>
      <c r="C13" s="10" t="s">
        <v>18</v>
      </c>
      <c r="D13" t="s">
        <v>1</v>
      </c>
      <c r="E13">
        <v>1568.33</v>
      </c>
    </row>
    <row r="14" spans="1:6">
      <c r="E14" s="9">
        <v>0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1529850</v>
      </c>
      <c r="C16" s="7">
        <v>-168060</v>
      </c>
      <c r="D16" s="5">
        <v>-0.10985390724580842</v>
      </c>
      <c r="E16">
        <v>6</v>
      </c>
    </row>
    <row r="17" spans="1:5">
      <c r="A17" s="4">
        <v>3</v>
      </c>
      <c r="B17" s="7">
        <v>2634600</v>
      </c>
      <c r="C17" s="7">
        <v>-355350</v>
      </c>
      <c r="D17" s="5">
        <v>-0.1348781598724664</v>
      </c>
      <c r="E17">
        <v>6</v>
      </c>
    </row>
    <row r="18" spans="1:5">
      <c r="A18" s="4">
        <v>1</v>
      </c>
      <c r="B18" s="7">
        <v>1968375</v>
      </c>
      <c r="C18" s="7">
        <v>-617775</v>
      </c>
      <c r="D18" s="5">
        <v>-0.31385025719184606</v>
      </c>
      <c r="E18">
        <v>3</v>
      </c>
    </row>
    <row r="19" spans="1:5">
      <c r="A19" s="4"/>
      <c r="B19" s="6">
        <v>6132825</v>
      </c>
      <c r="C19" s="6">
        <v>-1141185</v>
      </c>
      <c r="D19" s="5">
        <v>-0.18607819398075112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5298400</v>
      </c>
      <c r="C21" s="7">
        <v>-688700</v>
      </c>
      <c r="D21" s="5">
        <v>-0.12998263626755246</v>
      </c>
      <c r="E21">
        <v>11</v>
      </c>
    </row>
    <row r="22" spans="1:5">
      <c r="A22" s="4"/>
      <c r="B22" s="7"/>
      <c r="C22" s="7">
        <v>447436.38</v>
      </c>
      <c r="D22" s="5"/>
    </row>
    <row r="23" spans="1:5" ht="15.75">
      <c r="A23" s="1" t="s">
        <v>8</v>
      </c>
      <c r="B23" s="6">
        <v>11431225</v>
      </c>
      <c r="C23" s="6">
        <v>-1829885</v>
      </c>
      <c r="D23" s="5">
        <v>-0.16007776944290747</v>
      </c>
      <c r="E23">
        <v>26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553D-CA56-4A2A-9197-83F9D79A3426}">
  <dimension ref="A1:F23"/>
  <sheetViews>
    <sheetView workbookViewId="0">
      <selection activeCell="E4" sqref="E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18</v>
      </c>
      <c r="D1" t="s">
        <v>1</v>
      </c>
      <c r="E1">
        <v>1568.33</v>
      </c>
    </row>
    <row r="2" spans="1:6">
      <c r="E2" s="9">
        <f>(E1-E13)/E13</f>
        <v>-2.7410183839469623E-4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1529850</v>
      </c>
      <c r="C4" s="7">
        <v>-168060</v>
      </c>
      <c r="D4" s="5">
        <f>C4/B4</f>
        <v>-0.10985390724580842</v>
      </c>
      <c r="E4">
        <v>6</v>
      </c>
    </row>
    <row r="5" spans="1:6">
      <c r="A5" s="4">
        <v>3</v>
      </c>
      <c r="B5" s="7">
        <v>2634600</v>
      </c>
      <c r="C5" s="7">
        <v>-355350</v>
      </c>
      <c r="D5" s="5">
        <f>C5/B5</f>
        <v>-0.1348781598724664</v>
      </c>
      <c r="E5">
        <v>6</v>
      </c>
      <c r="F5" s="8"/>
    </row>
    <row r="6" spans="1:6">
      <c r="A6" s="4">
        <v>1</v>
      </c>
      <c r="B6" s="7">
        <v>1968375</v>
      </c>
      <c r="C6" s="7">
        <v>-617775</v>
      </c>
      <c r="D6" s="5">
        <f>C6/B6</f>
        <v>-0.31385025719184606</v>
      </c>
      <c r="E6">
        <v>3</v>
      </c>
    </row>
    <row r="7" spans="1:6">
      <c r="A7" s="4"/>
      <c r="B7" s="6">
        <f>SUM(B4:B6)</f>
        <v>6132825</v>
      </c>
      <c r="C7" s="6">
        <f>SUM(C4:C6)</f>
        <v>-1141185</v>
      </c>
      <c r="D7" s="5">
        <f>C7/B7</f>
        <v>-0.18607819398075112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5298400</v>
      </c>
      <c r="C9" s="7">
        <v>-688700</v>
      </c>
      <c r="D9" s="5">
        <f>C9/B9</f>
        <v>-0.12998263626755246</v>
      </c>
      <c r="E9">
        <v>11</v>
      </c>
    </row>
    <row r="10" spans="1:6">
      <c r="A10" s="4"/>
      <c r="B10" s="7"/>
      <c r="C10" s="7">
        <v>447436.38</v>
      </c>
      <c r="D10" s="5"/>
    </row>
    <row r="11" spans="1:6" ht="15.75">
      <c r="A11" s="1" t="s">
        <v>8</v>
      </c>
      <c r="B11" s="6">
        <f>B7+B9</f>
        <v>11431225</v>
      </c>
      <c r="C11" s="6">
        <f>C7+C9</f>
        <v>-1829885</v>
      </c>
      <c r="D11" s="5">
        <f>C11/B11</f>
        <v>-0.16007776944290747</v>
      </c>
      <c r="E11">
        <f>E4+E5+E6+E9</f>
        <v>26</v>
      </c>
    </row>
    <row r="13" spans="1:6" ht="15.75">
      <c r="B13" s="1" t="s">
        <v>0</v>
      </c>
      <c r="C13" s="10" t="s">
        <v>19</v>
      </c>
      <c r="D13" t="s">
        <v>1</v>
      </c>
      <c r="E13">
        <v>1568.76</v>
      </c>
    </row>
    <row r="14" spans="1:6">
      <c r="E14" s="9">
        <v>-1.9561766433758707E-2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1447050</v>
      </c>
      <c r="C16" s="7">
        <v>-166080</v>
      </c>
      <c r="D16" s="5">
        <v>-0.1147714315331191</v>
      </c>
      <c r="E16">
        <v>5</v>
      </c>
    </row>
    <row r="17" spans="1:5">
      <c r="A17" s="4">
        <v>3</v>
      </c>
      <c r="B17" s="7">
        <v>2641350</v>
      </c>
      <c r="C17" s="7">
        <v>-323700</v>
      </c>
      <c r="D17" s="5">
        <v>-0.12255096825486966</v>
      </c>
      <c r="E17">
        <v>7</v>
      </c>
    </row>
    <row r="18" spans="1:5">
      <c r="A18" s="4">
        <v>1</v>
      </c>
      <c r="B18" s="7">
        <v>1968375</v>
      </c>
      <c r="C18" s="7">
        <v>-614625</v>
      </c>
      <c r="D18" s="5">
        <v>-0.31224995237188036</v>
      </c>
      <c r="E18">
        <v>3</v>
      </c>
    </row>
    <row r="19" spans="1:5">
      <c r="A19" s="4"/>
      <c r="B19" s="6">
        <v>6056775</v>
      </c>
      <c r="C19" s="6">
        <v>-1104405</v>
      </c>
      <c r="D19" s="5">
        <v>-0.18234208799237217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5298400</v>
      </c>
      <c r="C21" s="7">
        <v>-687400</v>
      </c>
      <c r="D21" s="5">
        <v>-0.12973727917861996</v>
      </c>
      <c r="E21">
        <v>11</v>
      </c>
    </row>
    <row r="22" spans="1:5">
      <c r="A22" s="4"/>
      <c r="B22" s="7"/>
      <c r="C22" s="7">
        <v>447436.38</v>
      </c>
      <c r="D22" s="5"/>
    </row>
    <row r="23" spans="1:5" ht="15.75">
      <c r="A23" s="1" t="s">
        <v>8</v>
      </c>
      <c r="B23" s="6">
        <v>11355175</v>
      </c>
      <c r="C23" s="6">
        <v>-1791805</v>
      </c>
      <c r="D23" s="5">
        <v>-0.15779633515115354</v>
      </c>
      <c r="E23">
        <v>26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13D1-C3E1-40D2-AC9A-9434931DFEBE}">
  <dimension ref="A1:F23"/>
  <sheetViews>
    <sheetView workbookViewId="0">
      <selection activeCell="E4" sqref="E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19</v>
      </c>
      <c r="D1" t="s">
        <v>1</v>
      </c>
      <c r="E1">
        <v>1568.76</v>
      </c>
    </row>
    <row r="2" spans="1:6">
      <c r="E2" s="9">
        <f>(E1-E13)/E13</f>
        <v>-1.9561766433758707E-2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1447050</v>
      </c>
      <c r="C4" s="7">
        <v>-166080</v>
      </c>
      <c r="D4" s="5">
        <f>C4/B4</f>
        <v>-0.1147714315331191</v>
      </c>
      <c r="E4">
        <v>5</v>
      </c>
    </row>
    <row r="5" spans="1:6">
      <c r="A5" s="4">
        <v>3</v>
      </c>
      <c r="B5" s="7">
        <v>2641350</v>
      </c>
      <c r="C5" s="7">
        <v>-323700</v>
      </c>
      <c r="D5" s="5">
        <f>C5/B5</f>
        <v>-0.12255096825486966</v>
      </c>
      <c r="E5">
        <v>7</v>
      </c>
      <c r="F5" s="8"/>
    </row>
    <row r="6" spans="1:6">
      <c r="A6" s="4">
        <v>1</v>
      </c>
      <c r="B6" s="7">
        <v>1968375</v>
      </c>
      <c r="C6" s="7">
        <v>-614625</v>
      </c>
      <c r="D6" s="5">
        <f>C6/B6</f>
        <v>-0.31224995237188036</v>
      </c>
      <c r="E6">
        <v>3</v>
      </c>
    </row>
    <row r="7" spans="1:6">
      <c r="A7" s="4"/>
      <c r="B7" s="6">
        <f>SUM(B4:B6)</f>
        <v>6056775</v>
      </c>
      <c r="C7" s="6">
        <f>SUM(C4:C6)</f>
        <v>-1104405</v>
      </c>
      <c r="D7" s="5">
        <f>C7/B7</f>
        <v>-0.18234208799237217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5298400</v>
      </c>
      <c r="C9" s="7">
        <v>-687400</v>
      </c>
      <c r="D9" s="5">
        <f>C9/B9</f>
        <v>-0.12973727917861996</v>
      </c>
      <c r="E9">
        <v>11</v>
      </c>
    </row>
    <row r="10" spans="1:6">
      <c r="A10" s="4"/>
      <c r="B10" s="7"/>
      <c r="C10" s="7">
        <v>447436.38</v>
      </c>
      <c r="D10" s="5"/>
    </row>
    <row r="11" spans="1:6" ht="15.75">
      <c r="A11" s="1" t="s">
        <v>8</v>
      </c>
      <c r="B11" s="6">
        <f>B7+B9</f>
        <v>11355175</v>
      </c>
      <c r="C11" s="6">
        <f>C7+C9</f>
        <v>-1791805</v>
      </c>
      <c r="D11" s="5">
        <f>C11/B11</f>
        <v>-0.15779633515115354</v>
      </c>
      <c r="E11">
        <f>E4+E5+E6+E9</f>
        <v>26</v>
      </c>
    </row>
    <row r="13" spans="1:6" ht="15.75">
      <c r="B13" s="1" t="s">
        <v>0</v>
      </c>
      <c r="C13" s="10" t="s">
        <v>20</v>
      </c>
      <c r="D13" t="s">
        <v>1</v>
      </c>
      <c r="E13">
        <v>1600.06</v>
      </c>
    </row>
    <row r="14" spans="1:6">
      <c r="E14" s="9">
        <v>-1.994340385392801E-2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1447050</v>
      </c>
      <c r="C16" s="7">
        <v>-194880</v>
      </c>
      <c r="D16" s="5">
        <v>-0.13467399191458485</v>
      </c>
      <c r="E16">
        <v>5</v>
      </c>
    </row>
    <row r="17" spans="1:5">
      <c r="A17" s="4">
        <v>3</v>
      </c>
      <c r="B17" s="7">
        <v>2758350</v>
      </c>
      <c r="C17" s="7">
        <v>-306300</v>
      </c>
      <c r="D17" s="5">
        <v>-0.11104464625591386</v>
      </c>
      <c r="E17">
        <v>8</v>
      </c>
    </row>
    <row r="18" spans="1:5">
      <c r="A18" s="4">
        <v>1</v>
      </c>
      <c r="B18" s="7">
        <v>1968375</v>
      </c>
      <c r="C18" s="7">
        <v>-636525</v>
      </c>
      <c r="D18" s="5">
        <v>-0.32337588112021337</v>
      </c>
      <c r="E18">
        <v>3</v>
      </c>
    </row>
    <row r="19" spans="1:5">
      <c r="A19" s="4"/>
      <c r="B19" s="6">
        <v>6173775</v>
      </c>
      <c r="C19" s="6">
        <v>-1137705</v>
      </c>
      <c r="D19" s="5">
        <v>-0.18428028232321392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5200400</v>
      </c>
      <c r="C21" s="7">
        <v>-531600</v>
      </c>
      <c r="D21" s="5">
        <v>-0.10222290593031305</v>
      </c>
      <c r="E21">
        <v>11</v>
      </c>
    </row>
    <row r="22" spans="1:5">
      <c r="A22" s="4"/>
      <c r="B22" s="7"/>
      <c r="C22" s="7">
        <v>438036</v>
      </c>
      <c r="D22" s="5"/>
    </row>
    <row r="23" spans="1:5" ht="15.75">
      <c r="A23" s="1" t="s">
        <v>8</v>
      </c>
      <c r="B23" s="6">
        <v>11374175</v>
      </c>
      <c r="C23" s="6">
        <v>-1669305</v>
      </c>
      <c r="D23" s="5">
        <v>-0.14676273224211867</v>
      </c>
      <c r="E23">
        <v>27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454C-F039-4A1F-8C36-D9D9A4A87AD8}">
  <dimension ref="A1:F23"/>
  <sheetViews>
    <sheetView workbookViewId="0">
      <selection activeCell="B2" sqref="B2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20</v>
      </c>
      <c r="D1" t="s">
        <v>1</v>
      </c>
      <c r="E1">
        <v>1600.06</v>
      </c>
    </row>
    <row r="2" spans="1:6">
      <c r="E2" s="9">
        <f>(E1-E13)/E13</f>
        <v>-1.994340385392801E-2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1447050</v>
      </c>
      <c r="C4" s="7">
        <v>-194880</v>
      </c>
      <c r="D4" s="5">
        <f>C4/B4</f>
        <v>-0.13467399191458485</v>
      </c>
      <c r="E4">
        <v>5</v>
      </c>
    </row>
    <row r="5" spans="1:6">
      <c r="A5" s="4">
        <v>3</v>
      </c>
      <c r="B5" s="7">
        <v>2758350</v>
      </c>
      <c r="C5" s="7">
        <v>-306300</v>
      </c>
      <c r="D5" s="5">
        <f>C5/B5</f>
        <v>-0.11104464625591386</v>
      </c>
      <c r="E5">
        <v>8</v>
      </c>
      <c r="F5" s="8"/>
    </row>
    <row r="6" spans="1:6">
      <c r="A6" s="4">
        <v>1</v>
      </c>
      <c r="B6" s="7">
        <v>1968375</v>
      </c>
      <c r="C6" s="7">
        <v>-636525</v>
      </c>
      <c r="D6" s="5">
        <f>C6/B6</f>
        <v>-0.32337588112021337</v>
      </c>
      <c r="E6">
        <v>3</v>
      </c>
    </row>
    <row r="7" spans="1:6">
      <c r="A7" s="4"/>
      <c r="B7" s="6">
        <f>SUM(B4:B6)</f>
        <v>6173775</v>
      </c>
      <c r="C7" s="6">
        <f>SUM(C4:C6)</f>
        <v>-1137705</v>
      </c>
      <c r="D7" s="5">
        <f>C7/B7</f>
        <v>-0.18428028232321392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5200400</v>
      </c>
      <c r="C9" s="7">
        <v>-531600</v>
      </c>
      <c r="D9" s="5">
        <f>C9/B9</f>
        <v>-0.10222290593031305</v>
      </c>
      <c r="E9">
        <v>11</v>
      </c>
    </row>
    <row r="10" spans="1:6">
      <c r="A10" s="4"/>
      <c r="B10" s="7"/>
      <c r="C10" s="7">
        <v>438036</v>
      </c>
      <c r="D10" s="5"/>
    </row>
    <row r="11" spans="1:6" ht="15.75">
      <c r="A11" s="1" t="s">
        <v>8</v>
      </c>
      <c r="B11" s="6">
        <f>B7+B9</f>
        <v>11374175</v>
      </c>
      <c r="C11" s="6">
        <f>C7+C9</f>
        <v>-1669305</v>
      </c>
      <c r="D11" s="5">
        <f>C11/B11</f>
        <v>-0.14676273224211867</v>
      </c>
      <c r="E11">
        <f>E4+E5+E6+E9</f>
        <v>27</v>
      </c>
    </row>
    <row r="13" spans="1:6" ht="15.75">
      <c r="B13" s="1" t="s">
        <v>0</v>
      </c>
      <c r="C13" s="10" t="s">
        <v>21</v>
      </c>
      <c r="D13" t="s">
        <v>1</v>
      </c>
      <c r="E13">
        <v>1632.62</v>
      </c>
    </row>
    <row r="14" spans="1:6">
      <c r="E14" s="9">
        <v>0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1447050</v>
      </c>
      <c r="C16" s="7">
        <v>-143475</v>
      </c>
      <c r="D16" s="5">
        <v>-9.9149994817041565E-2</v>
      </c>
      <c r="E16">
        <v>5</v>
      </c>
    </row>
    <row r="17" spans="1:5">
      <c r="A17" s="4">
        <v>3</v>
      </c>
      <c r="B17" s="7">
        <v>2697100</v>
      </c>
      <c r="C17" s="7">
        <v>-211850</v>
      </c>
      <c r="D17" s="5">
        <v>-7.8547328612213113E-2</v>
      </c>
      <c r="E17">
        <v>8</v>
      </c>
    </row>
    <row r="18" spans="1:5">
      <c r="A18" s="4">
        <v>1</v>
      </c>
      <c r="B18" s="7">
        <v>2001000</v>
      </c>
      <c r="C18" s="7">
        <v>-528000</v>
      </c>
      <c r="D18" s="5">
        <v>-0.26386806596701651</v>
      </c>
      <c r="E18">
        <v>3</v>
      </c>
    </row>
    <row r="19" spans="1:5">
      <c r="A19" s="4"/>
      <c r="B19" s="6">
        <v>6145150</v>
      </c>
      <c r="C19" s="6">
        <v>-883325</v>
      </c>
      <c r="D19" s="5">
        <v>-0.14374343994857733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5239400</v>
      </c>
      <c r="C21" s="7">
        <v>-418200</v>
      </c>
      <c r="D21" s="5">
        <v>-7.9818299805321222E-2</v>
      </c>
      <c r="E21">
        <v>11</v>
      </c>
    </row>
    <row r="22" spans="1:5">
      <c r="A22" s="4"/>
      <c r="B22" s="7"/>
      <c r="C22" s="7">
        <v>432866</v>
      </c>
      <c r="D22" s="5"/>
    </row>
    <row r="23" spans="1:5" ht="15.75">
      <c r="A23" s="1" t="s">
        <v>8</v>
      </c>
      <c r="B23" s="6">
        <v>11384550</v>
      </c>
      <c r="C23" s="6">
        <v>-1301525</v>
      </c>
      <c r="D23" s="5">
        <v>-0.11432379848127507</v>
      </c>
      <c r="E23">
        <v>27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3019-36A4-4FDD-8308-2B71A925BA2C}">
  <dimension ref="A1:F23"/>
  <sheetViews>
    <sheetView topLeftCell="A4" workbookViewId="0">
      <selection activeCell="E1" sqref="E1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21</v>
      </c>
      <c r="D1" t="s">
        <v>1</v>
      </c>
      <c r="E1">
        <v>1632.62</v>
      </c>
    </row>
    <row r="2" spans="1:6">
      <c r="E2" s="9">
        <f>(E1-E13)/E13</f>
        <v>-9.1341105925338093E-3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1447050</v>
      </c>
      <c r="C4" s="7">
        <v>-143475</v>
      </c>
      <c r="D4" s="5">
        <f>C4/B4</f>
        <v>-9.9149994817041565E-2</v>
      </c>
      <c r="E4">
        <v>5</v>
      </c>
    </row>
    <row r="5" spans="1:6">
      <c r="A5" s="4">
        <v>3</v>
      </c>
      <c r="B5" s="7">
        <v>2697100</v>
      </c>
      <c r="C5" s="7">
        <v>-211850</v>
      </c>
      <c r="D5" s="5">
        <f>C5/B5</f>
        <v>-7.8547328612213113E-2</v>
      </c>
      <c r="E5">
        <v>8</v>
      </c>
      <c r="F5" s="8"/>
    </row>
    <row r="6" spans="1:6">
      <c r="A6" s="4">
        <v>1</v>
      </c>
      <c r="B6" s="7">
        <v>2001000</v>
      </c>
      <c r="C6" s="7">
        <v>-528000</v>
      </c>
      <c r="D6" s="5">
        <f>C6/B6</f>
        <v>-0.26386806596701651</v>
      </c>
      <c r="E6">
        <v>3</v>
      </c>
    </row>
    <row r="7" spans="1:6">
      <c r="A7" s="4"/>
      <c r="B7" s="6">
        <f>SUM(B4:B6)</f>
        <v>6145150</v>
      </c>
      <c r="C7" s="6">
        <f>SUM(C4:C6)</f>
        <v>-883325</v>
      </c>
      <c r="D7" s="5">
        <f>C7/B7</f>
        <v>-0.14374343994857733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5239400</v>
      </c>
      <c r="C9" s="7">
        <v>-418200</v>
      </c>
      <c r="D9" s="5">
        <f>C9/B9</f>
        <v>-7.9818299805321222E-2</v>
      </c>
      <c r="E9">
        <v>11</v>
      </c>
    </row>
    <row r="10" spans="1:6">
      <c r="A10" s="4"/>
      <c r="B10" s="7"/>
      <c r="C10" s="7">
        <v>432866</v>
      </c>
      <c r="D10" s="5"/>
    </row>
    <row r="11" spans="1:6" ht="15.75">
      <c r="A11" s="1" t="s">
        <v>8</v>
      </c>
      <c r="B11" s="6">
        <f>B7+B9</f>
        <v>11384550</v>
      </c>
      <c r="C11" s="6">
        <f>C7+C9</f>
        <v>-1301525</v>
      </c>
      <c r="D11" s="5">
        <f>C11/B11</f>
        <v>-0.11432379848127507</v>
      </c>
      <c r="E11">
        <f>E4+E5+E6+E9</f>
        <v>27</v>
      </c>
    </row>
    <row r="13" spans="1:6" ht="15.75">
      <c r="B13" s="1" t="s">
        <v>0</v>
      </c>
      <c r="C13" s="10" t="s">
        <v>22</v>
      </c>
      <c r="D13" t="s">
        <v>1</v>
      </c>
      <c r="E13">
        <v>1647.67</v>
      </c>
    </row>
    <row r="14" spans="1:6">
      <c r="E14" s="9">
        <v>5.4431731502670158E-3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1447050</v>
      </c>
      <c r="C16" s="7">
        <v>-99870</v>
      </c>
      <c r="D16" s="5">
        <v>-6.9016274489478599E-2</v>
      </c>
      <c r="E16">
        <v>5</v>
      </c>
    </row>
    <row r="17" spans="1:5">
      <c r="A17" s="4">
        <v>3</v>
      </c>
      <c r="B17" s="7">
        <v>2422000</v>
      </c>
      <c r="C17" s="7">
        <v>-137225</v>
      </c>
      <c r="D17" s="5">
        <v>-5.6657720891824935E-2</v>
      </c>
      <c r="E17">
        <v>6</v>
      </c>
    </row>
    <row r="18" spans="1:5">
      <c r="A18" s="4">
        <v>1</v>
      </c>
      <c r="B18" s="7">
        <v>2001000</v>
      </c>
      <c r="C18" s="7">
        <v>-438600</v>
      </c>
      <c r="D18" s="5">
        <v>-0.21919040479760121</v>
      </c>
      <c r="E18">
        <v>3</v>
      </c>
    </row>
    <row r="19" spans="1:5">
      <c r="A19" s="4"/>
      <c r="B19" s="6">
        <v>5870050</v>
      </c>
      <c r="C19" s="6">
        <v>-675695</v>
      </c>
      <c r="D19" s="5">
        <v>-0.11510890026490404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5155700</v>
      </c>
      <c r="C21" s="7">
        <v>-372200</v>
      </c>
      <c r="D21" s="5">
        <v>-7.2191942898151562E-2</v>
      </c>
      <c r="E21">
        <v>11</v>
      </c>
    </row>
    <row r="22" spans="1:5">
      <c r="A22" s="4"/>
      <c r="B22" s="7"/>
      <c r="C22" s="7">
        <v>421166</v>
      </c>
      <c r="D22" s="5"/>
    </row>
    <row r="23" spans="1:5" ht="15.75">
      <c r="A23" s="1" t="s">
        <v>8</v>
      </c>
      <c r="B23" s="6">
        <v>11025750</v>
      </c>
      <c r="C23" s="6">
        <v>-1047895</v>
      </c>
      <c r="D23" s="5">
        <v>-9.5040700179126136E-2</v>
      </c>
      <c r="E23">
        <v>25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46DA-DCAA-4E73-9F05-89B9D06479FE}">
  <dimension ref="A1:F23"/>
  <sheetViews>
    <sheetView topLeftCell="A4" workbookViewId="0">
      <selection activeCell="F14" sqref="F1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22</v>
      </c>
      <c r="D1" t="s">
        <v>1</v>
      </c>
      <c r="E1">
        <v>1647.67</v>
      </c>
    </row>
    <row r="2" spans="1:6">
      <c r="E2" s="9">
        <f>(E1-E13)/E13</f>
        <v>5.4431731502670158E-3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1447050</v>
      </c>
      <c r="C4" s="7">
        <v>-99870</v>
      </c>
      <c r="D4" s="5">
        <f>C4/B4</f>
        <v>-6.9016274489478599E-2</v>
      </c>
      <c r="E4">
        <v>5</v>
      </c>
    </row>
    <row r="5" spans="1:6">
      <c r="A5" s="4">
        <v>3</v>
      </c>
      <c r="B5" s="7">
        <v>2422000</v>
      </c>
      <c r="C5" s="7">
        <v>-137225</v>
      </c>
      <c r="D5" s="5">
        <f>C5/B5</f>
        <v>-5.6657720891824935E-2</v>
      </c>
      <c r="E5">
        <v>6</v>
      </c>
      <c r="F5" s="8"/>
    </row>
    <row r="6" spans="1:6">
      <c r="A6" s="4">
        <v>1</v>
      </c>
      <c r="B6" s="7">
        <v>2001000</v>
      </c>
      <c r="C6" s="7">
        <v>-438600</v>
      </c>
      <c r="D6" s="5">
        <f>C6/B6</f>
        <v>-0.21919040479760121</v>
      </c>
      <c r="E6">
        <v>3</v>
      </c>
    </row>
    <row r="7" spans="1:6">
      <c r="A7" s="4"/>
      <c r="B7" s="6">
        <f>SUM(B4:B6)</f>
        <v>5870050</v>
      </c>
      <c r="C7" s="6">
        <f>SUM(C4:C6)</f>
        <v>-675695</v>
      </c>
      <c r="D7" s="5">
        <f>C7/B7</f>
        <v>-0.11510890026490404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5155700</v>
      </c>
      <c r="C9" s="7">
        <v>-372200</v>
      </c>
      <c r="D9" s="5">
        <f>C9/B9</f>
        <v>-7.2191942898151562E-2</v>
      </c>
      <c r="E9">
        <v>11</v>
      </c>
    </row>
    <row r="10" spans="1:6">
      <c r="A10" s="4"/>
      <c r="B10" s="7"/>
      <c r="C10" s="7">
        <v>421166</v>
      </c>
      <c r="D10" s="5"/>
    </row>
    <row r="11" spans="1:6" ht="15.75">
      <c r="A11" s="1" t="s">
        <v>8</v>
      </c>
      <c r="B11" s="6">
        <f>B7+B9</f>
        <v>11025750</v>
      </c>
      <c r="C11" s="6">
        <f>C7+C9</f>
        <v>-1047895</v>
      </c>
      <c r="D11" s="5">
        <f>C11/B11</f>
        <v>-9.5040700179126136E-2</v>
      </c>
      <c r="E11">
        <f>E4+E5+E6+E9</f>
        <v>25</v>
      </c>
    </row>
    <row r="13" spans="1:6" ht="15.75">
      <c r="B13" s="1" t="s">
        <v>0</v>
      </c>
      <c r="C13" s="10" t="s">
        <v>23</v>
      </c>
      <c r="D13" t="s">
        <v>1</v>
      </c>
      <c r="E13">
        <v>1638.75</v>
      </c>
    </row>
    <row r="14" spans="1:6">
      <c r="E14" s="9">
        <v>-3.0640915678329512E-2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1598550</v>
      </c>
      <c r="C16" s="7">
        <v>-131070</v>
      </c>
      <c r="D16" s="5">
        <v>-8.1993056207187762E-2</v>
      </c>
      <c r="E16">
        <v>6</v>
      </c>
    </row>
    <row r="17" spans="1:5">
      <c r="A17" s="4">
        <v>3</v>
      </c>
      <c r="B17" s="7">
        <v>2440000</v>
      </c>
      <c r="C17" s="7">
        <v>-155100</v>
      </c>
      <c r="D17" s="5">
        <v>-6.3565573770491809E-2</v>
      </c>
      <c r="E17">
        <v>6</v>
      </c>
    </row>
    <row r="18" spans="1:5">
      <c r="A18" s="4">
        <v>1</v>
      </c>
      <c r="B18" s="7">
        <v>2001000</v>
      </c>
      <c r="C18" s="7">
        <v>-474000</v>
      </c>
      <c r="D18" s="5">
        <v>-0.23688155922038981</v>
      </c>
      <c r="E18">
        <v>3</v>
      </c>
    </row>
    <row r="19" spans="1:5">
      <c r="A19" s="4"/>
      <c r="B19" s="6">
        <v>6039550</v>
      </c>
      <c r="C19" s="6">
        <v>-760170</v>
      </c>
      <c r="D19" s="5">
        <v>-0.12586533764932817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5155700</v>
      </c>
      <c r="C21" s="7">
        <v>-352900</v>
      </c>
      <c r="D21" s="5">
        <v>-6.8448513295963687E-2</v>
      </c>
      <c r="E21">
        <v>11</v>
      </c>
    </row>
    <row r="22" spans="1:5">
      <c r="A22" s="4"/>
      <c r="B22" s="7"/>
      <c r="C22" s="7">
        <v>435813.88</v>
      </c>
      <c r="D22" s="5"/>
    </row>
    <row r="23" spans="1:5" ht="15.75">
      <c r="A23" s="1" t="s">
        <v>8</v>
      </c>
      <c r="B23" s="6">
        <v>11195250</v>
      </c>
      <c r="C23" s="6">
        <v>-1113070</v>
      </c>
      <c r="D23" s="5">
        <v>-9.9423416180969601E-2</v>
      </c>
      <c r="E23">
        <v>26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9AC6-F21D-4025-AA0D-B7CC6F22C812}">
  <dimension ref="A1:F23"/>
  <sheetViews>
    <sheetView topLeftCell="A7" workbookViewId="0">
      <selection activeCell="E2" sqref="E2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23</v>
      </c>
      <c r="D1" t="s">
        <v>1</v>
      </c>
      <c r="E1">
        <v>1638.75</v>
      </c>
    </row>
    <row r="2" spans="1:6">
      <c r="E2" s="9">
        <f>(E1-E13)/E13</f>
        <v>-3.0640915678329512E-2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1598550</v>
      </c>
      <c r="C4" s="7">
        <v>-131070</v>
      </c>
      <c r="D4" s="5">
        <f>C4/B4</f>
        <v>-8.1993056207187762E-2</v>
      </c>
      <c r="E4">
        <v>6</v>
      </c>
    </row>
    <row r="5" spans="1:6">
      <c r="A5" s="4">
        <v>3</v>
      </c>
      <c r="B5" s="7">
        <v>2440000</v>
      </c>
      <c r="C5" s="7">
        <v>-155100</v>
      </c>
      <c r="D5" s="5">
        <f>C5/B5</f>
        <v>-6.3565573770491809E-2</v>
      </c>
      <c r="E5">
        <v>6</v>
      </c>
      <c r="F5" s="8"/>
    </row>
    <row r="6" spans="1:6">
      <c r="A6" s="4">
        <v>1</v>
      </c>
      <c r="B6" s="7">
        <v>2001000</v>
      </c>
      <c r="C6" s="7">
        <v>-474000</v>
      </c>
      <c r="D6" s="5">
        <f>C6/B6</f>
        <v>-0.23688155922038981</v>
      </c>
      <c r="E6">
        <v>3</v>
      </c>
    </row>
    <row r="7" spans="1:6">
      <c r="A7" s="4"/>
      <c r="B7" s="6">
        <f>SUM(B4:B6)</f>
        <v>6039550</v>
      </c>
      <c r="C7" s="6">
        <f>SUM(C4:C6)</f>
        <v>-760170</v>
      </c>
      <c r="D7" s="5">
        <f>C7/B7</f>
        <v>-0.12586533764932817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5155700</v>
      </c>
      <c r="C9" s="7">
        <v>-352900</v>
      </c>
      <c r="D9" s="5">
        <f>C9/B9</f>
        <v>-6.8448513295963687E-2</v>
      </c>
      <c r="E9">
        <v>11</v>
      </c>
    </row>
    <row r="10" spans="1:6">
      <c r="A10" s="4"/>
      <c r="B10" s="7"/>
      <c r="C10" s="7">
        <v>435813.88</v>
      </c>
      <c r="D10" s="5"/>
    </row>
    <row r="11" spans="1:6" ht="15.75">
      <c r="A11" s="1" t="s">
        <v>8</v>
      </c>
      <c r="B11" s="6">
        <f>B7+B9</f>
        <v>11195250</v>
      </c>
      <c r="C11" s="6">
        <f>C7+C9</f>
        <v>-1113070</v>
      </c>
      <c r="D11" s="5">
        <f>C11/B11</f>
        <v>-9.9423416180969601E-2</v>
      </c>
      <c r="E11">
        <f>E4+E5+E6+E9</f>
        <v>26</v>
      </c>
    </row>
    <row r="13" spans="1:6" ht="15.75">
      <c r="B13" s="1" t="s">
        <v>0</v>
      </c>
      <c r="C13" s="10" t="s">
        <v>24</v>
      </c>
      <c r="D13" t="s">
        <v>1</v>
      </c>
      <c r="E13">
        <v>1690.55</v>
      </c>
    </row>
    <row r="14" spans="1:6">
      <c r="E14" s="9">
        <v>0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1543050</v>
      </c>
      <c r="C16" s="7">
        <v>-136530</v>
      </c>
      <c r="D16" s="5">
        <v>-8.8480606590842809E-2</v>
      </c>
      <c r="E16">
        <v>6</v>
      </c>
    </row>
    <row r="17" spans="1:5">
      <c r="A17" s="4">
        <v>3</v>
      </c>
      <c r="B17" s="7">
        <v>2327500</v>
      </c>
      <c r="C17" s="7">
        <v>-198575</v>
      </c>
      <c r="D17" s="5">
        <v>-8.5316863587540273E-2</v>
      </c>
      <c r="E17">
        <v>5</v>
      </c>
    </row>
    <row r="18" spans="1:5">
      <c r="A18" s="4">
        <v>1</v>
      </c>
      <c r="B18" s="7">
        <v>2001000</v>
      </c>
      <c r="C18" s="7">
        <v>-481200</v>
      </c>
      <c r="D18" s="5">
        <v>-0.24047976011994002</v>
      </c>
      <c r="E18">
        <v>3</v>
      </c>
    </row>
    <row r="19" spans="1:5">
      <c r="A19" s="4"/>
      <c r="B19" s="6">
        <v>5871550</v>
      </c>
      <c r="C19" s="6">
        <v>-816305</v>
      </c>
      <c r="D19" s="5">
        <v>-0.13902717340395637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5156595</v>
      </c>
      <c r="C21" s="7">
        <v>-372450</v>
      </c>
      <c r="D21" s="5">
        <v>-7.2227894569963313E-2</v>
      </c>
      <c r="E21">
        <v>11</v>
      </c>
    </row>
    <row r="22" spans="1:5">
      <c r="A22" s="4"/>
      <c r="B22" s="7"/>
      <c r="C22" s="7">
        <v>435881</v>
      </c>
      <c r="D22" s="5"/>
    </row>
    <row r="23" spans="1:5" ht="15.75">
      <c r="A23" s="1" t="s">
        <v>8</v>
      </c>
      <c r="B23" s="6">
        <v>11028145</v>
      </c>
      <c r="C23" s="6">
        <v>-1188755</v>
      </c>
      <c r="D23" s="5">
        <v>-0.10779283369959318</v>
      </c>
      <c r="E23">
        <v>25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3F6E-36A5-4332-8D25-A36B7640C977}">
  <dimension ref="A1:F23"/>
  <sheetViews>
    <sheetView workbookViewId="0">
      <selection activeCell="C2" sqref="C2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24</v>
      </c>
      <c r="D1" t="s">
        <v>1</v>
      </c>
      <c r="E1">
        <v>1690.55</v>
      </c>
    </row>
    <row r="2" spans="1:6">
      <c r="E2" s="9">
        <f>(E1-E13)/E13</f>
        <v>0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1543050</v>
      </c>
      <c r="C4" s="7">
        <v>-136530</v>
      </c>
      <c r="D4" s="5">
        <f>C4/B4</f>
        <v>-8.8480606590842809E-2</v>
      </c>
      <c r="E4">
        <v>6</v>
      </c>
    </row>
    <row r="5" spans="1:6">
      <c r="A5" s="4">
        <v>3</v>
      </c>
      <c r="B5" s="7">
        <v>2327500</v>
      </c>
      <c r="C5" s="7">
        <v>-198575</v>
      </c>
      <c r="D5" s="5">
        <f>C5/B5</f>
        <v>-8.5316863587540273E-2</v>
      </c>
      <c r="E5">
        <v>5</v>
      </c>
      <c r="F5" s="8"/>
    </row>
    <row r="6" spans="1:6">
      <c r="A6" s="4">
        <v>1</v>
      </c>
      <c r="B6" s="7">
        <v>2001000</v>
      </c>
      <c r="C6" s="7">
        <v>-481200</v>
      </c>
      <c r="D6" s="5">
        <f>C6/B6</f>
        <v>-0.24047976011994002</v>
      </c>
      <c r="E6">
        <v>3</v>
      </c>
    </row>
    <row r="7" spans="1:6">
      <c r="A7" s="4"/>
      <c r="B7" s="6">
        <f>SUM(B4:B6)</f>
        <v>5871550</v>
      </c>
      <c r="C7" s="6">
        <f>SUM(C4:C6)</f>
        <v>-816305</v>
      </c>
      <c r="D7" s="5">
        <f>C7/B7</f>
        <v>-0.13902717340395637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5156595</v>
      </c>
      <c r="C9" s="7">
        <v>-372450</v>
      </c>
      <c r="D9" s="5">
        <f>C9/B9</f>
        <v>-7.2227894569963313E-2</v>
      </c>
      <c r="E9">
        <v>11</v>
      </c>
    </row>
    <row r="10" spans="1:6">
      <c r="A10" s="4"/>
      <c r="B10" s="7"/>
      <c r="C10" s="7">
        <v>435881</v>
      </c>
      <c r="D10" s="5"/>
    </row>
    <row r="11" spans="1:6" ht="15.75">
      <c r="A11" s="1" t="s">
        <v>8</v>
      </c>
      <c r="B11" s="6">
        <f>B7+B9</f>
        <v>11028145</v>
      </c>
      <c r="C11" s="6">
        <f>C7+C9</f>
        <v>-1188755</v>
      </c>
      <c r="D11" s="5">
        <f>C11/B11</f>
        <v>-0.10779283369959318</v>
      </c>
      <c r="E11">
        <f>E4+E5+E6+E9</f>
        <v>25</v>
      </c>
    </row>
    <row r="13" spans="1:6" ht="15.75">
      <c r="B13" s="1" t="s">
        <v>0</v>
      </c>
      <c r="C13" s="10" t="s">
        <v>25</v>
      </c>
      <c r="D13" t="s">
        <v>1</v>
      </c>
      <c r="E13">
        <v>1690.55</v>
      </c>
    </row>
    <row r="14" spans="1:6">
      <c r="E14" s="9">
        <v>0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1014000</v>
      </c>
      <c r="C16" s="7">
        <v>-87190</v>
      </c>
      <c r="D16" s="5">
        <v>-8.5986193293885599E-2</v>
      </c>
      <c r="E16">
        <v>5</v>
      </c>
    </row>
    <row r="17" spans="1:5">
      <c r="A17" s="4">
        <v>3</v>
      </c>
      <c r="B17" s="7">
        <v>2696550</v>
      </c>
      <c r="C17" s="7">
        <v>-357000</v>
      </c>
      <c r="D17" s="5">
        <v>-0.1323913889970518</v>
      </c>
      <c r="E17">
        <v>8</v>
      </c>
    </row>
    <row r="18" spans="1:5">
      <c r="A18" s="4">
        <v>1</v>
      </c>
      <c r="B18" s="7">
        <v>2512000</v>
      </c>
      <c r="C18" s="7">
        <v>-569300</v>
      </c>
      <c r="D18" s="5">
        <v>-0.22663216560509555</v>
      </c>
      <c r="E18">
        <v>3</v>
      </c>
    </row>
    <row r="19" spans="1:5">
      <c r="A19" s="4"/>
      <c r="B19" s="6">
        <v>6222550</v>
      </c>
      <c r="C19" s="6">
        <v>-1013490</v>
      </c>
      <c r="D19" s="5">
        <v>-0.16287374147254743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4796595</v>
      </c>
      <c r="C21" s="7">
        <v>-390010</v>
      </c>
      <c r="D21" s="5">
        <v>-8.1309762446068509E-2</v>
      </c>
      <c r="E21">
        <v>11</v>
      </c>
    </row>
    <row r="22" spans="1:5">
      <c r="A22" s="4"/>
      <c r="B22" s="7"/>
      <c r="C22" s="7">
        <v>409877</v>
      </c>
      <c r="D22" s="5"/>
    </row>
    <row r="23" spans="1:5" ht="15.75">
      <c r="A23" s="1" t="s">
        <v>8</v>
      </c>
      <c r="B23" s="6">
        <v>11019145</v>
      </c>
      <c r="C23" s="6">
        <v>-1403500</v>
      </c>
      <c r="D23" s="5">
        <v>-0.12736922873780135</v>
      </c>
      <c r="E23">
        <v>27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3B01-9CDC-4D97-995D-909E0A3866BD}">
  <dimension ref="A1:F23"/>
  <sheetViews>
    <sheetView workbookViewId="0">
      <selection activeCell="D4" sqref="D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25</v>
      </c>
      <c r="D1" t="s">
        <v>1</v>
      </c>
      <c r="E1">
        <v>1690.55</v>
      </c>
    </row>
    <row r="2" spans="1:6">
      <c r="E2" s="9">
        <f>(E1-E13)/E13</f>
        <v>0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1014000</v>
      </c>
      <c r="C4" s="7">
        <v>-87190</v>
      </c>
      <c r="D4" s="5">
        <f>C4/B4</f>
        <v>-8.5986193293885599E-2</v>
      </c>
      <c r="E4">
        <v>5</v>
      </c>
    </row>
    <row r="5" spans="1:6">
      <c r="A5" s="4">
        <v>3</v>
      </c>
      <c r="B5" s="7">
        <v>2696550</v>
      </c>
      <c r="C5" s="7">
        <v>-357000</v>
      </c>
      <c r="D5" s="5">
        <f>C5/B5</f>
        <v>-0.1323913889970518</v>
      </c>
      <c r="E5">
        <v>8</v>
      </c>
      <c r="F5" s="8"/>
    </row>
    <row r="6" spans="1:6">
      <c r="A6" s="4">
        <v>1</v>
      </c>
      <c r="B6" s="7">
        <v>2512000</v>
      </c>
      <c r="C6" s="7">
        <v>-569300</v>
      </c>
      <c r="D6" s="5">
        <f>C6/B6</f>
        <v>-0.22663216560509555</v>
      </c>
      <c r="E6">
        <v>3</v>
      </c>
    </row>
    <row r="7" spans="1:6">
      <c r="A7" s="4"/>
      <c r="B7" s="6">
        <f>SUM(B4:B6)</f>
        <v>6222550</v>
      </c>
      <c r="C7" s="6">
        <f>SUM(C4:C6)</f>
        <v>-1013490</v>
      </c>
      <c r="D7" s="5">
        <f>C7/B7</f>
        <v>-0.16287374147254743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4796595</v>
      </c>
      <c r="C9" s="7">
        <v>-390010</v>
      </c>
      <c r="D9" s="5">
        <f>C9/B9</f>
        <v>-8.1309762446068509E-2</v>
      </c>
      <c r="E9">
        <v>11</v>
      </c>
    </row>
    <row r="10" spans="1:6">
      <c r="A10" s="4"/>
      <c r="B10" s="7"/>
      <c r="C10" s="7">
        <v>409877</v>
      </c>
      <c r="D10" s="5"/>
    </row>
    <row r="11" spans="1:6" ht="15.75">
      <c r="A11" s="1" t="s">
        <v>8</v>
      </c>
      <c r="B11" s="6">
        <f>B7+B9</f>
        <v>11019145</v>
      </c>
      <c r="C11" s="6">
        <f>C7+C9</f>
        <v>-1403500</v>
      </c>
      <c r="D11" s="5">
        <f>C11/B11</f>
        <v>-0.12736922873780135</v>
      </c>
      <c r="E11">
        <f>E4+E5+E6+E9</f>
        <v>27</v>
      </c>
    </row>
    <row r="13" spans="1:6" ht="15.75">
      <c r="B13" s="1" t="s">
        <v>0</v>
      </c>
      <c r="C13" s="10" t="s">
        <v>26</v>
      </c>
      <c r="D13" t="s">
        <v>1</v>
      </c>
      <c r="E13">
        <v>1690.55</v>
      </c>
    </row>
    <row r="14" spans="1:6">
      <c r="E14" s="9">
        <v>0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1178100</v>
      </c>
      <c r="C16" s="7">
        <v>-61890</v>
      </c>
      <c r="D16" s="5">
        <v>-5.2533740769034887E-2</v>
      </c>
      <c r="E16">
        <v>5</v>
      </c>
    </row>
    <row r="17" spans="1:5">
      <c r="A17" s="4">
        <v>3</v>
      </c>
      <c r="B17" s="7">
        <v>3011550</v>
      </c>
      <c r="C17" s="7">
        <v>-179925</v>
      </c>
      <c r="D17" s="5">
        <v>-5.9744981819993027E-2</v>
      </c>
      <c r="E17">
        <v>9</v>
      </c>
    </row>
    <row r="18" spans="1:5">
      <c r="A18" s="4">
        <v>1</v>
      </c>
      <c r="B18" s="7">
        <v>2479375</v>
      </c>
      <c r="C18" s="7">
        <v>-455125</v>
      </c>
      <c r="D18" s="5">
        <v>-0.18356440635240737</v>
      </c>
      <c r="E18">
        <v>3</v>
      </c>
    </row>
    <row r="19" spans="1:5">
      <c r="A19" s="4"/>
      <c r="B19" s="6">
        <v>6669025</v>
      </c>
      <c r="C19" s="6">
        <v>-696940</v>
      </c>
      <c r="D19" s="5">
        <v>-0.10450403169878655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4496595</v>
      </c>
      <c r="C21" s="7">
        <v>-239855</v>
      </c>
      <c r="D21" s="5">
        <v>-5.3341472825549109E-2</v>
      </c>
      <c r="E21">
        <v>10</v>
      </c>
    </row>
    <row r="22" spans="1:5">
      <c r="A22" s="4"/>
      <c r="B22" s="7"/>
      <c r="C22" s="7">
        <v>385127.4</v>
      </c>
      <c r="D22" s="5"/>
    </row>
    <row r="23" spans="1:5" ht="15.75">
      <c r="A23" s="1" t="s">
        <v>8</v>
      </c>
      <c r="B23" s="6">
        <v>11165620</v>
      </c>
      <c r="C23" s="6">
        <v>-936795</v>
      </c>
      <c r="D23" s="5">
        <v>-8.3899953607591879E-2</v>
      </c>
      <c r="E23">
        <v>27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E8635-4ECB-4AAC-B48F-04E34CC282A8}">
  <dimension ref="A1:F23"/>
  <sheetViews>
    <sheetView workbookViewId="0">
      <selection activeCell="D4" sqref="D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26</v>
      </c>
      <c r="D1" t="s">
        <v>1</v>
      </c>
      <c r="E1">
        <v>1690.55</v>
      </c>
    </row>
    <row r="2" spans="1:6">
      <c r="E2" s="9">
        <f>(E1-E13)/E13</f>
        <v>0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1178100</v>
      </c>
      <c r="C4" s="7">
        <v>-61890</v>
      </c>
      <c r="D4" s="5">
        <f>C4/B4</f>
        <v>-5.2533740769034887E-2</v>
      </c>
      <c r="E4">
        <v>5</v>
      </c>
    </row>
    <row r="5" spans="1:6">
      <c r="A5" s="4">
        <v>3</v>
      </c>
      <c r="B5" s="7">
        <v>3011550</v>
      </c>
      <c r="C5" s="7">
        <v>-179925</v>
      </c>
      <c r="D5" s="5">
        <f>C5/B5</f>
        <v>-5.9744981819993027E-2</v>
      </c>
      <c r="E5">
        <v>9</v>
      </c>
      <c r="F5" s="8"/>
    </row>
    <row r="6" spans="1:6">
      <c r="A6" s="4">
        <v>1</v>
      </c>
      <c r="B6" s="7">
        <v>2479375</v>
      </c>
      <c r="C6" s="7">
        <v>-455125</v>
      </c>
      <c r="D6" s="5">
        <f>C6/B6</f>
        <v>-0.18356440635240737</v>
      </c>
      <c r="E6">
        <v>3</v>
      </c>
    </row>
    <row r="7" spans="1:6">
      <c r="A7" s="4"/>
      <c r="B7" s="6">
        <f>SUM(B4:B6)</f>
        <v>6669025</v>
      </c>
      <c r="C7" s="6">
        <f>SUM(C4:C6)</f>
        <v>-696940</v>
      </c>
      <c r="D7" s="5">
        <f>C7/B7</f>
        <v>-0.10450403169878655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4496595</v>
      </c>
      <c r="C9" s="7">
        <v>-239855</v>
      </c>
      <c r="D9" s="5">
        <f>C9/B9</f>
        <v>-5.3341472825549109E-2</v>
      </c>
      <c r="E9">
        <v>10</v>
      </c>
    </row>
    <row r="10" spans="1:6">
      <c r="A10" s="4"/>
      <c r="B10" s="7"/>
      <c r="C10" s="7">
        <v>385127.4</v>
      </c>
      <c r="D10" s="5"/>
    </row>
    <row r="11" spans="1:6" ht="15.75">
      <c r="A11" s="1" t="s">
        <v>8</v>
      </c>
      <c r="B11" s="6">
        <f>B7+B9</f>
        <v>11165620</v>
      </c>
      <c r="C11" s="6">
        <f>C7+C9</f>
        <v>-936795</v>
      </c>
      <c r="D11" s="5">
        <f>C11/B11</f>
        <v>-8.3899953607591879E-2</v>
      </c>
      <c r="E11">
        <f>E4+E5+E6+E9</f>
        <v>27</v>
      </c>
    </row>
    <row r="13" spans="1:6" ht="15.75">
      <c r="B13" s="1" t="s">
        <v>0</v>
      </c>
      <c r="C13" s="10" t="s">
        <v>27</v>
      </c>
      <c r="D13" t="s">
        <v>1</v>
      </c>
      <c r="E13">
        <v>1690.55</v>
      </c>
    </row>
    <row r="14" spans="1:6">
      <c r="E14" s="9">
        <v>0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1178100</v>
      </c>
      <c r="C16" s="7">
        <v>-58390</v>
      </c>
      <c r="D16" s="5">
        <v>-4.9562855445208387E-2</v>
      </c>
      <c r="E16">
        <v>5</v>
      </c>
    </row>
    <row r="17" spans="1:5">
      <c r="A17" s="4">
        <v>3</v>
      </c>
      <c r="B17" s="7">
        <v>2959050</v>
      </c>
      <c r="C17" s="7">
        <v>-145350</v>
      </c>
      <c r="D17" s="5">
        <v>-4.9120494753383689E-2</v>
      </c>
      <c r="E17">
        <v>9</v>
      </c>
    </row>
    <row r="18" spans="1:5">
      <c r="A18" s="4">
        <v>1</v>
      </c>
      <c r="B18" s="7">
        <v>2479375</v>
      </c>
      <c r="C18" s="7">
        <v>-450250</v>
      </c>
      <c r="D18" s="5">
        <v>-0.18159818502646835</v>
      </c>
      <c r="E18">
        <v>3</v>
      </c>
    </row>
    <row r="19" spans="1:5">
      <c r="A19" s="4"/>
      <c r="B19" s="6">
        <v>6616525</v>
      </c>
      <c r="C19" s="6">
        <v>-653990</v>
      </c>
      <c r="D19" s="5">
        <v>-9.8841914751323395E-2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4430595</v>
      </c>
      <c r="C21" s="7">
        <v>-266645</v>
      </c>
      <c r="D21" s="5">
        <v>-6.0182661696679567E-2</v>
      </c>
      <c r="E21">
        <v>10</v>
      </c>
    </row>
    <row r="22" spans="1:5">
      <c r="A22" s="4"/>
      <c r="B22" s="7"/>
      <c r="C22" s="7">
        <v>377927</v>
      </c>
      <c r="D22" s="5"/>
    </row>
    <row r="23" spans="1:5" ht="15.75">
      <c r="A23" s="1" t="s">
        <v>8</v>
      </c>
      <c r="B23" s="6">
        <v>11047120</v>
      </c>
      <c r="C23" s="6">
        <v>-920635</v>
      </c>
      <c r="D23" s="5">
        <v>-8.3337105055435262E-2</v>
      </c>
      <c r="E23">
        <v>27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6BAD-230F-4AAA-91C2-29149FB78819}">
  <dimension ref="A1:F23"/>
  <sheetViews>
    <sheetView workbookViewId="0">
      <selection activeCell="K15" sqref="K15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27</v>
      </c>
      <c r="D1" t="s">
        <v>1</v>
      </c>
      <c r="E1">
        <v>1690.55</v>
      </c>
    </row>
    <row r="2" spans="1:6">
      <c r="E2" s="9">
        <f>(E1-E13)/E13</f>
        <v>0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1178100</v>
      </c>
      <c r="C4" s="7">
        <v>-58390</v>
      </c>
      <c r="D4" s="5">
        <f>C4/B4</f>
        <v>-4.9562855445208387E-2</v>
      </c>
      <c r="E4">
        <v>5</v>
      </c>
    </row>
    <row r="5" spans="1:6">
      <c r="A5" s="4">
        <v>3</v>
      </c>
      <c r="B5" s="7">
        <v>2959050</v>
      </c>
      <c r="C5" s="7">
        <v>-145350</v>
      </c>
      <c r="D5" s="5">
        <f>C5/B5</f>
        <v>-4.9120494753383689E-2</v>
      </c>
      <c r="E5">
        <v>9</v>
      </c>
      <c r="F5" s="8"/>
    </row>
    <row r="6" spans="1:6">
      <c r="A6" s="4">
        <v>1</v>
      </c>
      <c r="B6" s="7">
        <v>2479375</v>
      </c>
      <c r="C6" s="7">
        <v>-450250</v>
      </c>
      <c r="D6" s="5">
        <f>C6/B6</f>
        <v>-0.18159818502646835</v>
      </c>
      <c r="E6">
        <v>3</v>
      </c>
    </row>
    <row r="7" spans="1:6">
      <c r="A7" s="4"/>
      <c r="B7" s="6">
        <f>SUM(B4:B6)</f>
        <v>6616525</v>
      </c>
      <c r="C7" s="6">
        <f>SUM(C4:C6)</f>
        <v>-653990</v>
      </c>
      <c r="D7" s="5">
        <f>C7/B7</f>
        <v>-9.8841914751323395E-2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4430595</v>
      </c>
      <c r="C9" s="7">
        <v>-266645</v>
      </c>
      <c r="D9" s="5">
        <f>C9/B9</f>
        <v>-6.0182661696679567E-2</v>
      </c>
      <c r="E9">
        <v>10</v>
      </c>
    </row>
    <row r="10" spans="1:6">
      <c r="A10" s="4"/>
      <c r="B10" s="7"/>
      <c r="C10" s="7">
        <v>377927</v>
      </c>
      <c r="D10" s="5"/>
    </row>
    <row r="11" spans="1:6" ht="15.75">
      <c r="A11" s="1" t="s">
        <v>8</v>
      </c>
      <c r="B11" s="6">
        <f>B7+B9</f>
        <v>11047120</v>
      </c>
      <c r="C11" s="6">
        <f>C7+C9</f>
        <v>-920635</v>
      </c>
      <c r="D11" s="5">
        <f>C11/B11</f>
        <v>-8.3337105055435262E-2</v>
      </c>
      <c r="E11">
        <f>E4+E5+E6+E9</f>
        <v>27</v>
      </c>
    </row>
    <row r="13" spans="1:6" ht="15.75">
      <c r="B13" s="1" t="s">
        <v>0</v>
      </c>
      <c r="C13" s="10" t="s">
        <v>28</v>
      </c>
      <c r="D13" t="s">
        <v>1</v>
      </c>
      <c r="E13">
        <v>1690.55</v>
      </c>
    </row>
    <row r="14" spans="1:6">
      <c r="E14" s="9">
        <v>9.6814267114206411E-3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1178100</v>
      </c>
      <c r="C16" s="7">
        <v>-50610</v>
      </c>
      <c r="D16" s="5">
        <v>-4.2959001782531196E-2</v>
      </c>
      <c r="E16">
        <v>5</v>
      </c>
    </row>
    <row r="17" spans="1:5">
      <c r="A17" s="4">
        <v>3</v>
      </c>
      <c r="B17" s="7">
        <v>2730150</v>
      </c>
      <c r="C17" s="7">
        <v>-89625</v>
      </c>
      <c r="D17" s="5">
        <v>-3.2827866600736222E-2</v>
      </c>
      <c r="E17">
        <v>9</v>
      </c>
    </row>
    <row r="18" spans="1:5">
      <c r="A18" s="4">
        <v>1</v>
      </c>
      <c r="B18" s="7">
        <v>2479375</v>
      </c>
      <c r="C18" s="7">
        <v>-420500</v>
      </c>
      <c r="D18" s="5">
        <v>-0.16959919334509704</v>
      </c>
      <c r="E18">
        <v>3</v>
      </c>
    </row>
    <row r="19" spans="1:5">
      <c r="A19" s="4"/>
      <c r="B19" s="6">
        <v>6387625</v>
      </c>
      <c r="C19" s="6">
        <v>-560735</v>
      </c>
      <c r="D19" s="5">
        <v>-8.7784583471947716E-2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4657095</v>
      </c>
      <c r="C21" s="7">
        <v>-262335</v>
      </c>
      <c r="D21" s="5">
        <v>-5.6330180080071374E-2</v>
      </c>
      <c r="E21">
        <v>10</v>
      </c>
    </row>
    <row r="22" spans="1:5">
      <c r="A22" s="4"/>
      <c r="B22" s="7"/>
      <c r="C22" s="7">
        <v>399277</v>
      </c>
      <c r="D22" s="5"/>
    </row>
    <row r="23" spans="1:5" ht="15.75">
      <c r="A23" s="1" t="s">
        <v>8</v>
      </c>
      <c r="B23" s="6">
        <v>11044720</v>
      </c>
      <c r="C23" s="6">
        <v>-823070</v>
      </c>
      <c r="D23" s="5">
        <v>-7.4521581352899852E-2</v>
      </c>
      <c r="E23">
        <v>27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C458-FEA9-4EF8-B4E6-0EC3EADE516A}">
  <dimension ref="A1:F23"/>
  <sheetViews>
    <sheetView workbookViewId="0">
      <selection activeCell="D4" sqref="D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28</v>
      </c>
      <c r="D1" t="s">
        <v>1</v>
      </c>
      <c r="E1">
        <v>1690.55</v>
      </c>
    </row>
    <row r="2" spans="1:6">
      <c r="E2" s="9">
        <f>(E1-E13)/E13</f>
        <v>9.6814267114206411E-3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1178100</v>
      </c>
      <c r="C4" s="7">
        <v>-50610</v>
      </c>
      <c r="D4" s="5">
        <f>C4/B4</f>
        <v>-4.2959001782531196E-2</v>
      </c>
      <c r="E4">
        <v>5</v>
      </c>
    </row>
    <row r="5" spans="1:6">
      <c r="A5" s="4">
        <v>3</v>
      </c>
      <c r="B5" s="7">
        <v>2730150</v>
      </c>
      <c r="C5" s="7">
        <v>-89625</v>
      </c>
      <c r="D5" s="5">
        <f>C5/B5</f>
        <v>-3.2827866600736222E-2</v>
      </c>
      <c r="E5">
        <v>9</v>
      </c>
      <c r="F5" s="8"/>
    </row>
    <row r="6" spans="1:6">
      <c r="A6" s="4">
        <v>1</v>
      </c>
      <c r="B6" s="7">
        <v>2479375</v>
      </c>
      <c r="C6" s="7">
        <v>-420500</v>
      </c>
      <c r="D6" s="5">
        <f>C6/B6</f>
        <v>-0.16959919334509704</v>
      </c>
      <c r="E6">
        <v>3</v>
      </c>
    </row>
    <row r="7" spans="1:6">
      <c r="A7" s="4"/>
      <c r="B7" s="6">
        <f>SUM(B4:B6)</f>
        <v>6387625</v>
      </c>
      <c r="C7" s="6">
        <f>SUM(C4:C6)</f>
        <v>-560735</v>
      </c>
      <c r="D7" s="5">
        <f>C7/B7</f>
        <v>-8.7784583471947716E-2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4657095</v>
      </c>
      <c r="C9" s="7">
        <v>-262335</v>
      </c>
      <c r="D9" s="5">
        <f>C9/B9</f>
        <v>-5.6330180080071374E-2</v>
      </c>
      <c r="E9">
        <v>10</v>
      </c>
    </row>
    <row r="10" spans="1:6">
      <c r="A10" s="4"/>
      <c r="B10" s="7"/>
      <c r="C10" s="7">
        <v>399277</v>
      </c>
      <c r="D10" s="5"/>
    </row>
    <row r="11" spans="1:6" ht="15.75">
      <c r="A11" s="1" t="s">
        <v>8</v>
      </c>
      <c r="B11" s="6">
        <f>B7+B9</f>
        <v>11044720</v>
      </c>
      <c r="C11" s="6">
        <f>C7+C9</f>
        <v>-823070</v>
      </c>
      <c r="D11" s="5">
        <f>C11/B11</f>
        <v>-7.4521581352899852E-2</v>
      </c>
      <c r="E11">
        <f>E4+E5+E6+E9</f>
        <v>27</v>
      </c>
    </row>
    <row r="13" spans="1:6" ht="15.75">
      <c r="B13" s="1" t="s">
        <v>0</v>
      </c>
      <c r="C13" s="10" t="s">
        <v>29</v>
      </c>
      <c r="D13" t="s">
        <v>1</v>
      </c>
      <c r="E13">
        <v>1674.34</v>
      </c>
    </row>
    <row r="14" spans="1:6">
      <c r="E14" s="9">
        <v>-6.9157769869514123E-3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1398100</v>
      </c>
      <c r="C16" s="7">
        <v>-89100</v>
      </c>
      <c r="D16" s="5">
        <v>-6.372934697088907E-2</v>
      </c>
      <c r="E16">
        <v>6</v>
      </c>
    </row>
    <row r="17" spans="1:5">
      <c r="A17" s="4">
        <v>3</v>
      </c>
      <c r="B17" s="7">
        <v>2730150</v>
      </c>
      <c r="C17" s="7">
        <v>-119850</v>
      </c>
      <c r="D17" s="5">
        <v>-4.389868688533597E-2</v>
      </c>
      <c r="E17">
        <v>9</v>
      </c>
    </row>
    <row r="18" spans="1:5">
      <c r="A18" s="4">
        <v>1</v>
      </c>
      <c r="B18" s="7">
        <v>2479375</v>
      </c>
      <c r="C18" s="7">
        <v>-445875</v>
      </c>
      <c r="D18" s="5">
        <v>-0.17983362742626671</v>
      </c>
      <c r="E18">
        <v>3</v>
      </c>
    </row>
    <row r="19" spans="1:5">
      <c r="A19" s="4"/>
      <c r="B19" s="6">
        <v>6607625</v>
      </c>
      <c r="C19" s="6">
        <v>-654825</v>
      </c>
      <c r="D19" s="5">
        <v>-9.9101416923629893E-2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4599595</v>
      </c>
      <c r="C21" s="7">
        <v>-167430</v>
      </c>
      <c r="D21" s="5">
        <v>-3.6401030960334549E-2</v>
      </c>
      <c r="E21">
        <v>11</v>
      </c>
    </row>
    <row r="22" spans="1:5">
      <c r="A22" s="4"/>
      <c r="B22" s="7"/>
      <c r="C22" s="7">
        <v>381951.4</v>
      </c>
      <c r="D22" s="5"/>
    </row>
    <row r="23" spans="1:5" ht="15.75">
      <c r="A23" s="1" t="s">
        <v>8</v>
      </c>
      <c r="B23" s="6">
        <v>11207220</v>
      </c>
      <c r="C23" s="6">
        <v>-822255</v>
      </c>
      <c r="D23" s="5">
        <v>-7.3368328631007507E-2</v>
      </c>
      <c r="E23">
        <v>29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3C3D-0FB3-48BA-88E2-BC175A1A608C}">
  <dimension ref="A1:F23"/>
  <sheetViews>
    <sheetView topLeftCell="A4" workbookViewId="0">
      <selection activeCell="D4" sqref="D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29</v>
      </c>
      <c r="D1" t="s">
        <v>1</v>
      </c>
      <c r="E1">
        <v>1674.34</v>
      </c>
    </row>
    <row r="2" spans="1:6">
      <c r="E2" s="9">
        <f>(E1-E13)/E13</f>
        <v>-6.9157769869514123E-3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1398100</v>
      </c>
      <c r="C4" s="7">
        <v>-89100</v>
      </c>
      <c r="D4" s="5">
        <f>C4/B4</f>
        <v>-6.372934697088907E-2</v>
      </c>
      <c r="E4">
        <v>6</v>
      </c>
    </row>
    <row r="5" spans="1:6">
      <c r="A5" s="4">
        <v>3</v>
      </c>
      <c r="B5" s="7">
        <v>2730150</v>
      </c>
      <c r="C5" s="7">
        <v>-119850</v>
      </c>
      <c r="D5" s="5">
        <f>C5/B5</f>
        <v>-4.389868688533597E-2</v>
      </c>
      <c r="E5">
        <v>9</v>
      </c>
      <c r="F5" s="8"/>
    </row>
    <row r="6" spans="1:6">
      <c r="A6" s="4">
        <v>1</v>
      </c>
      <c r="B6" s="7">
        <v>2479375</v>
      </c>
      <c r="C6" s="7">
        <v>-445875</v>
      </c>
      <c r="D6" s="5">
        <f>C6/B6</f>
        <v>-0.17983362742626671</v>
      </c>
      <c r="E6">
        <v>3</v>
      </c>
    </row>
    <row r="7" spans="1:6">
      <c r="A7" s="4"/>
      <c r="B7" s="6">
        <f>SUM(B4:B6)</f>
        <v>6607625</v>
      </c>
      <c r="C7" s="6">
        <f>SUM(C4:C6)</f>
        <v>-654825</v>
      </c>
      <c r="D7" s="5">
        <f>C7/B7</f>
        <v>-9.9101416923629893E-2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4599595</v>
      </c>
      <c r="C9" s="7">
        <v>-167430</v>
      </c>
      <c r="D9" s="5">
        <f>C9/B9</f>
        <v>-3.6401030960334549E-2</v>
      </c>
      <c r="E9">
        <v>11</v>
      </c>
    </row>
    <row r="10" spans="1:6">
      <c r="A10" s="4"/>
      <c r="B10" s="7"/>
      <c r="C10" s="7">
        <v>381951.4</v>
      </c>
      <c r="D10" s="5"/>
    </row>
    <row r="11" spans="1:6" ht="15.75">
      <c r="A11" s="1" t="s">
        <v>8</v>
      </c>
      <c r="B11" s="6">
        <f>B7+B9</f>
        <v>11207220</v>
      </c>
      <c r="C11" s="6">
        <f>C7+C9</f>
        <v>-822255</v>
      </c>
      <c r="D11" s="5">
        <f>C11/B11</f>
        <v>-7.3368328631007507E-2</v>
      </c>
      <c r="E11">
        <f>E4+E5+E6+E9</f>
        <v>29</v>
      </c>
    </row>
    <row r="13" spans="1:6" ht="15.75">
      <c r="B13" s="1" t="s">
        <v>0</v>
      </c>
      <c r="C13" s="10" t="s">
        <v>30</v>
      </c>
      <c r="D13" t="s">
        <v>1</v>
      </c>
      <c r="E13">
        <v>1686</v>
      </c>
    </row>
    <row r="14" spans="1:6">
      <c r="E14" s="9">
        <v>-5.4505556735329561E-3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1398100</v>
      </c>
      <c r="C16" s="7">
        <v>-87525</v>
      </c>
      <c r="D16" s="5">
        <v>-6.2602818110292544E-2</v>
      </c>
      <c r="E16">
        <v>6</v>
      </c>
    </row>
    <row r="17" spans="1:5">
      <c r="A17" s="4">
        <v>3</v>
      </c>
      <c r="B17" s="7">
        <v>2671650</v>
      </c>
      <c r="C17" s="7">
        <v>-102750</v>
      </c>
      <c r="D17" s="5">
        <v>-3.8459379035427545E-2</v>
      </c>
      <c r="E17">
        <v>9</v>
      </c>
    </row>
    <row r="18" spans="1:5">
      <c r="A18" s="4">
        <v>1</v>
      </c>
      <c r="B18" s="7">
        <v>2479375</v>
      </c>
      <c r="C18" s="7">
        <v>-400250</v>
      </c>
      <c r="D18" s="5">
        <v>-0.16143181245273505</v>
      </c>
      <c r="E18">
        <v>3</v>
      </c>
    </row>
    <row r="19" spans="1:5">
      <c r="A19" s="4"/>
      <c r="B19" s="6">
        <v>6549125</v>
      </c>
      <c r="C19" s="6">
        <v>-590525</v>
      </c>
      <c r="D19" s="5">
        <v>-9.0168533964460895E-2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4599595</v>
      </c>
      <c r="C21" s="7">
        <v>-150930</v>
      </c>
      <c r="D21" s="5">
        <v>-3.281375860265958E-2</v>
      </c>
      <c r="E21">
        <v>11</v>
      </c>
    </row>
    <row r="22" spans="1:5">
      <c r="A22" s="4"/>
      <c r="B22" s="7"/>
      <c r="C22" s="7">
        <v>381951.4</v>
      </c>
      <c r="D22" s="5"/>
    </row>
    <row r="23" spans="1:5" ht="15.75">
      <c r="A23" s="1" t="s">
        <v>8</v>
      </c>
      <c r="B23" s="6">
        <v>11148720</v>
      </c>
      <c r="C23" s="6">
        <v>-741455</v>
      </c>
      <c r="D23" s="5">
        <v>-6.6505841029284085E-2</v>
      </c>
      <c r="E23">
        <v>29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1ACF-A5A9-4108-820D-3A00AB31145F}">
  <dimension ref="A1:F23"/>
  <sheetViews>
    <sheetView workbookViewId="0">
      <selection activeCell="D4" sqref="D4"/>
    </sheetView>
  </sheetViews>
  <sheetFormatPr defaultRowHeight="15"/>
  <cols>
    <col min="1" max="1" width="3.7109375" customWidth="1"/>
    <col min="2" max="2" width="19.5703125" bestFit="1" customWidth="1"/>
    <col min="3" max="3" width="20.85546875" bestFit="1" customWidth="1"/>
    <col min="4" max="4" width="10.42578125" bestFit="1" customWidth="1"/>
    <col min="5" max="5" width="8.140625" bestFit="1" customWidth="1"/>
    <col min="6" max="6" width="13" bestFit="1" customWidth="1"/>
  </cols>
  <sheetData>
    <row r="1" spans="1:6" ht="15.75">
      <c r="B1" s="1" t="s">
        <v>0</v>
      </c>
      <c r="C1" s="10" t="s">
        <v>30</v>
      </c>
      <c r="D1" t="s">
        <v>1</v>
      </c>
      <c r="E1">
        <v>1686</v>
      </c>
    </row>
    <row r="2" spans="1:6">
      <c r="E2" s="9">
        <f>(E1-E13)/E13</f>
        <v>-5.4505556735329561E-3</v>
      </c>
    </row>
    <row r="3" spans="1:6" ht="15.75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6" ht="14.25" customHeight="1">
      <c r="A4" s="4">
        <v>4</v>
      </c>
      <c r="B4" s="7">
        <v>1398100</v>
      </c>
      <c r="C4" s="7">
        <v>-87525</v>
      </c>
      <c r="D4" s="5">
        <f>C4/B4</f>
        <v>-6.2602818110292544E-2</v>
      </c>
      <c r="E4">
        <v>6</v>
      </c>
    </row>
    <row r="5" spans="1:6">
      <c r="A5" s="4">
        <v>3</v>
      </c>
      <c r="B5" s="7">
        <v>2671650</v>
      </c>
      <c r="C5" s="7">
        <v>-102750</v>
      </c>
      <c r="D5" s="5">
        <f>C5/B5</f>
        <v>-3.8459379035427545E-2</v>
      </c>
      <c r="E5">
        <v>9</v>
      </c>
      <c r="F5" s="8"/>
    </row>
    <row r="6" spans="1:6">
      <c r="A6" s="4">
        <v>1</v>
      </c>
      <c r="B6" s="7">
        <v>2479375</v>
      </c>
      <c r="C6" s="7">
        <v>-400250</v>
      </c>
      <c r="D6" s="5">
        <f>C6/B6</f>
        <v>-0.16143181245273505</v>
      </c>
      <c r="E6">
        <v>3</v>
      </c>
    </row>
    <row r="7" spans="1:6">
      <c r="A7" s="4"/>
      <c r="B7" s="6">
        <f>SUM(B4:B6)</f>
        <v>6549125</v>
      </c>
      <c r="C7" s="6">
        <f>SUM(C4:C6)</f>
        <v>-590525</v>
      </c>
      <c r="D7" s="5">
        <f>C7/B7</f>
        <v>-9.0168533964460895E-2</v>
      </c>
    </row>
    <row r="8" spans="1:6" ht="15.75">
      <c r="A8" s="4"/>
      <c r="B8" s="6"/>
      <c r="C8" s="2" t="s">
        <v>7</v>
      </c>
      <c r="D8" s="5"/>
    </row>
    <row r="9" spans="1:6">
      <c r="A9" s="4">
        <v>2</v>
      </c>
      <c r="B9" s="7">
        <v>4599595</v>
      </c>
      <c r="C9" s="7">
        <v>-150930</v>
      </c>
      <c r="D9" s="5">
        <f>C9/B9</f>
        <v>-3.281375860265958E-2</v>
      </c>
      <c r="E9">
        <v>11</v>
      </c>
    </row>
    <row r="10" spans="1:6">
      <c r="A10" s="4"/>
      <c r="B10" s="7"/>
      <c r="C10" s="7">
        <v>381951.4</v>
      </c>
      <c r="D10" s="5"/>
    </row>
    <row r="11" spans="1:6" ht="15.75">
      <c r="A11" s="1" t="s">
        <v>8</v>
      </c>
      <c r="B11" s="6">
        <f>B7+B9</f>
        <v>11148720</v>
      </c>
      <c r="C11" s="6">
        <f>C7+C9</f>
        <v>-741455</v>
      </c>
      <c r="D11" s="5">
        <f>C11/B11</f>
        <v>-6.6505841029284085E-2</v>
      </c>
      <c r="E11">
        <f>E4+E5+E6+E9</f>
        <v>29</v>
      </c>
    </row>
    <row r="13" spans="1:6" ht="15.75">
      <c r="B13" s="1" t="s">
        <v>0</v>
      </c>
      <c r="C13" s="10" t="s">
        <v>31</v>
      </c>
      <c r="D13" t="s">
        <v>1</v>
      </c>
      <c r="E13">
        <v>1695.24</v>
      </c>
    </row>
    <row r="14" spans="1:6">
      <c r="E14" s="9">
        <v>1.0997137404580186E-2</v>
      </c>
    </row>
    <row r="15" spans="1:6" ht="15.75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6">
      <c r="A16" s="4">
        <v>4</v>
      </c>
      <c r="B16" s="7">
        <v>1513600</v>
      </c>
      <c r="C16" s="7">
        <v>-70600</v>
      </c>
      <c r="D16" s="5">
        <v>-4.6643763213530656E-2</v>
      </c>
      <c r="E16">
        <v>6</v>
      </c>
    </row>
    <row r="17" spans="1:5">
      <c r="A17" s="4">
        <v>3</v>
      </c>
      <c r="B17" s="7">
        <v>2341650</v>
      </c>
      <c r="C17" s="7">
        <v>-119550</v>
      </c>
      <c r="D17" s="5">
        <v>-5.1053744154762666E-2</v>
      </c>
      <c r="E17">
        <v>8</v>
      </c>
    </row>
    <row r="18" spans="1:5">
      <c r="A18" s="4">
        <v>1</v>
      </c>
      <c r="B18" s="7">
        <v>2416625</v>
      </c>
      <c r="C18" s="7">
        <v>-365500</v>
      </c>
      <c r="D18" s="5">
        <v>-0.15124398696529251</v>
      </c>
      <c r="E18">
        <v>3</v>
      </c>
    </row>
    <row r="19" spans="1:5">
      <c r="A19" s="4"/>
      <c r="B19" s="6">
        <v>6271875</v>
      </c>
      <c r="C19" s="6">
        <v>-555650</v>
      </c>
      <c r="D19" s="5">
        <v>-8.8593921275535628E-2</v>
      </c>
    </row>
    <row r="20" spans="1:5" ht="15.75">
      <c r="A20" s="4"/>
      <c r="B20" s="6"/>
      <c r="C20" s="2" t="s">
        <v>7</v>
      </c>
      <c r="D20" s="5"/>
    </row>
    <row r="21" spans="1:5">
      <c r="A21" s="4">
        <v>2</v>
      </c>
      <c r="B21" s="7">
        <v>4527595</v>
      </c>
      <c r="C21" s="7">
        <v>-92625</v>
      </c>
      <c r="D21" s="5">
        <v>-2.0457881060474713E-2</v>
      </c>
      <c r="E21">
        <v>11</v>
      </c>
    </row>
    <row r="22" spans="1:5">
      <c r="A22" s="4"/>
      <c r="B22" s="7"/>
      <c r="C22" s="7">
        <v>374751</v>
      </c>
      <c r="D22" s="5"/>
    </row>
    <row r="23" spans="1:5" ht="15.75">
      <c r="A23" s="1" t="s">
        <v>8</v>
      </c>
      <c r="B23" s="6">
        <v>10799470</v>
      </c>
      <c r="C23" s="6">
        <v>-648275</v>
      </c>
      <c r="D23" s="5">
        <v>-6.0028408801543039E-2</v>
      </c>
      <c r="E2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2021-03-08T15:38:37Z</dcterms:created>
  <dcterms:modified xsi:type="dcterms:W3CDTF">2023-03-11T16:11:44Z</dcterms:modified>
  <cp:category/>
  <cp:contentStatus/>
</cp:coreProperties>
</file>