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024"/>
  <workbookPr defaultThemeVersion="166925"/>
  <xr:revisionPtr revIDLastSave="2431" documentId="11_E60897F41BE170836B02CE998F75CCDC64E183C8" xr6:coauthVersionLast="47" xr6:coauthVersionMax="47" xr10:uidLastSave="{8C78E01C-7F68-4FD1-9680-8B21AA5BD7C4}"/>
  <bookViews>
    <workbookView xWindow="240" yWindow="105" windowWidth="14805" windowHeight="8010" xr2:uid="{00000000-000D-0000-FFFF-FFFF00000000}"/>
  </bookViews>
  <sheets>
    <sheet name="1230" sheetId="87" r:id="rId1"/>
    <sheet name="1223" sheetId="86" r:id="rId2"/>
    <sheet name="1209" sheetId="85" r:id="rId3"/>
    <sheet name="1202" sheetId="84" r:id="rId4"/>
    <sheet name="1125" sheetId="83" r:id="rId5"/>
    <sheet name="1118" sheetId="82" r:id="rId6"/>
    <sheet name="1111" sheetId="81" r:id="rId7"/>
    <sheet name="1104" sheetId="80" r:id="rId8"/>
    <sheet name="1031" sheetId="79" r:id="rId9"/>
    <sheet name="1021" sheetId="78" r:id="rId10"/>
    <sheet name="1012" sheetId="77" r:id="rId11"/>
    <sheet name="1007" sheetId="76" r:id="rId12"/>
    <sheet name="0930" sheetId="75" r:id="rId13"/>
    <sheet name="0923" sheetId="74" r:id="rId14"/>
    <sheet name="0916" sheetId="73" r:id="rId15"/>
    <sheet name="0909" sheetId="72" r:id="rId16"/>
    <sheet name="0902" sheetId="71" r:id="rId17"/>
    <sheet name="0831" sheetId="70" r:id="rId18"/>
    <sheet name="0826" sheetId="69" r:id="rId19"/>
    <sheet name="0722" sheetId="68" r:id="rId20"/>
    <sheet name="0708" sheetId="67" r:id="rId21"/>
    <sheet name="0630" sheetId="66" r:id="rId22"/>
    <sheet name="0624" sheetId="65" r:id="rId23"/>
    <sheet name="0617" sheetId="64" r:id="rId24"/>
    <sheet name="0610" sheetId="63" r:id="rId25"/>
    <sheet name="0602" sheetId="62" r:id="rId26"/>
    <sheet name="0527" sheetId="61" r:id="rId27"/>
    <sheet name="0520" sheetId="60" r:id="rId28"/>
    <sheet name="0513" sheetId="59" r:id="rId29"/>
    <sheet name="0506" sheetId="58" r:id="rId30"/>
    <sheet name="0429" sheetId="57" r:id="rId31"/>
    <sheet name="0422" sheetId="56" r:id="rId32"/>
    <sheet name="0415" sheetId="55" r:id="rId33"/>
    <sheet name="0408" sheetId="54" r:id="rId34"/>
    <sheet name="0331" sheetId="53" r:id="rId35"/>
    <sheet name="0325" sheetId="52" r:id="rId36"/>
    <sheet name="0318" sheetId="51" r:id="rId37"/>
    <sheet name="0311" sheetId="50" r:id="rId38"/>
    <sheet name="0304" sheetId="49" r:id="rId39"/>
    <sheet name="0228" sheetId="48" r:id="rId40"/>
    <sheet name="0225" sheetId="47" r:id="rId41"/>
    <sheet name="0218" sheetId="46" r:id="rId42"/>
    <sheet name="0211" sheetId="45" r:id="rId43"/>
    <sheet name="0204" sheetId="44" r:id="rId44"/>
    <sheet name="0131" sheetId="43" r:id="rId45"/>
    <sheet name="0121" sheetId="42" r:id="rId46"/>
    <sheet name="0114" sheetId="41" r:id="rId47"/>
    <sheet name="0107" sheetId="40" r:id="rId48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87" l="1"/>
  <c r="E11" i="87"/>
  <c r="D10" i="87"/>
  <c r="D9" i="87"/>
  <c r="C7" i="87"/>
  <c r="B7" i="87"/>
  <c r="B11" i="87" s="1"/>
  <c r="D6" i="87"/>
  <c r="D5" i="87"/>
  <c r="E2" i="87"/>
  <c r="E11" i="86"/>
  <c r="D10" i="86"/>
  <c r="D9" i="86"/>
  <c r="C7" i="86"/>
  <c r="B7" i="86"/>
  <c r="B11" i="86" s="1"/>
  <c r="D6" i="86"/>
  <c r="D5" i="86"/>
  <c r="D4" i="86"/>
  <c r="E2" i="86"/>
  <c r="E11" i="85"/>
  <c r="D10" i="85"/>
  <c r="D9" i="85"/>
  <c r="C7" i="85"/>
  <c r="B7" i="85"/>
  <c r="B11" i="85" s="1"/>
  <c r="D6" i="85"/>
  <c r="D5" i="85"/>
  <c r="D4" i="85"/>
  <c r="E2" i="85"/>
  <c r="D4" i="84"/>
  <c r="E11" i="84"/>
  <c r="D10" i="84"/>
  <c r="D9" i="84"/>
  <c r="C7" i="84"/>
  <c r="B7" i="84"/>
  <c r="B11" i="84" s="1"/>
  <c r="D6" i="84"/>
  <c r="D5" i="84"/>
  <c r="E2" i="84"/>
  <c r="E11" i="83"/>
  <c r="D10" i="83"/>
  <c r="D9" i="83"/>
  <c r="C7" i="83"/>
  <c r="B7" i="83"/>
  <c r="B11" i="83" s="1"/>
  <c r="D6" i="83"/>
  <c r="D5" i="83"/>
  <c r="D4" i="83"/>
  <c r="E2" i="83"/>
  <c r="E11" i="82"/>
  <c r="D10" i="82"/>
  <c r="D9" i="82"/>
  <c r="C7" i="82"/>
  <c r="B7" i="82"/>
  <c r="B11" i="82" s="1"/>
  <c r="D6" i="82"/>
  <c r="D5" i="82"/>
  <c r="D4" i="82"/>
  <c r="E2" i="82"/>
  <c r="E11" i="81"/>
  <c r="D10" i="81"/>
  <c r="D9" i="81"/>
  <c r="C7" i="81"/>
  <c r="B7" i="81"/>
  <c r="B11" i="81" s="1"/>
  <c r="D6" i="81"/>
  <c r="D5" i="81"/>
  <c r="D4" i="81"/>
  <c r="E2" i="81"/>
  <c r="E11" i="80"/>
  <c r="D10" i="80"/>
  <c r="D9" i="80"/>
  <c r="C7" i="80"/>
  <c r="B7" i="80"/>
  <c r="B11" i="80" s="1"/>
  <c r="D6" i="80"/>
  <c r="D5" i="80"/>
  <c r="D4" i="80"/>
  <c r="E2" i="80"/>
  <c r="E11" i="79"/>
  <c r="D10" i="79"/>
  <c r="D9" i="79"/>
  <c r="C7" i="79"/>
  <c r="B7" i="79"/>
  <c r="B11" i="79" s="1"/>
  <c r="D6" i="79"/>
  <c r="D5" i="79"/>
  <c r="D4" i="79"/>
  <c r="E2" i="79"/>
  <c r="D4" i="78"/>
  <c r="E11" i="78"/>
  <c r="D10" i="78"/>
  <c r="D9" i="78"/>
  <c r="C7" i="78"/>
  <c r="B7" i="78"/>
  <c r="B11" i="78" s="1"/>
  <c r="D6" i="78"/>
  <c r="D5" i="78"/>
  <c r="E2" i="78"/>
  <c r="D10" i="77"/>
  <c r="E11" i="77"/>
  <c r="D9" i="77"/>
  <c r="C7" i="77"/>
  <c r="B7" i="77"/>
  <c r="B11" i="77" s="1"/>
  <c r="D6" i="77"/>
  <c r="D5" i="77"/>
  <c r="D4" i="77"/>
  <c r="E2" i="77"/>
  <c r="E11" i="76"/>
  <c r="D9" i="76"/>
  <c r="C7" i="76"/>
  <c r="B7" i="76"/>
  <c r="B11" i="76" s="1"/>
  <c r="D6" i="76"/>
  <c r="D5" i="76"/>
  <c r="D4" i="76"/>
  <c r="E2" i="76"/>
  <c r="E11" i="75"/>
  <c r="D9" i="75"/>
  <c r="C7" i="75"/>
  <c r="B7" i="75"/>
  <c r="B11" i="75" s="1"/>
  <c r="D6" i="75"/>
  <c r="D5" i="75"/>
  <c r="D4" i="75"/>
  <c r="E2" i="75"/>
  <c r="E11" i="74"/>
  <c r="D9" i="74"/>
  <c r="C7" i="74"/>
  <c r="B7" i="74"/>
  <c r="B11" i="74" s="1"/>
  <c r="D6" i="74"/>
  <c r="D5" i="74"/>
  <c r="D4" i="74"/>
  <c r="E2" i="74"/>
  <c r="E11" i="73"/>
  <c r="D9" i="73"/>
  <c r="C7" i="73"/>
  <c r="B7" i="73"/>
  <c r="B11" i="73" s="1"/>
  <c r="D6" i="73"/>
  <c r="D5" i="73"/>
  <c r="D4" i="73"/>
  <c r="E2" i="73"/>
  <c r="E11" i="72"/>
  <c r="D9" i="72"/>
  <c r="C7" i="72"/>
  <c r="B7" i="72"/>
  <c r="B11" i="72" s="1"/>
  <c r="D6" i="72"/>
  <c r="D5" i="72"/>
  <c r="D4" i="72"/>
  <c r="E2" i="72"/>
  <c r="E11" i="71"/>
  <c r="D9" i="71"/>
  <c r="C7" i="71"/>
  <c r="B7" i="71"/>
  <c r="B11" i="71" s="1"/>
  <c r="D6" i="71"/>
  <c r="D5" i="71"/>
  <c r="D4" i="71"/>
  <c r="E2" i="71"/>
  <c r="E11" i="70"/>
  <c r="D9" i="70"/>
  <c r="C7" i="70"/>
  <c r="B7" i="70"/>
  <c r="B11" i="70" s="1"/>
  <c r="D6" i="70"/>
  <c r="D5" i="70"/>
  <c r="D4" i="70"/>
  <c r="E2" i="70"/>
  <c r="D9" i="69"/>
  <c r="E11" i="69"/>
  <c r="C7" i="69"/>
  <c r="B7" i="69"/>
  <c r="B11" i="69" s="1"/>
  <c r="D6" i="69"/>
  <c r="D5" i="69"/>
  <c r="D4" i="69"/>
  <c r="E2" i="69"/>
  <c r="E11" i="68"/>
  <c r="D9" i="68"/>
  <c r="C7" i="68"/>
  <c r="B7" i="68"/>
  <c r="B11" i="68" s="1"/>
  <c r="D6" i="68"/>
  <c r="D5" i="68"/>
  <c r="D4" i="68"/>
  <c r="E2" i="68"/>
  <c r="E2" i="67"/>
  <c r="E11" i="67"/>
  <c r="D9" i="67"/>
  <c r="C7" i="67"/>
  <c r="B7" i="67"/>
  <c r="B11" i="67" s="1"/>
  <c r="D6" i="67"/>
  <c r="D5" i="67"/>
  <c r="D4" i="67"/>
  <c r="E11" i="66"/>
  <c r="D9" i="66"/>
  <c r="C7" i="66"/>
  <c r="B7" i="66"/>
  <c r="B11" i="66" s="1"/>
  <c r="D6" i="66"/>
  <c r="D5" i="66"/>
  <c r="D4" i="66"/>
  <c r="E2" i="66"/>
  <c r="E11" i="65"/>
  <c r="D9" i="65"/>
  <c r="C7" i="65"/>
  <c r="B7" i="65"/>
  <c r="B11" i="65" s="1"/>
  <c r="D6" i="65"/>
  <c r="D5" i="65"/>
  <c r="D4" i="65"/>
  <c r="E2" i="65"/>
  <c r="E11" i="64"/>
  <c r="D9" i="64"/>
  <c r="C7" i="64"/>
  <c r="B7" i="64"/>
  <c r="B11" i="64" s="1"/>
  <c r="D6" i="64"/>
  <c r="D5" i="64"/>
  <c r="D4" i="64"/>
  <c r="E2" i="64"/>
  <c r="E11" i="63"/>
  <c r="D9" i="63"/>
  <c r="C7" i="63"/>
  <c r="B7" i="63"/>
  <c r="B11" i="63" s="1"/>
  <c r="D6" i="63"/>
  <c r="D5" i="63"/>
  <c r="D4" i="63"/>
  <c r="E2" i="63"/>
  <c r="E11" i="62"/>
  <c r="D9" i="62"/>
  <c r="C7" i="62"/>
  <c r="B7" i="62"/>
  <c r="B11" i="62" s="1"/>
  <c r="D6" i="62"/>
  <c r="D5" i="62"/>
  <c r="D4" i="62"/>
  <c r="E2" i="62"/>
  <c r="E11" i="61"/>
  <c r="D9" i="61"/>
  <c r="C7" i="61"/>
  <c r="B7" i="61"/>
  <c r="B11" i="61" s="1"/>
  <c r="D6" i="61"/>
  <c r="D5" i="61"/>
  <c r="D4" i="61"/>
  <c r="E2" i="61"/>
  <c r="E11" i="60"/>
  <c r="D9" i="60"/>
  <c r="C7" i="60"/>
  <c r="B7" i="60"/>
  <c r="B11" i="60" s="1"/>
  <c r="D6" i="60"/>
  <c r="D5" i="60"/>
  <c r="D4" i="60"/>
  <c r="E2" i="60"/>
  <c r="E11" i="59"/>
  <c r="D9" i="59"/>
  <c r="C7" i="59"/>
  <c r="B7" i="59"/>
  <c r="B11" i="59" s="1"/>
  <c r="D6" i="59"/>
  <c r="D5" i="59"/>
  <c r="D4" i="59"/>
  <c r="E2" i="59"/>
  <c r="E11" i="58"/>
  <c r="D9" i="58"/>
  <c r="C7" i="58"/>
  <c r="B7" i="58"/>
  <c r="B11" i="58" s="1"/>
  <c r="D6" i="58"/>
  <c r="D5" i="58"/>
  <c r="D4" i="58"/>
  <c r="E2" i="58"/>
  <c r="E11" i="57"/>
  <c r="D9" i="57"/>
  <c r="C7" i="57"/>
  <c r="B7" i="57"/>
  <c r="B11" i="57" s="1"/>
  <c r="D6" i="57"/>
  <c r="D5" i="57"/>
  <c r="D4" i="57"/>
  <c r="E2" i="57"/>
  <c r="E2" i="56"/>
  <c r="E11" i="56"/>
  <c r="D9" i="56"/>
  <c r="C7" i="56"/>
  <c r="B7" i="56"/>
  <c r="B11" i="56" s="1"/>
  <c r="D6" i="56"/>
  <c r="D5" i="56"/>
  <c r="D4" i="56"/>
  <c r="E11" i="55"/>
  <c r="D9" i="55"/>
  <c r="C7" i="55"/>
  <c r="B7" i="55"/>
  <c r="B11" i="55" s="1"/>
  <c r="D6" i="55"/>
  <c r="D5" i="55"/>
  <c r="D4" i="55"/>
  <c r="E2" i="55"/>
  <c r="E11" i="54"/>
  <c r="D9" i="54"/>
  <c r="C7" i="54"/>
  <c r="B7" i="54"/>
  <c r="B11" i="54" s="1"/>
  <c r="D6" i="54"/>
  <c r="D5" i="54"/>
  <c r="D4" i="54"/>
  <c r="E2" i="54"/>
  <c r="E11" i="53"/>
  <c r="D9" i="53"/>
  <c r="C7" i="53"/>
  <c r="B7" i="53"/>
  <c r="B11" i="53" s="1"/>
  <c r="D6" i="53"/>
  <c r="D5" i="53"/>
  <c r="D4" i="53"/>
  <c r="E2" i="53"/>
  <c r="E11" i="52"/>
  <c r="D9" i="52"/>
  <c r="C7" i="52"/>
  <c r="B7" i="52"/>
  <c r="B11" i="52" s="1"/>
  <c r="D6" i="52"/>
  <c r="D5" i="52"/>
  <c r="D4" i="52"/>
  <c r="E2" i="52"/>
  <c r="E11" i="51"/>
  <c r="D9" i="51"/>
  <c r="C7" i="51"/>
  <c r="B7" i="51"/>
  <c r="B11" i="51" s="1"/>
  <c r="D6" i="51"/>
  <c r="D5" i="51"/>
  <c r="D4" i="51"/>
  <c r="E2" i="51"/>
  <c r="E11" i="50"/>
  <c r="D9" i="50"/>
  <c r="C7" i="50"/>
  <c r="B7" i="50"/>
  <c r="B11" i="50" s="1"/>
  <c r="D6" i="50"/>
  <c r="D5" i="50"/>
  <c r="D4" i="50"/>
  <c r="E2" i="50"/>
  <c r="E11" i="49"/>
  <c r="D9" i="49"/>
  <c r="C7" i="49"/>
  <c r="B7" i="49"/>
  <c r="B11" i="49" s="1"/>
  <c r="D6" i="49"/>
  <c r="D5" i="49"/>
  <c r="D4" i="49"/>
  <c r="E2" i="49"/>
  <c r="E11" i="48"/>
  <c r="D9" i="48"/>
  <c r="C7" i="48"/>
  <c r="B7" i="48"/>
  <c r="B11" i="48" s="1"/>
  <c r="D6" i="48"/>
  <c r="D5" i="48"/>
  <c r="D4" i="48"/>
  <c r="E2" i="48"/>
  <c r="D4" i="47"/>
  <c r="E11" i="47"/>
  <c r="D9" i="47"/>
  <c r="C7" i="47"/>
  <c r="B7" i="47"/>
  <c r="B11" i="47" s="1"/>
  <c r="D6" i="47"/>
  <c r="D5" i="47"/>
  <c r="E2" i="47"/>
  <c r="D5" i="46"/>
  <c r="E2" i="46"/>
  <c r="E11" i="46"/>
  <c r="D9" i="46"/>
  <c r="C7" i="46"/>
  <c r="B7" i="46"/>
  <c r="B11" i="46" s="1"/>
  <c r="D6" i="46"/>
  <c r="D4" i="46"/>
  <c r="E11" i="45"/>
  <c r="D9" i="45"/>
  <c r="C7" i="45"/>
  <c r="B7" i="45"/>
  <c r="B11" i="45" s="1"/>
  <c r="D6" i="45"/>
  <c r="D5" i="45"/>
  <c r="D4" i="45"/>
  <c r="E2" i="45"/>
  <c r="E11" i="44"/>
  <c r="D9" i="44"/>
  <c r="C7" i="44"/>
  <c r="B7" i="44"/>
  <c r="B11" i="44" s="1"/>
  <c r="D6" i="44"/>
  <c r="D5" i="44"/>
  <c r="D4" i="44"/>
  <c r="E2" i="44"/>
  <c r="E11" i="43"/>
  <c r="D9" i="43"/>
  <c r="C7" i="43"/>
  <c r="B7" i="43"/>
  <c r="B11" i="43" s="1"/>
  <c r="D6" i="43"/>
  <c r="D5" i="43"/>
  <c r="D4" i="43"/>
  <c r="E2" i="43"/>
  <c r="E11" i="42"/>
  <c r="D9" i="42"/>
  <c r="C7" i="42"/>
  <c r="B7" i="42"/>
  <c r="B11" i="42" s="1"/>
  <c r="D6" i="42"/>
  <c r="D5" i="42"/>
  <c r="D4" i="42"/>
  <c r="E2" i="42"/>
  <c r="D6" i="41"/>
  <c r="E11" i="41"/>
  <c r="D9" i="41"/>
  <c r="C7" i="41"/>
  <c r="B7" i="41"/>
  <c r="B11" i="41" s="1"/>
  <c r="D5" i="41"/>
  <c r="D4" i="41"/>
  <c r="E2" i="41"/>
  <c r="E11" i="40"/>
  <c r="D9" i="40"/>
  <c r="C7" i="40"/>
  <c r="B7" i="40"/>
  <c r="B11" i="40" s="1"/>
  <c r="D6" i="40"/>
  <c r="D5" i="40"/>
  <c r="D4" i="40"/>
  <c r="E2" i="40"/>
  <c r="C11" i="87" l="1"/>
  <c r="D11" i="87" s="1"/>
  <c r="D7" i="87"/>
  <c r="C11" i="86"/>
  <c r="D11" i="86" s="1"/>
  <c r="D7" i="86"/>
  <c r="C11" i="85"/>
  <c r="D11" i="85" s="1"/>
  <c r="D7" i="85"/>
  <c r="C11" i="84"/>
  <c r="D11" i="84" s="1"/>
  <c r="D7" i="84"/>
  <c r="C11" i="83"/>
  <c r="D11" i="83" s="1"/>
  <c r="D7" i="83"/>
  <c r="C11" i="82"/>
  <c r="D11" i="82" s="1"/>
  <c r="D7" i="82"/>
  <c r="C11" i="81"/>
  <c r="D11" i="81" s="1"/>
  <c r="D7" i="81"/>
  <c r="C11" i="80"/>
  <c r="D11" i="80" s="1"/>
  <c r="D7" i="80"/>
  <c r="C11" i="79"/>
  <c r="D11" i="79" s="1"/>
  <c r="D7" i="79"/>
  <c r="C11" i="78"/>
  <c r="D11" i="78" s="1"/>
  <c r="D7" i="78"/>
  <c r="C11" i="77"/>
  <c r="D11" i="77" s="1"/>
  <c r="D7" i="77"/>
  <c r="C11" i="76"/>
  <c r="D11" i="76" s="1"/>
  <c r="D7" i="76"/>
  <c r="C11" i="75"/>
  <c r="D11" i="75" s="1"/>
  <c r="D7" i="75"/>
  <c r="C11" i="74"/>
  <c r="D11" i="74" s="1"/>
  <c r="D7" i="74"/>
  <c r="C11" i="73"/>
  <c r="D11" i="73" s="1"/>
  <c r="D7" i="73"/>
  <c r="C11" i="72"/>
  <c r="D11" i="72" s="1"/>
  <c r="D7" i="72"/>
  <c r="C11" i="71"/>
  <c r="D11" i="71" s="1"/>
  <c r="D7" i="71"/>
  <c r="C11" i="70"/>
  <c r="D11" i="70" s="1"/>
  <c r="D7" i="70"/>
  <c r="C11" i="69"/>
  <c r="D11" i="69" s="1"/>
  <c r="D7" i="69"/>
  <c r="C11" i="68"/>
  <c r="D11" i="68" s="1"/>
  <c r="D7" i="68"/>
  <c r="C11" i="67"/>
  <c r="D11" i="67" s="1"/>
  <c r="D7" i="67"/>
  <c r="C11" i="66"/>
  <c r="D11" i="66" s="1"/>
  <c r="D7" i="66"/>
  <c r="C11" i="65"/>
  <c r="D11" i="65" s="1"/>
  <c r="D7" i="65"/>
  <c r="C11" i="64"/>
  <c r="D11" i="64" s="1"/>
  <c r="D7" i="64"/>
  <c r="C11" i="63"/>
  <c r="D11" i="63" s="1"/>
  <c r="D7" i="63"/>
  <c r="C11" i="62"/>
  <c r="D11" i="62" s="1"/>
  <c r="D7" i="62"/>
  <c r="C11" i="61"/>
  <c r="D11" i="61" s="1"/>
  <c r="D7" i="61"/>
  <c r="C11" i="60"/>
  <c r="D11" i="60" s="1"/>
  <c r="D7" i="60"/>
  <c r="C11" i="59"/>
  <c r="D11" i="59" s="1"/>
  <c r="D7" i="59"/>
  <c r="C11" i="58"/>
  <c r="D11" i="58" s="1"/>
  <c r="D7" i="58"/>
  <c r="C11" i="57"/>
  <c r="D11" i="57" s="1"/>
  <c r="D7" i="57"/>
  <c r="C11" i="56"/>
  <c r="D11" i="56" s="1"/>
  <c r="D7" i="56"/>
  <c r="C11" i="55"/>
  <c r="D11" i="55" s="1"/>
  <c r="D7" i="55"/>
  <c r="C11" i="54"/>
  <c r="D11" i="54" s="1"/>
  <c r="D7" i="54"/>
  <c r="C11" i="53"/>
  <c r="D11" i="53" s="1"/>
  <c r="D7" i="53"/>
  <c r="C11" i="52"/>
  <c r="D11" i="52" s="1"/>
  <c r="D7" i="52"/>
  <c r="C11" i="51"/>
  <c r="D11" i="51" s="1"/>
  <c r="D7" i="51"/>
  <c r="C11" i="50"/>
  <c r="D11" i="50" s="1"/>
  <c r="D7" i="50"/>
  <c r="C11" i="49"/>
  <c r="D11" i="49" s="1"/>
  <c r="D7" i="49"/>
  <c r="C11" i="48"/>
  <c r="D11" i="48" s="1"/>
  <c r="D7" i="48"/>
  <c r="C11" i="47"/>
  <c r="D11" i="47" s="1"/>
  <c r="D7" i="47"/>
  <c r="C11" i="46"/>
  <c r="D11" i="46" s="1"/>
  <c r="D7" i="46"/>
  <c r="C11" i="45"/>
  <c r="D11" i="45" s="1"/>
  <c r="D7" i="45"/>
  <c r="C11" i="44"/>
  <c r="D11" i="44" s="1"/>
  <c r="D7" i="44"/>
  <c r="C11" i="43"/>
  <c r="D11" i="43" s="1"/>
  <c r="D7" i="43"/>
  <c r="C11" i="42"/>
  <c r="D11" i="42" s="1"/>
  <c r="D7" i="42"/>
  <c r="C11" i="41"/>
  <c r="D11" i="41" s="1"/>
  <c r="D7" i="41"/>
  <c r="C11" i="40"/>
  <c r="D11" i="40" s="1"/>
  <c r="D7" i="40"/>
</calcChain>
</file>

<file path=xl/sharedStrings.xml><?xml version="1.0" encoding="utf-8"?>
<sst xmlns="http://schemas.openxmlformats.org/spreadsheetml/2006/main" count="937" uniqueCount="46">
  <si>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</si>
  <si>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</si>
  <si>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</si>
  <si>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</si>
  <si>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</si>
  <si>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</si>
  <si>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</si>
  <si>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</si>
  <si>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</si>
  <si>
    <t>09-30</t>
  </si>
  <si>
    <t>09-23</t>
  </si>
  <si>
    <t>09-16</t>
  </si>
  <si>
    <t>09-09</t>
  </si>
  <si>
    <t>09-02</t>
  </si>
  <si>
    <t>08-31</t>
  </si>
  <si>
    <t>08-26</t>
  </si>
  <si>
    <t>07-22</t>
  </si>
  <si>
    <t>07-08</t>
  </si>
  <si>
    <t>06-30</t>
  </si>
  <si>
    <t>06-24</t>
  </si>
  <si>
    <t>06-17</t>
  </si>
  <si>
    <t>06-10</t>
  </si>
  <si>
    <t>06-02</t>
  </si>
  <si>
    <t>05-27</t>
  </si>
  <si>
    <t>05-20</t>
  </si>
  <si>
    <t>05-13</t>
  </si>
  <si>
    <t>05-06</t>
  </si>
  <si>
    <t>04-29</t>
  </si>
  <si>
    <t>04-22</t>
  </si>
  <si>
    <t>04-15</t>
  </si>
  <si>
    <t>04-08</t>
  </si>
  <si>
    <t>03-31</t>
  </si>
  <si>
    <t>03-25</t>
  </si>
  <si>
    <t>03-18</t>
  </si>
  <si>
    <t>03-11</t>
  </si>
  <si>
    <t>03-04</t>
  </si>
  <si>
    <t>02-28</t>
  </si>
  <si>
    <t>02-25</t>
  </si>
  <si>
    <t>02-18</t>
  </si>
  <si>
    <t>02-11</t>
  </si>
  <si>
    <t>02-04</t>
  </si>
  <si>
    <t>01-31</t>
  </si>
  <si>
    <t>01-21</t>
  </si>
  <si>
    <t>01-14</t>
  </si>
  <si>
    <t>01-07</t>
  </si>
  <si>
    <t>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</si>
</sst>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&quot;฿&quot;#,##0.00"/>
  </numFmts>
  <fonts count="4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87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87" fontId="2" fillId="0" borderId="0" xfId="0" applyNumberFormat="1" applyFont="1"/>
    <xf numFmtId="187" fontId="3" fillId="2" borderId="0" xfId="0" applyNumberFormat="1" applyFont="1" applyFill="1" applyAlignment="1">
      <alignment wrapText="1"/>
    </xf>
    <xf numFmtId="187" fontId="0" fillId="0" borderId="0" xfId="0" applyNumberFormat="1"/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DAE9E-5892-4688-B0B8-49B7ABD40E7A}">
  <dimension ref="A1:F23"/>
  <sheetViews>
    <sheetView tabSelected="1"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44925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-37800</v>
      </c>
      <c r="D4" s="5">
        <f>C4/B4</f>
        <v>-0.15555555555555556</v>
      </c>
      <c r="E4">
        <v>1</v>
      </c>
    </row>
    <row r="5" spans="1:6">
      <c r="A5" s="4">
        <v>3</v>
      </c>
      <c r="B5" s="7">
        <v>2767500</v>
      </c>
      <c r="C5" s="7">
        <v>-538500</v>
      </c>
      <c r="D5" s="5">
        <f>C5/B5</f>
        <v>-0.194579945799458</v>
      </c>
      <c r="E5">
        <v>8</v>
      </c>
      <c r="F5" s="8"/>
    </row>
    <row r="6" spans="1:6">
      <c r="A6" s="4">
        <v>1</v>
      </c>
      <c r="B6" s="7">
        <v>2734950</v>
      </c>
      <c r="C6" s="7">
        <v>-951750</v>
      </c>
      <c r="D6" s="5">
        <f>C6/B6</f>
        <v>-0.34799539296879284</v>
      </c>
      <c r="E6">
        <v>5</v>
      </c>
    </row>
    <row r="7" spans="1:6">
      <c r="A7" s="4"/>
      <c r="B7" s="6">
        <f>SUM(B4:B6)</f>
        <v>5745450</v>
      </c>
      <c r="C7" s="6">
        <f>SUM(C4:C6)</f>
        <v>-1528050</v>
      </c>
      <c r="D7" s="5">
        <f>C7/B7</f>
        <v>-0.26595828003028482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-703700</v>
      </c>
      <c r="D9" s="5">
        <f>C9/B9</f>
        <v>-0.13132896627661758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11103750</v>
      </c>
      <c r="C11" s="6">
        <f>C7+C9</f>
        <v>-2231750</v>
      </c>
      <c r="D11" s="5">
        <f>C11/B11</f>
        <v>-0.20099065630980525</v>
      </c>
      <c r="E11">
        <f>E4+E5+E6+E9</f>
        <v>26</v>
      </c>
    </row>
    <row r="13" spans="1:6" ht="15.75">
      <c r="B13" s="1" t="s">
        <v>0</v>
      </c>
      <c r="C13" s="10">
        <v>44918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-42600</v>
      </c>
      <c r="D16" s="5">
        <v>-0.17530864197530865</v>
      </c>
      <c r="E16">
        <v>1</v>
      </c>
    </row>
    <row r="17" spans="1:5">
      <c r="A17" s="4">
        <v>3</v>
      </c>
      <c r="B17" s="7">
        <v>2818500</v>
      </c>
      <c r="C17" s="7">
        <v>-631550</v>
      </c>
      <c r="D17" s="5">
        <v>-0.22407308852226362</v>
      </c>
      <c r="E17">
        <v>8</v>
      </c>
    </row>
    <row r="18" spans="1:5">
      <c r="A18" s="4">
        <v>1</v>
      </c>
      <c r="B18" s="7">
        <v>2990450</v>
      </c>
      <c r="C18" s="7">
        <v>-1084200</v>
      </c>
      <c r="D18" s="5">
        <v>-0.36255413064923342</v>
      </c>
      <c r="E18">
        <v>5</v>
      </c>
    </row>
    <row r="19" spans="1:5">
      <c r="A19" s="4"/>
      <c r="B19" s="6">
        <v>6051950</v>
      </c>
      <c r="C19" s="6">
        <v>-1758350</v>
      </c>
      <c r="D19" s="5">
        <v>-0.29054271763646428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-740500</v>
      </c>
      <c r="D21" s="5">
        <v>-0.13819681615437732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11410250</v>
      </c>
      <c r="C23" s="6">
        <v>-2498850</v>
      </c>
      <c r="D23" s="5">
        <v>-0.21900046011261803</v>
      </c>
      <c r="E23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5337A-3AF7-4E82-A563-E0179D83D079}">
  <dimension ref="A1:F23"/>
  <sheetViews>
    <sheetView topLeftCell="B1"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44918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-42600</v>
      </c>
      <c r="D4" s="5">
        <f>C4/B4</f>
        <v>-0.17530864197530865</v>
      </c>
      <c r="E4">
        <v>1</v>
      </c>
    </row>
    <row r="5" spans="1:6">
      <c r="A5" s="4">
        <v>3</v>
      </c>
      <c r="B5" s="7">
        <v>2818500</v>
      </c>
      <c r="C5" s="7">
        <v>-631550</v>
      </c>
      <c r="D5" s="5">
        <f>C5/B5</f>
        <v>-0.22407308852226362</v>
      </c>
      <c r="E5">
        <v>8</v>
      </c>
      <c r="F5" s="8"/>
    </row>
    <row r="6" spans="1:6">
      <c r="A6" s="4">
        <v>1</v>
      </c>
      <c r="B6" s="7">
        <v>2990450</v>
      </c>
      <c r="C6" s="7">
        <v>-1084200</v>
      </c>
      <c r="D6" s="5">
        <f>C6/B6</f>
        <v>-0.36255413064923342</v>
      </c>
      <c r="E6">
        <v>5</v>
      </c>
    </row>
    <row r="7" spans="1:6">
      <c r="A7" s="4"/>
      <c r="B7" s="6">
        <f>SUM(B4:B6)</f>
        <v>6051950</v>
      </c>
      <c r="C7" s="6">
        <f>SUM(C4:C6)</f>
        <v>-1758350</v>
      </c>
      <c r="D7" s="5">
        <f>C7/B7</f>
        <v>-0.29054271763646428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-740500</v>
      </c>
      <c r="D9" s="5">
        <f>C9/B9</f>
        <v>-0.13819681615437732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11410250</v>
      </c>
      <c r="C11" s="6">
        <f>C7+C9</f>
        <v>-2498850</v>
      </c>
      <c r="D11" s="5">
        <f>C11/B11</f>
        <v>-0.21900046011261803</v>
      </c>
      <c r="E11">
        <f>E4+E5+E6+E9</f>
        <v>26</v>
      </c>
    </row>
    <row r="13" spans="1:6" ht="15.75">
      <c r="B13" s="1" t="s">
        <v>0</v>
      </c>
      <c r="C13" s="10">
        <v>44904</v>
      </c>
      <c r="D13" t="s">
        <v>1</v>
      </c>
      <c r="E13">
        <v>1623.13</v>
      </c>
    </row>
    <row r="14" spans="1:6">
      <c r="E14" s="9">
        <v>-1.126928723281129E-2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291600</v>
      </c>
      <c r="C16" s="7">
        <v>-57120</v>
      </c>
      <c r="D16" s="5">
        <v>-0.19588477366255144</v>
      </c>
      <c r="E16">
        <v>2</v>
      </c>
    </row>
    <row r="17" spans="1:5">
      <c r="A17" s="4">
        <v>3</v>
      </c>
      <c r="B17" s="7">
        <v>2553750</v>
      </c>
      <c r="C17" s="7">
        <v>-561550</v>
      </c>
      <c r="D17" s="5">
        <v>-0.21989231522271169</v>
      </c>
      <c r="E17">
        <v>6</v>
      </c>
    </row>
    <row r="18" spans="1:5">
      <c r="A18" s="4">
        <v>1</v>
      </c>
      <c r="B18" s="7">
        <v>2990450</v>
      </c>
      <c r="C18" s="7">
        <v>-1106200</v>
      </c>
      <c r="D18" s="5">
        <v>-0.36991088297747832</v>
      </c>
      <c r="E18">
        <v>5</v>
      </c>
    </row>
    <row r="19" spans="1:5">
      <c r="A19" s="4"/>
      <c r="B19" s="6">
        <v>5835800</v>
      </c>
      <c r="C19" s="6">
        <v>-1724870</v>
      </c>
      <c r="D19" s="5">
        <v>-0.29556701737550978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-809300</v>
      </c>
      <c r="D21" s="5">
        <v>-0.15103670940410205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11194100</v>
      </c>
      <c r="C23" s="6">
        <v>-2534170</v>
      </c>
      <c r="D23" s="5">
        <v>-0.22638443465754282</v>
      </c>
      <c r="E23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B25F7-2A12-4AC1-9D7D-356A85181936}">
  <dimension ref="A1:F23"/>
  <sheetViews>
    <sheetView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44904</v>
      </c>
      <c r="D1" t="s">
        <v>1</v>
      </c>
      <c r="E1">
        <v>1623.13</v>
      </c>
    </row>
    <row r="2" spans="1:6">
      <c r="E2" s="9">
        <f>(E1-E13)/E13</f>
        <v>-1.126928723281129E-2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291600</v>
      </c>
      <c r="C4" s="7">
        <v>-57120</v>
      </c>
      <c r="D4" s="5">
        <f>C4/B4</f>
        <v>-0.19588477366255144</v>
      </c>
      <c r="E4">
        <v>2</v>
      </c>
    </row>
    <row r="5" spans="1:6">
      <c r="A5" s="4">
        <v>3</v>
      </c>
      <c r="B5" s="7">
        <v>2553750</v>
      </c>
      <c r="C5" s="7">
        <v>-561550</v>
      </c>
      <c r="D5" s="5">
        <f>C5/B5</f>
        <v>-0.21989231522271169</v>
      </c>
      <c r="E5">
        <v>6</v>
      </c>
      <c r="F5" s="8"/>
    </row>
    <row r="6" spans="1:6">
      <c r="A6" s="4">
        <v>1</v>
      </c>
      <c r="B6" s="7">
        <v>2990450</v>
      </c>
      <c r="C6" s="7">
        <v>-1106200</v>
      </c>
      <c r="D6" s="5">
        <f>C6/B6</f>
        <v>-0.36991088297747832</v>
      </c>
      <c r="E6">
        <v>5</v>
      </c>
    </row>
    <row r="7" spans="1:6">
      <c r="A7" s="4"/>
      <c r="B7" s="6">
        <f>SUM(B4:B6)</f>
        <v>5835800</v>
      </c>
      <c r="C7" s="6">
        <f>SUM(C4:C6)</f>
        <v>-1724870</v>
      </c>
      <c r="D7" s="5">
        <f>C7/B7</f>
        <v>-0.29556701737550978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-809300</v>
      </c>
      <c r="D9" s="5">
        <f>C9/B9</f>
        <v>-0.15103670940410205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11194100</v>
      </c>
      <c r="C11" s="6">
        <f>C7+C9</f>
        <v>-2534170</v>
      </c>
      <c r="D11" s="5">
        <f>C11/B11</f>
        <v>-0.22638443465754282</v>
      </c>
      <c r="E11">
        <f>E4+E5+E6+E9</f>
        <v>25</v>
      </c>
    </row>
    <row r="13" spans="1:6" ht="15.75">
      <c r="B13" s="1" t="s">
        <v>0</v>
      </c>
      <c r="C13" s="10">
        <v>44897</v>
      </c>
      <c r="D13" t="s">
        <v>1</v>
      </c>
      <c r="E13">
        <v>1641.63</v>
      </c>
    </row>
    <row r="14" spans="1:6">
      <c r="E14" s="9">
        <v>1.2826682460946294E-2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-72600</v>
      </c>
      <c r="D16" s="5">
        <v>-0.21340388007054673</v>
      </c>
      <c r="E16">
        <v>2</v>
      </c>
    </row>
    <row r="17" spans="1:5">
      <c r="A17" s="4">
        <v>3</v>
      </c>
      <c r="B17" s="7">
        <v>2553750</v>
      </c>
      <c r="C17" s="7">
        <v>-558350</v>
      </c>
      <c r="D17" s="5">
        <v>-0.21863925599608419</v>
      </c>
      <c r="E17">
        <v>6</v>
      </c>
    </row>
    <row r="18" spans="1:5">
      <c r="A18" s="4">
        <v>1</v>
      </c>
      <c r="B18" s="7">
        <v>2990450</v>
      </c>
      <c r="C18" s="7">
        <v>-1086950</v>
      </c>
      <c r="D18" s="5">
        <v>-0.36347372469026401</v>
      </c>
      <c r="E18">
        <v>5</v>
      </c>
    </row>
    <row r="19" spans="1:5">
      <c r="A19" s="4"/>
      <c r="B19" s="6">
        <v>5884400</v>
      </c>
      <c r="C19" s="6">
        <v>-1717900</v>
      </c>
      <c r="D19" s="5">
        <v>-0.29194140439127186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-777300</v>
      </c>
      <c r="D21" s="5">
        <v>-0.14506466603213705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11242700</v>
      </c>
      <c r="C23" s="6">
        <v>-2495200</v>
      </c>
      <c r="D23" s="5">
        <v>-0.22193956967632331</v>
      </c>
      <c r="E23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BD0F-E711-40AB-B04C-504DAC97DAD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44897</v>
      </c>
      <c r="D1" t="s">
        <v>1</v>
      </c>
      <c r="E1">
        <v>1641.63</v>
      </c>
    </row>
    <row r="2" spans="1:6">
      <c r="E2" s="9">
        <f>(E1-E13)/E13</f>
        <v>1.2826682460946294E-2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-72600</v>
      </c>
      <c r="D4" s="5">
        <f>C4/B4</f>
        <v>-0.21340388007054673</v>
      </c>
      <c r="E4">
        <v>2</v>
      </c>
    </row>
    <row r="5" spans="1:6">
      <c r="A5" s="4">
        <v>3</v>
      </c>
      <c r="B5" s="7">
        <v>2553750</v>
      </c>
      <c r="C5" s="7">
        <v>-558350</v>
      </c>
      <c r="D5" s="5">
        <f>C5/B5</f>
        <v>-0.21863925599608419</v>
      </c>
      <c r="E5">
        <v>6</v>
      </c>
      <c r="F5" s="8"/>
    </row>
    <row r="6" spans="1:6">
      <c r="A6" s="4">
        <v>1</v>
      </c>
      <c r="B6" s="7">
        <v>2990450</v>
      </c>
      <c r="C6" s="7">
        <v>-1086950</v>
      </c>
      <c r="D6" s="5">
        <f>C6/B6</f>
        <v>-0.36347372469026401</v>
      </c>
      <c r="E6">
        <v>5</v>
      </c>
    </row>
    <row r="7" spans="1:6">
      <c r="A7" s="4"/>
      <c r="B7" s="6">
        <f>SUM(B4:B6)</f>
        <v>5884400</v>
      </c>
      <c r="C7" s="6">
        <f>SUM(C4:C6)</f>
        <v>-1717900</v>
      </c>
      <c r="D7" s="5">
        <f>C7/B7</f>
        <v>-0.29194140439127186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-777300</v>
      </c>
      <c r="D9" s="5">
        <f>C9/B9</f>
        <v>-0.14506466603213705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11242700</v>
      </c>
      <c r="C11" s="6">
        <f>C7+C9</f>
        <v>-2495200</v>
      </c>
      <c r="D11" s="5">
        <f>C11/B11</f>
        <v>-0.22193956967632331</v>
      </c>
      <c r="E11">
        <f>E4+E5+E6+E9</f>
        <v>25</v>
      </c>
    </row>
    <row r="13" spans="1:6" ht="15.75">
      <c r="B13" s="1" t="s">
        <v>0</v>
      </c>
      <c r="C13" s="10">
        <v>44890</v>
      </c>
      <c r="D13" t="s">
        <v>1</v>
      </c>
      <c r="E13">
        <v>1620.84</v>
      </c>
    </row>
    <row r="14" spans="1:6">
      <c r="E14" s="9">
        <v>2.1392622636608643E-3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-72720</v>
      </c>
      <c r="D16" s="5">
        <v>-0.21375661375661376</v>
      </c>
      <c r="E16">
        <v>2</v>
      </c>
    </row>
    <row r="17" spans="1:5">
      <c r="A17" s="4">
        <v>3</v>
      </c>
      <c r="B17" s="7">
        <v>2553750</v>
      </c>
      <c r="C17" s="7">
        <v>-640825</v>
      </c>
      <c r="D17" s="5">
        <v>-0.25093489965736659</v>
      </c>
      <c r="E17">
        <v>6</v>
      </c>
    </row>
    <row r="18" spans="1:5">
      <c r="A18" s="4">
        <v>1</v>
      </c>
      <c r="B18" s="7">
        <v>2990450</v>
      </c>
      <c r="C18" s="7">
        <v>-1101250</v>
      </c>
      <c r="D18" s="5">
        <v>-0.3682556137036232</v>
      </c>
      <c r="E18">
        <v>5</v>
      </c>
    </row>
    <row r="19" spans="1:5">
      <c r="A19" s="4"/>
      <c r="B19" s="6">
        <v>5884400</v>
      </c>
      <c r="C19" s="6">
        <v>-1814795</v>
      </c>
      <c r="D19" s="5">
        <v>-0.30840782407722112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5283300</v>
      </c>
      <c r="C21" s="7">
        <v>-791200</v>
      </c>
      <c r="D21" s="5">
        <v>-0.14975488804345768</v>
      </c>
      <c r="E21">
        <v>11</v>
      </c>
    </row>
    <row r="22" spans="1:5">
      <c r="A22" s="4"/>
      <c r="B22" s="7"/>
      <c r="C22" s="7">
        <v>470895</v>
      </c>
      <c r="D22" s="5">
        <v>8.9128953494974739E-2</v>
      </c>
    </row>
    <row r="23" spans="1:5" ht="15.75">
      <c r="A23" s="1" t="s">
        <v>8</v>
      </c>
      <c r="B23" s="6">
        <v>11167700</v>
      </c>
      <c r="C23" s="6">
        <v>-2605995</v>
      </c>
      <c r="D23" s="5">
        <v>-0.2333510928839421</v>
      </c>
      <c r="E23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48857-6133-4F63-8B69-BD836A7A1BC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44890</v>
      </c>
      <c r="D1" t="s">
        <v>1</v>
      </c>
      <c r="E1">
        <v>1620.84</v>
      </c>
    </row>
    <row r="2" spans="1:6">
      <c r="E2" s="9">
        <f>(E1-E13)/E13</f>
        <v>2.1392622636608643E-3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-72720</v>
      </c>
      <c r="D4" s="5">
        <f>C4/B4</f>
        <v>-0.21375661375661376</v>
      </c>
      <c r="E4">
        <v>2</v>
      </c>
    </row>
    <row r="5" spans="1:6">
      <c r="A5" s="4">
        <v>3</v>
      </c>
      <c r="B5" s="7">
        <v>2553750</v>
      </c>
      <c r="C5" s="7">
        <v>-640825</v>
      </c>
      <c r="D5" s="5">
        <f>C5/B5</f>
        <v>-0.25093489965736659</v>
      </c>
      <c r="E5">
        <v>6</v>
      </c>
      <c r="F5" s="8"/>
    </row>
    <row r="6" spans="1:6">
      <c r="A6" s="4">
        <v>1</v>
      </c>
      <c r="B6" s="7">
        <v>2990450</v>
      </c>
      <c r="C6" s="7">
        <v>-1101250</v>
      </c>
      <c r="D6" s="5">
        <f>C6/B6</f>
        <v>-0.3682556137036232</v>
      </c>
      <c r="E6">
        <v>5</v>
      </c>
    </row>
    <row r="7" spans="1:6">
      <c r="A7" s="4"/>
      <c r="B7" s="6">
        <f>SUM(B4:B6)</f>
        <v>5884400</v>
      </c>
      <c r="C7" s="6">
        <f>SUM(C4:C6)</f>
        <v>-1814795</v>
      </c>
      <c r="D7" s="5">
        <f>C7/B7</f>
        <v>-0.30840782407722112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5283300</v>
      </c>
      <c r="C9" s="7">
        <v>-791200</v>
      </c>
      <c r="D9" s="5">
        <f>C9/B9</f>
        <v>-0.14975488804345768</v>
      </c>
      <c r="E9">
        <v>11</v>
      </c>
    </row>
    <row r="10" spans="1:6">
      <c r="A10" s="4"/>
      <c r="B10" s="7"/>
      <c r="C10" s="7">
        <v>470895</v>
      </c>
      <c r="D10" s="5">
        <f>C10/B9</f>
        <v>8.9128953494974739E-2</v>
      </c>
    </row>
    <row r="11" spans="1:6" ht="15.75">
      <c r="A11" s="1" t="s">
        <v>8</v>
      </c>
      <c r="B11" s="6">
        <f>B7+B9</f>
        <v>11167700</v>
      </c>
      <c r="C11" s="6">
        <f>C7+C9</f>
        <v>-2605995</v>
      </c>
      <c r="D11" s="5">
        <f>C11/B11</f>
        <v>-0.2333510928839421</v>
      </c>
      <c r="E11">
        <f>E4+E5+E6+E9</f>
        <v>24</v>
      </c>
    </row>
    <row r="13" spans="1:6" ht="15.75">
      <c r="B13" s="1" t="s">
        <v>0</v>
      </c>
      <c r="C13" s="10">
        <v>44883</v>
      </c>
      <c r="D13" t="s">
        <v>1</v>
      </c>
      <c r="E13">
        <v>1617.38</v>
      </c>
    </row>
    <row r="14" spans="1:6">
      <c r="E14" s="9">
        <v>-1.2160338119697705E-2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-67560</v>
      </c>
      <c r="D16" s="5">
        <v>-0.19858906525573192</v>
      </c>
      <c r="E16">
        <v>2</v>
      </c>
    </row>
    <row r="17" spans="1:5">
      <c r="A17" s="4">
        <v>3</v>
      </c>
      <c r="B17" s="7">
        <v>2658750</v>
      </c>
      <c r="C17" s="7">
        <v>-573150</v>
      </c>
      <c r="D17" s="5">
        <v>-0.21557122708039492</v>
      </c>
      <c r="E17">
        <v>7</v>
      </c>
    </row>
    <row r="18" spans="1:5">
      <c r="A18" s="4">
        <v>1</v>
      </c>
      <c r="B18" s="7">
        <v>2990450</v>
      </c>
      <c r="C18" s="7">
        <v>-1086350</v>
      </c>
      <c r="D18" s="5">
        <v>-0.36327308599040276</v>
      </c>
      <c r="E18">
        <v>5</v>
      </c>
    </row>
    <row r="19" spans="1:5">
      <c r="A19" s="4"/>
      <c r="B19" s="6">
        <v>5989400</v>
      </c>
      <c r="C19" s="6">
        <v>-1727060</v>
      </c>
      <c r="D19" s="5">
        <v>-0.28835275653654791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5189100</v>
      </c>
      <c r="C21" s="7">
        <v>-700200</v>
      </c>
      <c r="D21" s="5">
        <v>-0.13493669422443197</v>
      </c>
      <c r="E21">
        <v>11</v>
      </c>
    </row>
    <row r="22" spans="1:5">
      <c r="A22" s="4"/>
      <c r="B22" s="7"/>
      <c r="C22" s="7">
        <v>470895</v>
      </c>
      <c r="D22" s="5">
        <v>9.074695033820894E-2</v>
      </c>
    </row>
    <row r="23" spans="1:5" ht="15.75">
      <c r="A23" s="1" t="s">
        <v>8</v>
      </c>
      <c r="B23" s="6">
        <v>11178500</v>
      </c>
      <c r="C23" s="6">
        <v>-2427260</v>
      </c>
      <c r="D23" s="5">
        <v>-0.21713646732566982</v>
      </c>
      <c r="E23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DDB9-2F12-43CB-8C09-0C6CA6EFFA7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44883</v>
      </c>
      <c r="D1" t="s">
        <v>1</v>
      </c>
      <c r="E1">
        <v>1617.38</v>
      </c>
    </row>
    <row r="2" spans="1:6">
      <c r="E2" s="9">
        <f>(E1-E13)/E13</f>
        <v>-1.2160338119697705E-2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-67560</v>
      </c>
      <c r="D4" s="5">
        <f>C4/B4</f>
        <v>-0.19858906525573192</v>
      </c>
      <c r="E4">
        <v>2</v>
      </c>
    </row>
    <row r="5" spans="1:6">
      <c r="A5" s="4">
        <v>3</v>
      </c>
      <c r="B5" s="7">
        <v>2658750</v>
      </c>
      <c r="C5" s="7">
        <v>-573150</v>
      </c>
      <c r="D5" s="5">
        <f>C5/B5</f>
        <v>-0.21557122708039492</v>
      </c>
      <c r="E5">
        <v>7</v>
      </c>
      <c r="F5" s="8"/>
    </row>
    <row r="6" spans="1:6">
      <c r="A6" s="4">
        <v>1</v>
      </c>
      <c r="B6" s="7">
        <v>2990450</v>
      </c>
      <c r="C6" s="7">
        <v>-1086350</v>
      </c>
      <c r="D6" s="5">
        <f>C6/B6</f>
        <v>-0.36327308599040276</v>
      </c>
      <c r="E6">
        <v>5</v>
      </c>
    </row>
    <row r="7" spans="1:6">
      <c r="A7" s="4"/>
      <c r="B7" s="6">
        <f>SUM(B4:B6)</f>
        <v>5989400</v>
      </c>
      <c r="C7" s="6">
        <f>SUM(C4:C6)</f>
        <v>-1727060</v>
      </c>
      <c r="D7" s="5">
        <f>C7/B7</f>
        <v>-0.28835275653654791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5189100</v>
      </c>
      <c r="C9" s="7">
        <v>-700200</v>
      </c>
      <c r="D9" s="5">
        <f>C9/B9</f>
        <v>-0.13493669422443197</v>
      </c>
      <c r="E9">
        <v>11</v>
      </c>
    </row>
    <row r="10" spans="1:6">
      <c r="A10" s="4"/>
      <c r="B10" s="7"/>
      <c r="C10" s="7">
        <v>470895</v>
      </c>
      <c r="D10" s="5">
        <f>C10/B9</f>
        <v>9.074695033820894E-2</v>
      </c>
    </row>
    <row r="11" spans="1:6" ht="15.75">
      <c r="A11" s="1" t="s">
        <v>8</v>
      </c>
      <c r="B11" s="6">
        <f>B7+B9</f>
        <v>11178500</v>
      </c>
      <c r="C11" s="6">
        <f>C7+C9</f>
        <v>-2427260</v>
      </c>
      <c r="D11" s="5">
        <f>C11/B11</f>
        <v>-0.21713646732566982</v>
      </c>
      <c r="E11">
        <f>E4+E5+E6+E9</f>
        <v>25</v>
      </c>
    </row>
    <row r="13" spans="1:6" ht="15.75">
      <c r="B13" s="1" t="s">
        <v>0</v>
      </c>
      <c r="C13" s="10">
        <v>44876</v>
      </c>
      <c r="D13" t="s">
        <v>1</v>
      </c>
      <c r="E13">
        <v>1637.29</v>
      </c>
    </row>
    <row r="14" spans="1:6">
      <c r="E14" s="9">
        <v>6.7452899798317841E-3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388800</v>
      </c>
      <c r="C16" s="7">
        <v>-87360</v>
      </c>
      <c r="D16" s="5">
        <v>-0.22469135802469137</v>
      </c>
      <c r="E16">
        <v>2</v>
      </c>
    </row>
    <row r="17" spans="1:5">
      <c r="A17" s="4">
        <v>3</v>
      </c>
      <c r="B17" s="7">
        <v>2553750</v>
      </c>
      <c r="C17" s="7">
        <v>-659950</v>
      </c>
      <c r="D17" s="5">
        <v>-0.2584238864415076</v>
      </c>
      <c r="E17">
        <v>6</v>
      </c>
    </row>
    <row r="18" spans="1:5">
      <c r="A18" s="4">
        <v>1</v>
      </c>
      <c r="B18" s="7">
        <v>2990450</v>
      </c>
      <c r="C18" s="7">
        <v>-1038350</v>
      </c>
      <c r="D18" s="5">
        <v>-0.34722199000150478</v>
      </c>
      <c r="E18">
        <v>5</v>
      </c>
    </row>
    <row r="19" spans="1:5">
      <c r="A19" s="4"/>
      <c r="B19" s="6">
        <v>5933000</v>
      </c>
      <c r="C19" s="6">
        <v>-1785660</v>
      </c>
      <c r="D19" s="5">
        <v>-0.30097084105848643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5003100</v>
      </c>
      <c r="C21" s="7">
        <v>-693500</v>
      </c>
      <c r="D21" s="5">
        <v>-0.13861405928324438</v>
      </c>
      <c r="E21">
        <v>11</v>
      </c>
    </row>
    <row r="22" spans="1:5">
      <c r="A22" s="4"/>
      <c r="B22" s="7"/>
      <c r="C22" s="7">
        <v>461836</v>
      </c>
      <c r="D22" s="5">
        <v>9.2309967819951627E-2</v>
      </c>
    </row>
    <row r="23" spans="1:5" ht="15.75">
      <c r="A23" s="1" t="s">
        <v>8</v>
      </c>
      <c r="B23" s="6">
        <v>10936100</v>
      </c>
      <c r="C23" s="6">
        <v>-2479160</v>
      </c>
      <c r="D23" s="5">
        <v>-0.22669507411234352</v>
      </c>
      <c r="E23">
        <v>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9C9-A045-4537-847E-58AB49A0F240}">
  <dimension ref="A1:F23"/>
  <sheetViews>
    <sheetView workbookViewId="0">
      <selection activeCell="D8" sqref="D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44876</v>
      </c>
      <c r="D1" t="s">
        <v>1</v>
      </c>
      <c r="E1">
        <v>1637.29</v>
      </c>
    </row>
    <row r="2" spans="1:6">
      <c r="E2" s="9">
        <f>(E1-E13)/E13</f>
        <v>6.7452899798317841E-3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388800</v>
      </c>
      <c r="C4" s="7">
        <v>-87360</v>
      </c>
      <c r="D4" s="5">
        <f>C4/B4</f>
        <v>-0.22469135802469137</v>
      </c>
      <c r="E4">
        <v>2</v>
      </c>
    </row>
    <row r="5" spans="1:6">
      <c r="A5" s="4">
        <v>3</v>
      </c>
      <c r="B5" s="7">
        <v>2553750</v>
      </c>
      <c r="C5" s="7">
        <v>-659950</v>
      </c>
      <c r="D5" s="5">
        <f>C5/B5</f>
        <v>-0.2584238864415076</v>
      </c>
      <c r="E5">
        <v>6</v>
      </c>
      <c r="F5" s="8"/>
    </row>
    <row r="6" spans="1:6">
      <c r="A6" s="4">
        <v>1</v>
      </c>
      <c r="B6" s="7">
        <v>2990450</v>
      </c>
      <c r="C6" s="7">
        <v>-1038350</v>
      </c>
      <c r="D6" s="5">
        <f>C6/B6</f>
        <v>-0.34722199000150478</v>
      </c>
      <c r="E6">
        <v>5</v>
      </c>
    </row>
    <row r="7" spans="1:6">
      <c r="A7" s="4"/>
      <c r="B7" s="6">
        <f>SUM(B4:B6)</f>
        <v>5933000</v>
      </c>
      <c r="C7" s="6">
        <f>SUM(C4:C6)</f>
        <v>-1785660</v>
      </c>
      <c r="D7" s="5">
        <f>C7/B7</f>
        <v>-0.30097084105848643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5003100</v>
      </c>
      <c r="C9" s="7">
        <v>-693500</v>
      </c>
      <c r="D9" s="5">
        <f>C9/B9</f>
        <v>-0.13861405928324438</v>
      </c>
      <c r="E9">
        <v>11</v>
      </c>
    </row>
    <row r="10" spans="1:6">
      <c r="A10" s="4"/>
      <c r="B10" s="7"/>
      <c r="C10" s="7">
        <v>461836</v>
      </c>
      <c r="D10" s="5">
        <f>C10/B9</f>
        <v>9.2309967819951627E-2</v>
      </c>
    </row>
    <row r="11" spans="1:6" ht="15.75">
      <c r="A11" s="1" t="s">
        <v>8</v>
      </c>
      <c r="B11" s="6">
        <f>B7+B9</f>
        <v>10936100</v>
      </c>
      <c r="C11" s="6">
        <f>C7+C9</f>
        <v>-2479160</v>
      </c>
      <c r="D11" s="5">
        <f>C11/B11</f>
        <v>-0.22669507411234352</v>
      </c>
      <c r="E11">
        <f>E4+E5+E6+E9</f>
        <v>24</v>
      </c>
    </row>
    <row r="13" spans="1:6" ht="15.75">
      <c r="B13" s="1" t="s">
        <v>0</v>
      </c>
      <c r="C13" s="10">
        <v>44869</v>
      </c>
      <c r="D13" t="s">
        <v>1</v>
      </c>
      <c r="E13">
        <v>1626.32</v>
      </c>
    </row>
    <row r="14" spans="1:6">
      <c r="E14" s="9">
        <v>1.0915239066112997E-2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-199900</v>
      </c>
      <c r="D16" s="5">
        <v>-0.18731259370314843</v>
      </c>
      <c r="E16">
        <v>4</v>
      </c>
    </row>
    <row r="17" spans="1:5">
      <c r="A17" s="4">
        <v>3</v>
      </c>
      <c r="B17" s="7">
        <v>2553700</v>
      </c>
      <c r="C17" s="7">
        <v>-679325</v>
      </c>
      <c r="D17" s="5">
        <v>-0.26601597681795042</v>
      </c>
      <c r="E17">
        <v>6</v>
      </c>
    </row>
    <row r="18" spans="1:5">
      <c r="A18" s="4">
        <v>1</v>
      </c>
      <c r="B18" s="7">
        <v>2515250</v>
      </c>
      <c r="C18" s="7">
        <v>-894158</v>
      </c>
      <c r="D18" s="5">
        <v>-0.3554946824371335</v>
      </c>
      <c r="E18">
        <v>4</v>
      </c>
    </row>
    <row r="19" spans="1:5">
      <c r="A19" s="4"/>
      <c r="B19" s="6">
        <v>6136150</v>
      </c>
      <c r="C19" s="6">
        <v>-1773383</v>
      </c>
      <c r="D19" s="5">
        <v>-0.28900580983189783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-800150</v>
      </c>
      <c r="D21" s="5">
        <v>-0.1624966999045511</v>
      </c>
      <c r="E21">
        <v>11</v>
      </c>
    </row>
    <row r="22" spans="1:5">
      <c r="A22" s="4"/>
      <c r="B22" s="7"/>
      <c r="C22" s="7">
        <v>434774</v>
      </c>
      <c r="D22" s="5">
        <v>8.8295119920391546E-2</v>
      </c>
    </row>
    <row r="23" spans="1:5" ht="15.75">
      <c r="A23" s="1" t="s">
        <v>8</v>
      </c>
      <c r="B23" s="6">
        <v>11060250</v>
      </c>
      <c r="C23" s="6">
        <v>-2573533</v>
      </c>
      <c r="D23" s="5">
        <v>-0.23268307678397865</v>
      </c>
      <c r="E23">
        <v>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1D16-9650-498C-A9CB-3013046074CB}">
  <dimension ref="A1:F23"/>
  <sheetViews>
    <sheetView topLeftCell="A6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44869</v>
      </c>
      <c r="D1" t="s">
        <v>1</v>
      </c>
      <c r="E1">
        <v>1626.32</v>
      </c>
    </row>
    <row r="2" spans="1:6">
      <c r="E2" s="9">
        <f>(E1-E13)/E13</f>
        <v>1.0915239066112997E-2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-199900</v>
      </c>
      <c r="D4" s="5">
        <f>C4/B4</f>
        <v>-0.18731259370314843</v>
      </c>
      <c r="E4">
        <v>4</v>
      </c>
    </row>
    <row r="5" spans="1:6">
      <c r="A5" s="4">
        <v>3</v>
      </c>
      <c r="B5" s="7">
        <v>2553700</v>
      </c>
      <c r="C5" s="7">
        <v>-679325</v>
      </c>
      <c r="D5" s="5">
        <f>C5/B5</f>
        <v>-0.26601597681795042</v>
      </c>
      <c r="E5">
        <v>6</v>
      </c>
      <c r="F5" s="8"/>
    </row>
    <row r="6" spans="1:6">
      <c r="A6" s="4">
        <v>1</v>
      </c>
      <c r="B6" s="7">
        <v>2515250</v>
      </c>
      <c r="C6" s="7">
        <v>-894158</v>
      </c>
      <c r="D6" s="5">
        <f>C6/B6</f>
        <v>-0.3554946824371335</v>
      </c>
      <c r="E6">
        <v>4</v>
      </c>
    </row>
    <row r="7" spans="1:6">
      <c r="A7" s="4"/>
      <c r="B7" s="6">
        <f>SUM(B4:B6)</f>
        <v>6136150</v>
      </c>
      <c r="C7" s="6">
        <f>SUM(C4:C6)</f>
        <v>-1773383</v>
      </c>
      <c r="D7" s="5">
        <f>C7/B7</f>
        <v>-0.28900580983189783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-800150</v>
      </c>
      <c r="D9" s="5">
        <f>C9/B9</f>
        <v>-0.1624966999045511</v>
      </c>
      <c r="E9">
        <v>11</v>
      </c>
    </row>
    <row r="10" spans="1:6">
      <c r="A10" s="4"/>
      <c r="B10" s="7"/>
      <c r="C10" s="7">
        <v>434774</v>
      </c>
      <c r="D10" s="5">
        <f>C10/B9</f>
        <v>8.8295119920391546E-2</v>
      </c>
    </row>
    <row r="11" spans="1:6" ht="15.75">
      <c r="A11" s="1" t="s">
        <v>8</v>
      </c>
      <c r="B11" s="6">
        <f>B7+B9</f>
        <v>11060250</v>
      </c>
      <c r="C11" s="6">
        <f>C7+C9</f>
        <v>-2573533</v>
      </c>
      <c r="D11" s="5">
        <f>C11/B11</f>
        <v>-0.23268307678397865</v>
      </c>
      <c r="E11">
        <f>E4+E5+E6+E9</f>
        <v>25</v>
      </c>
    </row>
    <row r="13" spans="1:6" ht="15.75">
      <c r="B13" s="1" t="s">
        <v>0</v>
      </c>
      <c r="C13" s="10">
        <v>44865</v>
      </c>
      <c r="D13" t="s">
        <v>1</v>
      </c>
      <c r="E13">
        <v>1608.76</v>
      </c>
    </row>
    <row r="14" spans="1:6">
      <c r="E14" s="9">
        <v>1.0064480483195502E-2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-215520</v>
      </c>
      <c r="D16" s="5">
        <v>-0.20194902548725638</v>
      </c>
      <c r="E16">
        <v>4</v>
      </c>
    </row>
    <row r="17" spans="1:5">
      <c r="A17" s="4">
        <v>3</v>
      </c>
      <c r="B17" s="7">
        <v>2685000</v>
      </c>
      <c r="C17" s="7">
        <v>-793200</v>
      </c>
      <c r="D17" s="5">
        <v>-0.2954189944134078</v>
      </c>
      <c r="E17">
        <v>6</v>
      </c>
    </row>
    <row r="18" spans="1:5">
      <c r="A18" s="4">
        <v>1</v>
      </c>
      <c r="B18" s="7">
        <v>2579625</v>
      </c>
      <c r="C18" s="7">
        <v>-968625</v>
      </c>
      <c r="D18" s="5">
        <v>-0.37549062363715657</v>
      </c>
      <c r="E18">
        <v>4</v>
      </c>
    </row>
    <row r="19" spans="1:5">
      <c r="A19" s="4"/>
      <c r="B19" s="6">
        <v>6331825</v>
      </c>
      <c r="C19" s="6">
        <v>-1977345</v>
      </c>
      <c r="D19" s="5">
        <v>-0.31228674197407541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-890750</v>
      </c>
      <c r="D21" s="5">
        <v>-0.18089600129972991</v>
      </c>
      <c r="E21">
        <v>11</v>
      </c>
    </row>
    <row r="22" spans="1:5">
      <c r="A22" s="4"/>
      <c r="B22" s="7"/>
      <c r="C22" s="7">
        <v>434814</v>
      </c>
      <c r="D22" s="5">
        <v>8.8303243232265793E-2</v>
      </c>
    </row>
    <row r="23" spans="1:5" ht="15.75">
      <c r="A23" s="1" t="s">
        <v>8</v>
      </c>
      <c r="B23" s="6">
        <v>11255925</v>
      </c>
      <c r="C23" s="6">
        <v>-2868095</v>
      </c>
      <c r="D23" s="5">
        <v>-0.25480757911944152</v>
      </c>
      <c r="E23">
        <v>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CAF5-AB95-4B4D-81C0-7BB1FCCFFE03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44865</v>
      </c>
      <c r="D1" t="s">
        <v>1</v>
      </c>
      <c r="E1">
        <v>1608.76</v>
      </c>
    </row>
    <row r="2" spans="1:6">
      <c r="E2" s="9">
        <f>(E1-E13)/E13</f>
        <v>1.0064480483195502E-2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-215520</v>
      </c>
      <c r="D4" s="5">
        <f>C4/B4</f>
        <v>-0.20194902548725638</v>
      </c>
      <c r="E4">
        <v>4</v>
      </c>
    </row>
    <row r="5" spans="1:6">
      <c r="A5" s="4">
        <v>3</v>
      </c>
      <c r="B5" s="7">
        <v>2685000</v>
      </c>
      <c r="C5" s="7">
        <v>-793200</v>
      </c>
      <c r="D5" s="5">
        <f>C5/B5</f>
        <v>-0.2954189944134078</v>
      </c>
      <c r="E5">
        <v>6</v>
      </c>
      <c r="F5" s="8"/>
    </row>
    <row r="6" spans="1:6">
      <c r="A6" s="4">
        <v>1</v>
      </c>
      <c r="B6" s="7">
        <v>2579625</v>
      </c>
      <c r="C6" s="7">
        <v>-968625</v>
      </c>
      <c r="D6" s="5">
        <f>C6/B6</f>
        <v>-0.37549062363715657</v>
      </c>
      <c r="E6">
        <v>4</v>
      </c>
    </row>
    <row r="7" spans="1:6">
      <c r="A7" s="4"/>
      <c r="B7" s="6">
        <f>SUM(B4:B6)</f>
        <v>6331825</v>
      </c>
      <c r="C7" s="6">
        <f>SUM(C4:C6)</f>
        <v>-1977345</v>
      </c>
      <c r="D7" s="5">
        <f>C7/B7</f>
        <v>-0.31228674197407541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-890750</v>
      </c>
      <c r="D9" s="5">
        <f>C9/B9</f>
        <v>-0.18089600129972991</v>
      </c>
      <c r="E9">
        <v>11</v>
      </c>
    </row>
    <row r="10" spans="1:6">
      <c r="A10" s="4"/>
      <c r="B10" s="7"/>
      <c r="C10" s="7">
        <v>434814</v>
      </c>
      <c r="D10" s="5">
        <f>C10/B9</f>
        <v>8.8303243232265793E-2</v>
      </c>
    </row>
    <row r="11" spans="1:6" ht="15.75">
      <c r="A11" s="1" t="s">
        <v>8</v>
      </c>
      <c r="B11" s="6">
        <f>B7+B9</f>
        <v>11255925</v>
      </c>
      <c r="C11" s="6">
        <f>C7+C9</f>
        <v>-2868095</v>
      </c>
      <c r="D11" s="5">
        <f>C11/B11</f>
        <v>-0.25480757911944152</v>
      </c>
      <c r="E11">
        <f>E4+E5+E6+E9</f>
        <v>25</v>
      </c>
    </row>
    <row r="13" spans="1:6" ht="15.75">
      <c r="B13" s="1" t="s">
        <v>0</v>
      </c>
      <c r="C13" s="10">
        <v>44855</v>
      </c>
      <c r="D13" t="s">
        <v>1</v>
      </c>
      <c r="E13">
        <v>1592.73</v>
      </c>
    </row>
    <row r="14" spans="1:6">
      <c r="E14" s="9">
        <v>2.0470533963787365E-2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-222600</v>
      </c>
      <c r="D16" s="5">
        <v>-0.20858320839580211</v>
      </c>
      <c r="E16">
        <v>4</v>
      </c>
    </row>
    <row r="17" spans="1:5">
      <c r="A17" s="4">
        <v>3</v>
      </c>
      <c r="B17" s="7">
        <v>2685000</v>
      </c>
      <c r="C17" s="7">
        <v>-802575</v>
      </c>
      <c r="D17" s="5">
        <v>-0.29891061452513967</v>
      </c>
      <c r="E17">
        <v>6</v>
      </c>
    </row>
    <row r="18" spans="1:5">
      <c r="A18" s="4">
        <v>1</v>
      </c>
      <c r="B18" s="7">
        <v>2733375</v>
      </c>
      <c r="C18" s="7">
        <v>-981525</v>
      </c>
      <c r="D18" s="5">
        <v>-0.35908903827685551</v>
      </c>
      <c r="E18">
        <v>4</v>
      </c>
    </row>
    <row r="19" spans="1:5">
      <c r="A19" s="4"/>
      <c r="B19" s="6">
        <v>6485575</v>
      </c>
      <c r="C19" s="6">
        <v>-2006700</v>
      </c>
      <c r="D19" s="5">
        <v>-0.30940972851289206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4899100</v>
      </c>
      <c r="C21" s="7">
        <v>-903700</v>
      </c>
      <c r="D21" s="5">
        <v>-0.18446245228715477</v>
      </c>
      <c r="E21">
        <v>11</v>
      </c>
    </row>
    <row r="22" spans="1:5">
      <c r="A22" s="4"/>
      <c r="B22" s="7"/>
      <c r="C22" s="7">
        <v>431374</v>
      </c>
      <c r="D22" s="5">
        <v>8.8051682962176719E-2</v>
      </c>
    </row>
    <row r="23" spans="1:5" ht="15.75">
      <c r="A23" s="1" t="s">
        <v>8</v>
      </c>
      <c r="B23" s="6">
        <v>11384675</v>
      </c>
      <c r="C23" s="6">
        <v>-2910400</v>
      </c>
      <c r="D23" s="5">
        <v>-0.25564190457786456</v>
      </c>
      <c r="E23">
        <v>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07ADB-96F4-4457-BBFF-9DCEC53934A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44855</v>
      </c>
      <c r="D1" t="s">
        <v>1</v>
      </c>
      <c r="E1">
        <v>1592.73</v>
      </c>
    </row>
    <row r="2" spans="1:6">
      <c r="E2" s="9">
        <f>(E1-E13)/E13</f>
        <v>2.0470533963787365E-2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-222600</v>
      </c>
      <c r="D4" s="5">
        <f>C4/B4</f>
        <v>-0.20858320839580211</v>
      </c>
      <c r="E4">
        <v>4</v>
      </c>
    </row>
    <row r="5" spans="1:6">
      <c r="A5" s="4">
        <v>3</v>
      </c>
      <c r="B5" s="7">
        <v>2685000</v>
      </c>
      <c r="C5" s="7">
        <v>-802575</v>
      </c>
      <c r="D5" s="5">
        <f>C5/B5</f>
        <v>-0.29891061452513967</v>
      </c>
      <c r="E5">
        <v>6</v>
      </c>
      <c r="F5" s="8"/>
    </row>
    <row r="6" spans="1:6">
      <c r="A6" s="4">
        <v>1</v>
      </c>
      <c r="B6" s="7">
        <v>2733375</v>
      </c>
      <c r="C6" s="7">
        <v>-981525</v>
      </c>
      <c r="D6" s="5">
        <f>C6/B6</f>
        <v>-0.35908903827685551</v>
      </c>
      <c r="E6">
        <v>4</v>
      </c>
    </row>
    <row r="7" spans="1:6">
      <c r="A7" s="4"/>
      <c r="B7" s="6">
        <f>SUM(B4:B6)</f>
        <v>6485575</v>
      </c>
      <c r="C7" s="6">
        <f>SUM(C4:C6)</f>
        <v>-2006700</v>
      </c>
      <c r="D7" s="5">
        <f>C7/B7</f>
        <v>-0.30940972851289206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-903700</v>
      </c>
      <c r="D9" s="5">
        <f>C9/B9</f>
        <v>-0.18446245228715477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-2910400</v>
      </c>
      <c r="D11" s="5">
        <f>C11/B11</f>
        <v>-0.25564190457786456</v>
      </c>
      <c r="E11">
        <f>E4+E5+E6+E9</f>
        <v>25</v>
      </c>
    </row>
    <row r="13" spans="1:6" ht="15.75">
      <c r="B13" s="1" t="s">
        <v>0</v>
      </c>
      <c r="C13" s="10">
        <v>44846</v>
      </c>
      <c r="D13" t="s">
        <v>1</v>
      </c>
      <c r="E13">
        <v>1560.78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-215920</v>
      </c>
      <c r="D16" s="5">
        <v>-0.20232383808095952</v>
      </c>
      <c r="E16">
        <v>4</v>
      </c>
    </row>
    <row r="17" spans="1:5">
      <c r="A17" s="4">
        <v>3</v>
      </c>
      <c r="B17" s="7">
        <v>2685000</v>
      </c>
      <c r="C17" s="7">
        <v>-804150</v>
      </c>
      <c r="D17" s="5">
        <v>-0.29949720670391061</v>
      </c>
      <c r="E17">
        <v>6</v>
      </c>
    </row>
    <row r="18" spans="1:5">
      <c r="A18" s="4">
        <v>1</v>
      </c>
      <c r="B18" s="7">
        <v>2733375</v>
      </c>
      <c r="C18" s="7">
        <v>-953475</v>
      </c>
      <c r="D18" s="5">
        <v>-0.34882699958842089</v>
      </c>
      <c r="E18">
        <v>4</v>
      </c>
    </row>
    <row r="19" spans="1:5">
      <c r="A19" s="4"/>
      <c r="B19" s="6">
        <v>6485575</v>
      </c>
      <c r="C19" s="6">
        <v>-1973545</v>
      </c>
      <c r="D19" s="5">
        <v>-0.30429761432101238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4815820</v>
      </c>
      <c r="C21" s="7">
        <v>-874500</v>
      </c>
      <c r="D21" s="5">
        <v>-0.1815890128783883</v>
      </c>
      <c r="E21">
        <v>11</v>
      </c>
    </row>
    <row r="22" spans="1:5">
      <c r="A22" s="4"/>
      <c r="B22" s="7"/>
      <c r="C22" s="7">
        <v>431374</v>
      </c>
      <c r="D22" s="5">
        <v>8.9574361167983854E-2</v>
      </c>
    </row>
    <row r="23" spans="1:5" ht="15.75">
      <c r="A23" s="1" t="s">
        <v>8</v>
      </c>
      <c r="B23" s="6">
        <v>11301395</v>
      </c>
      <c r="C23" s="6">
        <v>-2848045</v>
      </c>
      <c r="D23" s="5">
        <v>-0.25200826977554541</v>
      </c>
      <c r="E23">
        <v>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72EA1-5CCF-4137-9424-938A20BE20D7}">
  <dimension ref="A1:F23"/>
  <sheetViews>
    <sheetView workbookViewId="0">
      <selection activeCell="B18" sqref="B1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44846</v>
      </c>
      <c r="D1" t="s">
        <v>1</v>
      </c>
      <c r="E1">
        <v>1560.78</v>
      </c>
    </row>
    <row r="2" spans="1:6">
      <c r="E2" s="9">
        <f>(E1-E13)/E13</f>
        <v>-1.1639099267965317E-2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-231480</v>
      </c>
      <c r="D4" s="5">
        <f>C4/B4</f>
        <v>-0.21690404797601198</v>
      </c>
      <c r="E4">
        <v>4</v>
      </c>
    </row>
    <row r="5" spans="1:6">
      <c r="A5" s="4">
        <v>3</v>
      </c>
      <c r="B5" s="7">
        <v>2685000</v>
      </c>
      <c r="C5" s="7">
        <v>-865950</v>
      </c>
      <c r="D5" s="5">
        <f>C5/B5</f>
        <v>-0.32251396648044695</v>
      </c>
      <c r="E5">
        <v>6</v>
      </c>
      <c r="F5" s="8"/>
    </row>
    <row r="6" spans="1:6">
      <c r="A6" s="4">
        <v>1</v>
      </c>
      <c r="B6" s="7">
        <v>2733375</v>
      </c>
      <c r="C6" s="7">
        <v>-989175</v>
      </c>
      <c r="D6" s="5">
        <f>C6/B6</f>
        <v>-0.36188777610097406</v>
      </c>
      <c r="E6">
        <v>4</v>
      </c>
    </row>
    <row r="7" spans="1:6">
      <c r="A7" s="4"/>
      <c r="B7" s="6">
        <f>SUM(B4:B6)</f>
        <v>6485575</v>
      </c>
      <c r="C7" s="6">
        <f>SUM(C4:C6)</f>
        <v>-2086605</v>
      </c>
      <c r="D7" s="5">
        <f>C7/B7</f>
        <v>-0.32173014728840543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-910450</v>
      </c>
      <c r="D9" s="5">
        <f>C9/B9</f>
        <v>-0.18584025637361964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-2997055</v>
      </c>
      <c r="D11" s="5">
        <f>C11/B11</f>
        <v>-0.26325345255793425</v>
      </c>
      <c r="E11">
        <f>E4+E5+E6+E9</f>
        <v>25</v>
      </c>
    </row>
    <row r="13" spans="1:6" ht="15.75">
      <c r="B13" s="1" t="s">
        <v>0</v>
      </c>
      <c r="C13" s="10">
        <v>44841</v>
      </c>
      <c r="D13" t="s">
        <v>1</v>
      </c>
      <c r="E13">
        <v>1579.16</v>
      </c>
    </row>
    <row r="14" spans="1:6">
      <c r="E14" s="9">
        <v>-6.51144063264774E-3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-216200</v>
      </c>
      <c r="D16" s="5">
        <v>-0.20258620689655171</v>
      </c>
      <c r="E16">
        <v>4</v>
      </c>
    </row>
    <row r="17" spans="1:5">
      <c r="A17" s="4">
        <v>3</v>
      </c>
      <c r="B17" s="7">
        <v>2685000</v>
      </c>
      <c r="C17" s="7">
        <v>-825750</v>
      </c>
      <c r="D17" s="5">
        <v>-0.3075418994413408</v>
      </c>
      <c r="E17">
        <v>6</v>
      </c>
    </row>
    <row r="18" spans="1:5">
      <c r="A18" s="4">
        <v>1</v>
      </c>
      <c r="B18" s="7">
        <v>2733375</v>
      </c>
      <c r="C18" s="7">
        <v>-935775</v>
      </c>
      <c r="D18" s="5">
        <v>-0.34235148854438197</v>
      </c>
      <c r="E18">
        <v>4</v>
      </c>
    </row>
    <row r="19" spans="1:5">
      <c r="A19" s="4"/>
      <c r="B19" s="6">
        <v>6485575</v>
      </c>
      <c r="C19" s="6">
        <v>-1977725</v>
      </c>
      <c r="D19" s="5">
        <v>-0.30494212155437261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-843300</v>
      </c>
      <c r="D21" s="5">
        <v>-0.17510927458288775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-2821025</v>
      </c>
      <c r="D23" s="5">
        <v>-0.24961675186978632</v>
      </c>
      <c r="E23">
        <v>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9FA7-338A-465C-B22A-F5F9311A3AA5}">
  <dimension ref="A1:F23"/>
  <sheetViews>
    <sheetView topLeftCell="A7" workbookViewId="0">
      <selection activeCell="A10" sqref="A10:XFD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44841</v>
      </c>
      <c r="D1" t="s">
        <v>1</v>
      </c>
      <c r="E1">
        <v>1579.16</v>
      </c>
    </row>
    <row r="2" spans="1:6">
      <c r="E2" s="9">
        <f>(E1-E13)/E13</f>
        <v>-6.51144063264774E-3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-216200</v>
      </c>
      <c r="D4" s="5">
        <f>C4/B4</f>
        <v>-0.20258620689655171</v>
      </c>
      <c r="E4">
        <v>4</v>
      </c>
    </row>
    <row r="5" spans="1:6">
      <c r="A5" s="4">
        <v>3</v>
      </c>
      <c r="B5" s="7">
        <v>2685000</v>
      </c>
      <c r="C5" s="7">
        <v>-825750</v>
      </c>
      <c r="D5" s="5">
        <f>C5/B5</f>
        <v>-0.3075418994413408</v>
      </c>
      <c r="E5">
        <v>6</v>
      </c>
      <c r="F5" s="8"/>
    </row>
    <row r="6" spans="1:6">
      <c r="A6" s="4">
        <v>1</v>
      </c>
      <c r="B6" s="7">
        <v>2733375</v>
      </c>
      <c r="C6" s="7">
        <v>-935775</v>
      </c>
      <c r="D6" s="5">
        <f>C6/B6</f>
        <v>-0.34235148854438197</v>
      </c>
      <c r="E6">
        <v>4</v>
      </c>
    </row>
    <row r="7" spans="1:6">
      <c r="A7" s="4"/>
      <c r="B7" s="6">
        <f>SUM(B4:B6)</f>
        <v>6485575</v>
      </c>
      <c r="C7" s="6">
        <f>SUM(C4:C6)</f>
        <v>-1977725</v>
      </c>
      <c r="D7" s="5">
        <f>C7/B7</f>
        <v>-0.30494212155437261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-843300</v>
      </c>
      <c r="D9" s="5">
        <f>C9/B9</f>
        <v>-0.17510927458288775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-2821025</v>
      </c>
      <c r="D11" s="5">
        <f>C11/B11</f>
        <v>-0.24961675186978632</v>
      </c>
      <c r="E11">
        <f>E4+E5+E6+E9</f>
        <v>25</v>
      </c>
    </row>
    <row r="13" spans="1:6" ht="15.75">
      <c r="B13" s="1" t="s">
        <v>0</v>
      </c>
      <c r="C13" s="10" t="s">
        <v>9</v>
      </c>
      <c r="D13" t="s">
        <v>1</v>
      </c>
      <c r="E13">
        <v>1589.51</v>
      </c>
    </row>
    <row r="14" spans="1:6">
      <c r="E14" s="9">
        <v>-2.5862438791206799E-2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-203720</v>
      </c>
      <c r="D16" s="5">
        <v>-0.19089205397301348</v>
      </c>
      <c r="E16">
        <v>4</v>
      </c>
    </row>
    <row r="17" spans="1:5">
      <c r="A17" s="4">
        <v>3</v>
      </c>
      <c r="B17" s="7">
        <v>2851500</v>
      </c>
      <c r="C17" s="7">
        <v>-796275</v>
      </c>
      <c r="D17" s="5">
        <v>-0.27924776433456078</v>
      </c>
      <c r="E17">
        <v>7</v>
      </c>
    </row>
    <row r="18" spans="1:5">
      <c r="A18" s="4">
        <v>1</v>
      </c>
      <c r="B18" s="7">
        <v>2733375</v>
      </c>
      <c r="C18" s="7">
        <v>-949125</v>
      </c>
      <c r="D18" s="5">
        <v>-0.34723556043352999</v>
      </c>
      <c r="E18">
        <v>4</v>
      </c>
    </row>
    <row r="19" spans="1:5">
      <c r="A19" s="4"/>
      <c r="B19" s="6">
        <v>6652075</v>
      </c>
      <c r="C19" s="6">
        <v>-1949120</v>
      </c>
      <c r="D19" s="5">
        <v>-0.29300932415825137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-831350</v>
      </c>
      <c r="D21" s="5">
        <v>-0.17262788500472398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11467925</v>
      </c>
      <c r="C23" s="6">
        <v>-2780470</v>
      </c>
      <c r="D23" s="5">
        <v>-0.24245624208389921</v>
      </c>
      <c r="E23">
        <v>26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F81B6-A8A7-42B3-884B-7E8A5702EF15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9</v>
      </c>
      <c r="D1" t="s">
        <v>1</v>
      </c>
      <c r="E1">
        <v>1589.51</v>
      </c>
    </row>
    <row r="2" spans="1:6">
      <c r="E2" s="9">
        <f>(E1-E13)/E13</f>
        <v>-2.5862438791206799E-2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-203720</v>
      </c>
      <c r="D4" s="5">
        <f>C4/B4</f>
        <v>-0.19089205397301348</v>
      </c>
      <c r="E4">
        <v>4</v>
      </c>
    </row>
    <row r="5" spans="1:6">
      <c r="A5" s="4">
        <v>3</v>
      </c>
      <c r="B5" s="7">
        <v>2851500</v>
      </c>
      <c r="C5" s="7">
        <v>-796275</v>
      </c>
      <c r="D5" s="5">
        <f>C5/B5</f>
        <v>-0.27924776433456078</v>
      </c>
      <c r="E5">
        <v>7</v>
      </c>
      <c r="F5" s="8"/>
    </row>
    <row r="6" spans="1:6">
      <c r="A6" s="4">
        <v>1</v>
      </c>
      <c r="B6" s="7">
        <v>2733375</v>
      </c>
      <c r="C6" s="7">
        <v>-949125</v>
      </c>
      <c r="D6" s="5">
        <f>C6/B6</f>
        <v>-0.34723556043352999</v>
      </c>
      <c r="E6">
        <v>4</v>
      </c>
    </row>
    <row r="7" spans="1:6">
      <c r="A7" s="4"/>
      <c r="B7" s="6">
        <f>SUM(B4:B6)</f>
        <v>6652075</v>
      </c>
      <c r="C7" s="6">
        <f>SUM(C4:C6)</f>
        <v>-1949120</v>
      </c>
      <c r="D7" s="5">
        <f>C7/B7</f>
        <v>-0.29300932415825137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-831350</v>
      </c>
      <c r="D9" s="5">
        <f>C9/B9</f>
        <v>-0.17262788500472398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11467925</v>
      </c>
      <c r="C11" s="6">
        <f>C7+C9</f>
        <v>-2780470</v>
      </c>
      <c r="D11" s="5">
        <f>C11/B11</f>
        <v>-0.24245624208389921</v>
      </c>
      <c r="E11">
        <f>E4+E5+E6+E9</f>
        <v>26</v>
      </c>
    </row>
    <row r="13" spans="1:6" ht="15.75">
      <c r="B13" s="1" t="s">
        <v>0</v>
      </c>
      <c r="C13" s="10" t="s">
        <v>10</v>
      </c>
      <c r="D13" t="s">
        <v>1</v>
      </c>
      <c r="E13">
        <v>1631.71</v>
      </c>
    </row>
    <row r="14" spans="1:6">
      <c r="E14" s="9">
        <v>8.0348380765452975E-4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-180640</v>
      </c>
      <c r="D16" s="5">
        <v>-0.16926536731634184</v>
      </c>
      <c r="E16">
        <v>4</v>
      </c>
    </row>
    <row r="17" spans="1:5">
      <c r="A17" s="4">
        <v>3</v>
      </c>
      <c r="B17" s="7">
        <v>2685000</v>
      </c>
      <c r="C17" s="7">
        <v>-610125</v>
      </c>
      <c r="D17" s="5">
        <v>-0.22723463687150838</v>
      </c>
      <c r="E17">
        <v>6</v>
      </c>
    </row>
    <row r="18" spans="1:5">
      <c r="A18" s="4">
        <v>1</v>
      </c>
      <c r="B18" s="7">
        <v>2733375</v>
      </c>
      <c r="C18" s="7">
        <v>-869325</v>
      </c>
      <c r="D18" s="5">
        <v>-0.31804088352311705</v>
      </c>
      <c r="E18">
        <v>4</v>
      </c>
    </row>
    <row r="19" spans="1:5">
      <c r="A19" s="4"/>
      <c r="B19" s="6">
        <v>6485575</v>
      </c>
      <c r="C19" s="6">
        <v>-1660090</v>
      </c>
      <c r="D19" s="5">
        <v>-0.25596651029399858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-692750</v>
      </c>
      <c r="D21" s="5">
        <v>-0.14384791885129314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-2352840</v>
      </c>
      <c r="D23" s="5">
        <v>-0.20818967519582707</v>
      </c>
      <c r="E23">
        <v>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579C7-5E7F-4236-B68A-DB0F1546F1E7}">
  <dimension ref="A1:F23"/>
  <sheetViews>
    <sheetView topLeftCell="A7" workbookViewId="0">
      <selection activeCell="D7" sqref="D7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10</v>
      </c>
      <c r="D1" t="s">
        <v>1</v>
      </c>
      <c r="E1">
        <v>1631.71</v>
      </c>
    </row>
    <row r="2" spans="1:6">
      <c r="E2" s="9">
        <f>(E1-E13)/E13</f>
        <v>8.0348380765452975E-4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-180640</v>
      </c>
      <c r="D4" s="5">
        <f>C4/B4</f>
        <v>-0.16926536731634184</v>
      </c>
      <c r="E4">
        <v>4</v>
      </c>
    </row>
    <row r="5" spans="1:6">
      <c r="A5" s="4">
        <v>3</v>
      </c>
      <c r="B5" s="7">
        <v>2685000</v>
      </c>
      <c r="C5" s="7">
        <v>-610125</v>
      </c>
      <c r="D5" s="5">
        <f>C5/B5</f>
        <v>-0.22723463687150838</v>
      </c>
      <c r="E5">
        <v>6</v>
      </c>
      <c r="F5" s="8"/>
    </row>
    <row r="6" spans="1:6">
      <c r="A6" s="4">
        <v>1</v>
      </c>
      <c r="B6" s="7">
        <v>2733375</v>
      </c>
      <c r="C6" s="7">
        <v>-869325</v>
      </c>
      <c r="D6" s="5">
        <f>C6/B6</f>
        <v>-0.31804088352311705</v>
      </c>
      <c r="E6">
        <v>4</v>
      </c>
    </row>
    <row r="7" spans="1:6">
      <c r="A7" s="4"/>
      <c r="B7" s="6">
        <f>SUM(B4:B6)</f>
        <v>6485575</v>
      </c>
      <c r="C7" s="6">
        <f>SUM(C4:C6)</f>
        <v>-1660090</v>
      </c>
      <c r="D7" s="5">
        <f>C7/B7</f>
        <v>-0.25596651029399858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-692750</v>
      </c>
      <c r="D9" s="5">
        <f>C9/B9</f>
        <v>-0.14384791885129314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-2352840</v>
      </c>
      <c r="D11" s="5">
        <f>C11/B11</f>
        <v>-0.20818967519582707</v>
      </c>
      <c r="E11">
        <f>E4+E5+E6+E9</f>
        <v>25</v>
      </c>
    </row>
    <row r="13" spans="1:6" ht="15.75">
      <c r="B13" s="1" t="s">
        <v>0</v>
      </c>
      <c r="C13" s="10" t="s">
        <v>11</v>
      </c>
      <c r="D13" t="s">
        <v>1</v>
      </c>
      <c r="E13">
        <v>1630.4</v>
      </c>
    </row>
    <row r="14" spans="1:6">
      <c r="E14" s="9">
        <v>-1.4637802033095093E-2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-170860</v>
      </c>
      <c r="D16" s="5">
        <v>-0.16010119940029985</v>
      </c>
      <c r="E16">
        <v>4</v>
      </c>
    </row>
    <row r="17" spans="1:5">
      <c r="A17" s="4">
        <v>3</v>
      </c>
      <c r="B17" s="7">
        <v>2685000</v>
      </c>
      <c r="C17" s="7">
        <v>-532425</v>
      </c>
      <c r="D17" s="5">
        <v>-0.19829608938547486</v>
      </c>
      <c r="E17">
        <v>6</v>
      </c>
    </row>
    <row r="18" spans="1:5">
      <c r="A18" s="4">
        <v>1</v>
      </c>
      <c r="B18" s="7">
        <v>2733375</v>
      </c>
      <c r="C18" s="7">
        <v>-837735</v>
      </c>
      <c r="D18" s="5">
        <v>-0.30648374262587458</v>
      </c>
      <c r="E18">
        <v>4</v>
      </c>
    </row>
    <row r="19" spans="1:5">
      <c r="A19" s="4"/>
      <c r="B19" s="6">
        <v>6485575</v>
      </c>
      <c r="C19" s="6">
        <v>-1541020</v>
      </c>
      <c r="D19" s="5">
        <v>-0.23760730544323364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-727850</v>
      </c>
      <c r="D21" s="5">
        <v>-0.15113635183820093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-2268870</v>
      </c>
      <c r="D23" s="5">
        <v>-0.20075963871812624</v>
      </c>
      <c r="E23">
        <v>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F4D0D-50CB-4D1C-B42A-BD165988606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11</v>
      </c>
      <c r="D1" t="s">
        <v>1</v>
      </c>
      <c r="E1">
        <v>1630.4</v>
      </c>
    </row>
    <row r="2" spans="1:6">
      <c r="E2" s="9">
        <f>(E1-E13)/E13</f>
        <v>-1.4637802033095093E-2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-170860</v>
      </c>
      <c r="D4" s="5">
        <f>C4/B4</f>
        <v>-0.16010119940029985</v>
      </c>
      <c r="E4">
        <v>4</v>
      </c>
    </row>
    <row r="5" spans="1:6">
      <c r="A5" s="4">
        <v>3</v>
      </c>
      <c r="B5" s="7">
        <v>2685000</v>
      </c>
      <c r="C5" s="7">
        <v>-532425</v>
      </c>
      <c r="D5" s="5">
        <f>C5/B5</f>
        <v>-0.19829608938547486</v>
      </c>
      <c r="E5">
        <v>6</v>
      </c>
      <c r="F5" s="8"/>
    </row>
    <row r="6" spans="1:6">
      <c r="A6" s="4">
        <v>1</v>
      </c>
      <c r="B6" s="7">
        <v>2733375</v>
      </c>
      <c r="C6" s="7">
        <v>-837735</v>
      </c>
      <c r="D6" s="5">
        <f>C6/B6</f>
        <v>-0.30648374262587458</v>
      </c>
      <c r="E6">
        <v>4</v>
      </c>
    </row>
    <row r="7" spans="1:6">
      <c r="A7" s="4"/>
      <c r="B7" s="6">
        <f>SUM(B4:B6)</f>
        <v>6485575</v>
      </c>
      <c r="C7" s="6">
        <f>SUM(C4:C6)</f>
        <v>-1541020</v>
      </c>
      <c r="D7" s="5">
        <f>C7/B7</f>
        <v>-0.23760730544323364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-727850</v>
      </c>
      <c r="D9" s="5">
        <f>C9/B9</f>
        <v>-0.15113635183820093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-2268870</v>
      </c>
      <c r="D11" s="5">
        <f>C11/B11</f>
        <v>-0.20075963871812624</v>
      </c>
      <c r="E11">
        <f>E4+E5+E6+E9</f>
        <v>25</v>
      </c>
    </row>
    <row r="13" spans="1:6" ht="15.75">
      <c r="B13" s="1" t="s">
        <v>0</v>
      </c>
      <c r="C13" s="10" t="s">
        <v>12</v>
      </c>
      <c r="D13" t="s">
        <v>1</v>
      </c>
      <c r="E13">
        <v>1654.62</v>
      </c>
    </row>
    <row r="14" spans="1:6">
      <c r="E14" s="9">
        <v>2.0016644576641988E-2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-151240</v>
      </c>
      <c r="D16" s="5">
        <v>-0.14171664167916043</v>
      </c>
      <c r="E16">
        <v>4</v>
      </c>
    </row>
    <row r="17" spans="1:5">
      <c r="A17" s="4">
        <v>3</v>
      </c>
      <c r="B17" s="7">
        <v>2790000</v>
      </c>
      <c r="C17" s="7">
        <v>-588825</v>
      </c>
      <c r="D17" s="5">
        <v>-0.2110483870967742</v>
      </c>
      <c r="E17">
        <v>7</v>
      </c>
    </row>
    <row r="18" spans="1:5">
      <c r="A18" s="4">
        <v>1</v>
      </c>
      <c r="B18" s="7">
        <v>2733375</v>
      </c>
      <c r="C18" s="7">
        <v>-810525</v>
      </c>
      <c r="D18" s="5">
        <v>-0.29652901632597062</v>
      </c>
      <c r="E18">
        <v>4</v>
      </c>
    </row>
    <row r="19" spans="1:5">
      <c r="A19" s="4"/>
      <c r="B19" s="6">
        <v>6590575</v>
      </c>
      <c r="C19" s="6">
        <v>-1550590</v>
      </c>
      <c r="D19" s="5">
        <v>-0.23527385698516443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4720850</v>
      </c>
      <c r="C21" s="7">
        <v>-685900</v>
      </c>
      <c r="D21" s="5">
        <v>-0.1452916318035947</v>
      </c>
      <c r="E21">
        <v>11</v>
      </c>
    </row>
    <row r="22" spans="1:5">
      <c r="A22" s="4"/>
      <c r="B22" s="7"/>
      <c r="C22" s="7">
        <v>408687</v>
      </c>
      <c r="D22" s="5"/>
    </row>
    <row r="23" spans="1:5" ht="15.75">
      <c r="A23" s="1" t="s">
        <v>8</v>
      </c>
      <c r="B23" s="6">
        <v>11311425</v>
      </c>
      <c r="C23" s="6">
        <v>-2236490</v>
      </c>
      <c r="D23" s="5">
        <v>-0.19771956230094795</v>
      </c>
      <c r="E23">
        <v>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6E2E-01BE-4921-B22D-3695FED1ADE7}">
  <dimension ref="A1:F23"/>
  <sheetViews>
    <sheetView workbookViewId="0">
      <selection activeCell="C12" sqref="C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12</v>
      </c>
      <c r="D1" t="s">
        <v>1</v>
      </c>
      <c r="E1">
        <v>1654.62</v>
      </c>
    </row>
    <row r="2" spans="1:6">
      <c r="E2" s="9">
        <f>(E1-E13)/E13</f>
        <v>2.0016644576641988E-2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-151240</v>
      </c>
      <c r="D4" s="5">
        <f>C4/B4</f>
        <v>-0.14171664167916043</v>
      </c>
      <c r="E4">
        <v>4</v>
      </c>
    </row>
    <row r="5" spans="1:6">
      <c r="A5" s="4">
        <v>3</v>
      </c>
      <c r="B5" s="7">
        <v>2790000</v>
      </c>
      <c r="C5" s="7">
        <v>-588825</v>
      </c>
      <c r="D5" s="5">
        <f>C5/B5</f>
        <v>-0.2110483870967742</v>
      </c>
      <c r="E5">
        <v>7</v>
      </c>
      <c r="F5" s="8"/>
    </row>
    <row r="6" spans="1:6">
      <c r="A6" s="4">
        <v>1</v>
      </c>
      <c r="B6" s="7">
        <v>2733375</v>
      </c>
      <c r="C6" s="7">
        <v>-810525</v>
      </c>
      <c r="D6" s="5">
        <f>C6/B6</f>
        <v>-0.29652901632597062</v>
      </c>
      <c r="E6">
        <v>4</v>
      </c>
    </row>
    <row r="7" spans="1:6">
      <c r="A7" s="4"/>
      <c r="B7" s="6">
        <f>SUM(B4:B6)</f>
        <v>6590575</v>
      </c>
      <c r="C7" s="6">
        <f>SUM(C4:C6)</f>
        <v>-1550590</v>
      </c>
      <c r="D7" s="5">
        <f>C7/B7</f>
        <v>-0.23527385698516443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4720850</v>
      </c>
      <c r="C9" s="7">
        <v>-685900</v>
      </c>
      <c r="D9" s="5">
        <f>C9/B9</f>
        <v>-0.1452916318035947</v>
      </c>
      <c r="E9">
        <v>11</v>
      </c>
    </row>
    <row r="10" spans="1:6">
      <c r="A10" s="4"/>
      <c r="B10" s="7"/>
      <c r="C10" s="7">
        <v>408687</v>
      </c>
      <c r="D10" s="5"/>
    </row>
    <row r="11" spans="1:6" ht="15.75">
      <c r="A11" s="1" t="s">
        <v>8</v>
      </c>
      <c r="B11" s="6">
        <f>B7+B9</f>
        <v>11311425</v>
      </c>
      <c r="C11" s="6">
        <f>C7+C9</f>
        <v>-2236490</v>
      </c>
      <c r="D11" s="5">
        <f>C11/B11</f>
        <v>-0.19771956230094795</v>
      </c>
      <c r="E11">
        <f>E4+E5+E6+E9</f>
        <v>26</v>
      </c>
    </row>
    <row r="13" spans="1:6" ht="15.75">
      <c r="B13" s="1" t="s">
        <v>0</v>
      </c>
      <c r="C13" s="10" t="s">
        <v>13</v>
      </c>
      <c r="D13" t="s">
        <v>1</v>
      </c>
      <c r="E13">
        <v>1622.15</v>
      </c>
    </row>
    <row r="14" spans="1:6">
      <c r="E14" s="9">
        <v>-1.0238387240455647E-2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-147540</v>
      </c>
      <c r="D16" s="5">
        <v>-0.1382496251874063</v>
      </c>
      <c r="E16">
        <v>4</v>
      </c>
    </row>
    <row r="17" spans="1:5">
      <c r="A17" s="4">
        <v>3</v>
      </c>
      <c r="B17" s="7">
        <v>2685000</v>
      </c>
      <c r="C17" s="7">
        <v>-577050</v>
      </c>
      <c r="D17" s="5">
        <v>-0.21491620111731843</v>
      </c>
      <c r="E17">
        <v>6</v>
      </c>
    </row>
    <row r="18" spans="1:5">
      <c r="A18" s="4">
        <v>1</v>
      </c>
      <c r="B18" s="7">
        <v>2733375</v>
      </c>
      <c r="C18" s="7">
        <v>-833925</v>
      </c>
      <c r="D18" s="5">
        <v>-0.30508986143503908</v>
      </c>
      <c r="E18">
        <v>4</v>
      </c>
    </row>
    <row r="19" spans="1:5">
      <c r="A19" s="4"/>
      <c r="B19" s="6">
        <v>6485575</v>
      </c>
      <c r="C19" s="6">
        <v>-1558515</v>
      </c>
      <c r="D19" s="5">
        <v>-0.24030483033501271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4822850</v>
      </c>
      <c r="C21" s="7">
        <v>-643550</v>
      </c>
      <c r="D21" s="5">
        <v>-0.13343769762692184</v>
      </c>
      <c r="E21">
        <v>12</v>
      </c>
    </row>
    <row r="22" spans="1:5">
      <c r="A22" s="4"/>
      <c r="B22" s="7"/>
      <c r="C22" s="7">
        <v>414087</v>
      </c>
      <c r="D22" s="5"/>
    </row>
    <row r="23" spans="1:5" ht="15.75">
      <c r="A23" s="1" t="s">
        <v>8</v>
      </c>
      <c r="B23" s="6">
        <v>11308425</v>
      </c>
      <c r="C23" s="6">
        <v>-2202065</v>
      </c>
      <c r="D23" s="5">
        <v>-0.19472782460864355</v>
      </c>
      <c r="E23">
        <v>26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2EB4-D778-40D0-B276-27EF58F0C0DB}">
  <dimension ref="A1:F23"/>
  <sheetViews>
    <sheetView workbookViewId="0">
      <selection activeCell="B11" sqref="B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13</v>
      </c>
      <c r="D1" t="s">
        <v>1</v>
      </c>
      <c r="E1">
        <v>1622.15</v>
      </c>
    </row>
    <row r="2" spans="1:6">
      <c r="E2" s="9">
        <f>(E1-E13)/E13</f>
        <v>-1.0238387240455647E-2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-147540</v>
      </c>
      <c r="D4" s="5">
        <f>C4/B4</f>
        <v>-0.1382496251874063</v>
      </c>
      <c r="E4">
        <v>4</v>
      </c>
    </row>
    <row r="5" spans="1:6">
      <c r="A5" s="4">
        <v>3</v>
      </c>
      <c r="B5" s="7">
        <v>2685000</v>
      </c>
      <c r="C5" s="7">
        <v>-577050</v>
      </c>
      <c r="D5" s="5">
        <f>C5/B5</f>
        <v>-0.21491620111731843</v>
      </c>
      <c r="E5">
        <v>6</v>
      </c>
      <c r="F5" s="8"/>
    </row>
    <row r="6" spans="1:6">
      <c r="A6" s="4">
        <v>1</v>
      </c>
      <c r="B6" s="7">
        <v>2733375</v>
      </c>
      <c r="C6" s="7">
        <v>-833925</v>
      </c>
      <c r="D6" s="5">
        <f>C6/B6</f>
        <v>-0.30508986143503908</v>
      </c>
      <c r="E6">
        <v>4</v>
      </c>
    </row>
    <row r="7" spans="1:6">
      <c r="A7" s="4"/>
      <c r="B7" s="6">
        <f>SUM(B4:B6)</f>
        <v>6485575</v>
      </c>
      <c r="C7" s="6">
        <f>SUM(C4:C6)</f>
        <v>-1558515</v>
      </c>
      <c r="D7" s="5">
        <f>C7/B7</f>
        <v>-0.24030483033501271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4822850</v>
      </c>
      <c r="C9" s="7">
        <v>-643550</v>
      </c>
      <c r="D9" s="5">
        <f>C9/B9</f>
        <v>-0.13343769762692184</v>
      </c>
      <c r="E9">
        <v>12</v>
      </c>
    </row>
    <row r="10" spans="1:6">
      <c r="A10" s="4"/>
      <c r="B10" s="7"/>
      <c r="C10" s="7">
        <v>414087</v>
      </c>
      <c r="D10" s="5"/>
    </row>
    <row r="11" spans="1:6" ht="15.75">
      <c r="A11" s="1" t="s">
        <v>8</v>
      </c>
      <c r="B11" s="6">
        <f>B7+B9</f>
        <v>11308425</v>
      </c>
      <c r="C11" s="6">
        <f>C7+C9</f>
        <v>-2202065</v>
      </c>
      <c r="D11" s="5">
        <f>C11/B11</f>
        <v>-0.19472782460864355</v>
      </c>
      <c r="E11">
        <f>E4+E5+E6+E9</f>
        <v>26</v>
      </c>
    </row>
    <row r="13" spans="1:6" ht="15.75">
      <c r="B13" s="1" t="s">
        <v>0</v>
      </c>
      <c r="C13" s="10" t="s">
        <v>14</v>
      </c>
      <c r="D13" t="s">
        <v>1</v>
      </c>
      <c r="E13">
        <v>1638.93</v>
      </c>
    </row>
    <row r="14" spans="1:6">
      <c r="E14" s="9">
        <v>-3.5567066720168712E-3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-147360</v>
      </c>
      <c r="D16" s="5">
        <v>-0.13808095952023988</v>
      </c>
      <c r="E16">
        <v>4</v>
      </c>
    </row>
    <row r="17" spans="1:5">
      <c r="A17" s="4">
        <v>3</v>
      </c>
      <c r="B17" s="7">
        <v>2685000</v>
      </c>
      <c r="C17" s="7">
        <v>-512850</v>
      </c>
      <c r="D17" s="5">
        <v>-0.19100558659217878</v>
      </c>
      <c r="E17">
        <v>6</v>
      </c>
    </row>
    <row r="18" spans="1:5">
      <c r="A18" s="4">
        <v>1</v>
      </c>
      <c r="B18" s="7">
        <v>2733375</v>
      </c>
      <c r="C18" s="7">
        <v>-789975</v>
      </c>
      <c r="D18" s="5">
        <v>-0.28901083824941692</v>
      </c>
      <c r="E18">
        <v>4</v>
      </c>
    </row>
    <row r="19" spans="1:5">
      <c r="A19" s="4"/>
      <c r="B19" s="6">
        <v>6485575</v>
      </c>
      <c r="C19" s="6">
        <v>-1450185</v>
      </c>
      <c r="D19" s="5">
        <v>-0.22360160818431674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-643450</v>
      </c>
      <c r="D21" s="5">
        <v>-0.13189910523025203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11363925</v>
      </c>
      <c r="C23" s="6">
        <v>-2093635</v>
      </c>
      <c r="D23" s="5">
        <v>-0.18423520042590918</v>
      </c>
      <c r="E23">
        <v>26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8A6C-6C26-460F-96B1-49CFFFD51578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14</v>
      </c>
      <c r="D1" t="s">
        <v>1</v>
      </c>
      <c r="E1">
        <v>1638.93</v>
      </c>
    </row>
    <row r="2" spans="1:6">
      <c r="E2" s="9">
        <f>(E1-E13)/E13</f>
        <v>-3.5567066720168712E-3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-147360</v>
      </c>
      <c r="D4" s="5">
        <f>C4/B4</f>
        <v>-0.13808095952023988</v>
      </c>
      <c r="E4">
        <v>4</v>
      </c>
    </row>
    <row r="5" spans="1:6">
      <c r="A5" s="4">
        <v>3</v>
      </c>
      <c r="B5" s="7">
        <v>2685000</v>
      </c>
      <c r="C5" s="7">
        <v>-512850</v>
      </c>
      <c r="D5" s="5">
        <f>C5/B5</f>
        <v>-0.19100558659217878</v>
      </c>
      <c r="E5">
        <v>6</v>
      </c>
      <c r="F5" s="8"/>
    </row>
    <row r="6" spans="1:6">
      <c r="A6" s="4">
        <v>1</v>
      </c>
      <c r="B6" s="7">
        <v>2733375</v>
      </c>
      <c r="C6" s="7">
        <v>-789975</v>
      </c>
      <c r="D6" s="5">
        <f>C6/B6</f>
        <v>-0.28901083824941692</v>
      </c>
      <c r="E6">
        <v>4</v>
      </c>
    </row>
    <row r="7" spans="1:6">
      <c r="A7" s="4"/>
      <c r="B7" s="6">
        <f>SUM(B4:B6)</f>
        <v>6485575</v>
      </c>
      <c r="C7" s="6">
        <f>SUM(C4:C6)</f>
        <v>-1450185</v>
      </c>
      <c r="D7" s="5">
        <f>C7/B7</f>
        <v>-0.22360160818431674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-643450</v>
      </c>
      <c r="D9" s="5">
        <f>C9/B9</f>
        <v>-0.13189910523025203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11363925</v>
      </c>
      <c r="C11" s="6">
        <f>C7+C9</f>
        <v>-2093635</v>
      </c>
      <c r="D11" s="5">
        <f>C11/B11</f>
        <v>-0.18423520042590918</v>
      </c>
      <c r="E11">
        <f>E4+E5+E6+E9</f>
        <v>26</v>
      </c>
    </row>
    <row r="13" spans="1:6" ht="15.75">
      <c r="B13" s="1" t="s">
        <v>0</v>
      </c>
      <c r="C13" s="10" t="s">
        <v>15</v>
      </c>
      <c r="D13" t="s">
        <v>1</v>
      </c>
      <c r="E13">
        <v>1644.78</v>
      </c>
    </row>
    <row r="14" spans="1:6">
      <c r="E14" s="9">
        <v>5.9282682758753903E-2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-142140</v>
      </c>
      <c r="D16" s="5">
        <v>-0.1331896551724138</v>
      </c>
      <c r="E16">
        <v>4</v>
      </c>
    </row>
    <row r="17" spans="1:5">
      <c r="A17" s="4">
        <v>3</v>
      </c>
      <c r="B17" s="7">
        <v>2579400</v>
      </c>
      <c r="C17" s="7">
        <v>-470925</v>
      </c>
      <c r="D17" s="5">
        <v>-0.1825715282623866</v>
      </c>
      <c r="E17">
        <v>5</v>
      </c>
    </row>
    <row r="18" spans="1:5">
      <c r="A18" s="4">
        <v>1</v>
      </c>
      <c r="B18" s="7">
        <v>2733375</v>
      </c>
      <c r="C18" s="7">
        <v>-795525</v>
      </c>
      <c r="D18" s="5">
        <v>-0.29104129510220883</v>
      </c>
      <c r="E18">
        <v>4</v>
      </c>
    </row>
    <row r="19" spans="1:5">
      <c r="A19" s="4"/>
      <c r="B19" s="6">
        <v>6379975</v>
      </c>
      <c r="C19" s="6">
        <v>-1408590</v>
      </c>
      <c r="D19" s="5">
        <v>-0.2207829967985768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-594250</v>
      </c>
      <c r="D21" s="5">
        <v>-0.12181372800229585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11258325</v>
      </c>
      <c r="C23" s="6">
        <v>-2002840</v>
      </c>
      <c r="D23" s="5">
        <v>-0.17789857727503869</v>
      </c>
      <c r="E23">
        <v>25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F9F5-A396-46A0-8FBA-29B66ED210B5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15</v>
      </c>
      <c r="D1" t="s">
        <v>1</v>
      </c>
      <c r="E1">
        <v>1644.78</v>
      </c>
    </row>
    <row r="2" spans="1:6">
      <c r="E2" s="9">
        <f>(E1-E13)/E13</f>
        <v>5.9282682758753903E-2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-142140</v>
      </c>
      <c r="D4" s="5">
        <f>C4/B4</f>
        <v>-0.1331896551724138</v>
      </c>
      <c r="E4">
        <v>4</v>
      </c>
    </row>
    <row r="5" spans="1:6">
      <c r="A5" s="4">
        <v>3</v>
      </c>
      <c r="B5" s="7">
        <v>2579400</v>
      </c>
      <c r="C5" s="7">
        <v>-470925</v>
      </c>
      <c r="D5" s="5">
        <f>C5/B5</f>
        <v>-0.1825715282623866</v>
      </c>
      <c r="E5">
        <v>5</v>
      </c>
      <c r="F5" s="8"/>
    </row>
    <row r="6" spans="1:6">
      <c r="A6" s="4">
        <v>1</v>
      </c>
      <c r="B6" s="7">
        <v>2733375</v>
      </c>
      <c r="C6" s="7">
        <v>-795525</v>
      </c>
      <c r="D6" s="5">
        <f>C6/B6</f>
        <v>-0.29104129510220883</v>
      </c>
      <c r="E6">
        <v>4</v>
      </c>
    </row>
    <row r="7" spans="1:6">
      <c r="A7" s="4"/>
      <c r="B7" s="6">
        <f>SUM(B4:B6)</f>
        <v>6379975</v>
      </c>
      <c r="C7" s="6">
        <f>SUM(C4:C6)</f>
        <v>-1408590</v>
      </c>
      <c r="D7" s="5">
        <f>C7/B7</f>
        <v>-0.2207829967985768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-594250</v>
      </c>
      <c r="D9" s="5">
        <f>C9/B9</f>
        <v>-0.12181372800229585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11258325</v>
      </c>
      <c r="C11" s="6">
        <f>C7+C9</f>
        <v>-2002840</v>
      </c>
      <c r="D11" s="5">
        <f>C11/B11</f>
        <v>-0.17789857727503869</v>
      </c>
      <c r="E11">
        <f>E4+E5+E6+E9</f>
        <v>25</v>
      </c>
    </row>
    <row r="13" spans="1:6" ht="15.75">
      <c r="B13" s="1" t="s">
        <v>0</v>
      </c>
      <c r="C13" s="10" t="s">
        <v>16</v>
      </c>
      <c r="D13" t="s">
        <v>1</v>
      </c>
      <c r="E13">
        <v>1552.73</v>
      </c>
    </row>
    <row r="14" spans="1:6">
      <c r="E14" s="9">
        <v>-4.8324969396322196E-3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-164085</v>
      </c>
      <c r="D16" s="5">
        <v>-0.10725561329542112</v>
      </c>
      <c r="E16">
        <v>6</v>
      </c>
    </row>
    <row r="17" spans="1:5">
      <c r="A17" s="4">
        <v>3</v>
      </c>
      <c r="B17" s="7">
        <v>2634600</v>
      </c>
      <c r="C17" s="7">
        <v>-425850</v>
      </c>
      <c r="D17" s="5">
        <v>-0.16163744021862902</v>
      </c>
      <c r="E17">
        <v>6</v>
      </c>
    </row>
    <row r="18" spans="1:5">
      <c r="A18" s="4">
        <v>1</v>
      </c>
      <c r="B18" s="7">
        <v>1968375</v>
      </c>
      <c r="C18" s="7">
        <v>-630075</v>
      </c>
      <c r="D18" s="5">
        <v>-0.320099066488855</v>
      </c>
      <c r="E18">
        <v>3</v>
      </c>
    </row>
    <row r="19" spans="1:5">
      <c r="A19" s="4"/>
      <c r="B19" s="6">
        <v>6132825</v>
      </c>
      <c r="C19" s="6">
        <v>-1220010</v>
      </c>
      <c r="D19" s="5">
        <v>-0.19893116141419329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5194400</v>
      </c>
      <c r="C21" s="7">
        <v>-813200</v>
      </c>
      <c r="D21" s="5">
        <v>-0.15655321115046975</v>
      </c>
      <c r="E21">
        <v>10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11327225</v>
      </c>
      <c r="C23" s="6">
        <v>-2033210</v>
      </c>
      <c r="D23" s="5">
        <v>-0.17949762629417179</v>
      </c>
      <c r="E23">
        <v>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937A8-AE8D-4D47-80D4-9B0701666A08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16</v>
      </c>
      <c r="D1" t="s">
        <v>1</v>
      </c>
      <c r="E1">
        <v>1552.73</v>
      </c>
    </row>
    <row r="2" spans="1:6">
      <c r="E2" s="9">
        <f>(E1-E13)/E13</f>
        <v>-4.8324969396322196E-3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-164085</v>
      </c>
      <c r="D4" s="5">
        <f>C4/B4</f>
        <v>-0.10725561329542112</v>
      </c>
      <c r="E4">
        <v>6</v>
      </c>
    </row>
    <row r="5" spans="1:6">
      <c r="A5" s="4">
        <v>3</v>
      </c>
      <c r="B5" s="7">
        <v>2634600</v>
      </c>
      <c r="C5" s="7">
        <v>-425850</v>
      </c>
      <c r="D5" s="5">
        <f>C5/B5</f>
        <v>-0.16163744021862902</v>
      </c>
      <c r="E5">
        <v>6</v>
      </c>
      <c r="F5" s="8"/>
    </row>
    <row r="6" spans="1:6">
      <c r="A6" s="4">
        <v>1</v>
      </c>
      <c r="B6" s="7">
        <v>1968375</v>
      </c>
      <c r="C6" s="7">
        <v>-630075</v>
      </c>
      <c r="D6" s="5">
        <f>C6/B6</f>
        <v>-0.320099066488855</v>
      </c>
      <c r="E6">
        <v>3</v>
      </c>
    </row>
    <row r="7" spans="1:6">
      <c r="A7" s="4"/>
      <c r="B7" s="6">
        <f>SUM(B4:B6)</f>
        <v>6132825</v>
      </c>
      <c r="C7" s="6">
        <f>SUM(C4:C6)</f>
        <v>-1220010</v>
      </c>
      <c r="D7" s="5">
        <f>C7/B7</f>
        <v>-0.19893116141419329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5194400</v>
      </c>
      <c r="C9" s="7">
        <v>-813200</v>
      </c>
      <c r="D9" s="5">
        <f>C9/B9</f>
        <v>-0.15655321115046975</v>
      </c>
      <c r="E9">
        <v>10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11327225</v>
      </c>
      <c r="C11" s="6">
        <f>C7+C9</f>
        <v>-2033210</v>
      </c>
      <c r="D11" s="5">
        <f>C11/B11</f>
        <v>-0.17949762629417179</v>
      </c>
      <c r="E11">
        <f>E4+E5+E6+E9</f>
        <v>25</v>
      </c>
    </row>
    <row r="13" spans="1:6" ht="15.75">
      <c r="B13" s="1" t="s">
        <v>0</v>
      </c>
      <c r="C13" s="10" t="s">
        <v>17</v>
      </c>
      <c r="D13" t="s">
        <v>1</v>
      </c>
      <c r="E13">
        <v>1560.27</v>
      </c>
    </row>
    <row r="14" spans="1:6">
      <c r="E14" s="9">
        <v>-5.1392245254506044E-3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-159270</v>
      </c>
      <c r="D16" s="5">
        <v>-0.10410824590646142</v>
      </c>
      <c r="E16">
        <v>6</v>
      </c>
    </row>
    <row r="17" spans="1:5">
      <c r="A17" s="4">
        <v>3</v>
      </c>
      <c r="B17" s="7">
        <v>2634600</v>
      </c>
      <c r="C17" s="7">
        <v>-464250</v>
      </c>
      <c r="D17" s="5">
        <v>-0.17621270781143247</v>
      </c>
      <c r="E17">
        <v>6</v>
      </c>
    </row>
    <row r="18" spans="1:5">
      <c r="A18" s="4">
        <v>1</v>
      </c>
      <c r="B18" s="7">
        <v>1968375</v>
      </c>
      <c r="C18" s="7">
        <v>-671775</v>
      </c>
      <c r="D18" s="5">
        <v>-0.34128405410554391</v>
      </c>
      <c r="E18">
        <v>3</v>
      </c>
    </row>
    <row r="19" spans="1:5">
      <c r="A19" s="4"/>
      <c r="B19" s="6">
        <v>6132825</v>
      </c>
      <c r="C19" s="6">
        <v>-1295295</v>
      </c>
      <c r="D19" s="5">
        <v>-0.21120690709420209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5291900</v>
      </c>
      <c r="C21" s="7">
        <v>-839600</v>
      </c>
      <c r="D21" s="5">
        <v>-0.15865757100474309</v>
      </c>
      <c r="E21">
        <v>11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11424725</v>
      </c>
      <c r="C23" s="6">
        <v>-2134895</v>
      </c>
      <c r="D23" s="5">
        <v>-0.18686620465700488</v>
      </c>
      <c r="E23">
        <v>26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7E53A-0A0B-4221-A40B-FB852C2A95D2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17</v>
      </c>
      <c r="D1" t="s">
        <v>1</v>
      </c>
      <c r="E1">
        <v>1560.27</v>
      </c>
    </row>
    <row r="2" spans="1:6">
      <c r="E2" s="9">
        <f>(E1-E13)/E13</f>
        <v>-5.1392245254506044E-3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-159270</v>
      </c>
      <c r="D4" s="5">
        <f>C4/B4</f>
        <v>-0.10410824590646142</v>
      </c>
      <c r="E4">
        <v>6</v>
      </c>
    </row>
    <row r="5" spans="1:6">
      <c r="A5" s="4">
        <v>3</v>
      </c>
      <c r="B5" s="7">
        <v>2634600</v>
      </c>
      <c r="C5" s="7">
        <v>-464250</v>
      </c>
      <c r="D5" s="5">
        <f>C5/B5</f>
        <v>-0.17621270781143247</v>
      </c>
      <c r="E5">
        <v>6</v>
      </c>
      <c r="F5" s="8"/>
    </row>
    <row r="6" spans="1:6">
      <c r="A6" s="4">
        <v>1</v>
      </c>
      <c r="B6" s="7">
        <v>1968375</v>
      </c>
      <c r="C6" s="7">
        <v>-671775</v>
      </c>
      <c r="D6" s="5">
        <f>C6/B6</f>
        <v>-0.34128405410554391</v>
      </c>
      <c r="E6">
        <v>3</v>
      </c>
    </row>
    <row r="7" spans="1:6">
      <c r="A7" s="4"/>
      <c r="B7" s="6">
        <f>SUM(B4:B6)</f>
        <v>6132825</v>
      </c>
      <c r="C7" s="6">
        <f>SUM(C4:C6)</f>
        <v>-1295295</v>
      </c>
      <c r="D7" s="5">
        <f>C7/B7</f>
        <v>-0.21120690709420209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5291900</v>
      </c>
      <c r="C9" s="7">
        <v>-839600</v>
      </c>
      <c r="D9" s="5">
        <f>C9/B9</f>
        <v>-0.15865757100474309</v>
      </c>
      <c r="E9">
        <v>11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11424725</v>
      </c>
      <c r="C11" s="6">
        <f>C7+C9</f>
        <v>-2134895</v>
      </c>
      <c r="D11" s="5">
        <f>C11/B11</f>
        <v>-0.18686620465700488</v>
      </c>
      <c r="E11">
        <f>E4+E5+E6+E9</f>
        <v>26</v>
      </c>
    </row>
    <row r="13" spans="1:6" ht="15.75">
      <c r="B13" s="1" t="s">
        <v>0</v>
      </c>
      <c r="C13" s="10" t="s">
        <v>18</v>
      </c>
      <c r="D13" t="s">
        <v>1</v>
      </c>
      <c r="E13">
        <v>1568.33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-168060</v>
      </c>
      <c r="D16" s="5">
        <v>-0.10985390724580842</v>
      </c>
      <c r="E16">
        <v>6</v>
      </c>
    </row>
    <row r="17" spans="1:5">
      <c r="A17" s="4">
        <v>3</v>
      </c>
      <c r="B17" s="7">
        <v>2634600</v>
      </c>
      <c r="C17" s="7">
        <v>-355350</v>
      </c>
      <c r="D17" s="5">
        <v>-0.1348781598724664</v>
      </c>
      <c r="E17">
        <v>6</v>
      </c>
    </row>
    <row r="18" spans="1:5">
      <c r="A18" s="4">
        <v>1</v>
      </c>
      <c r="B18" s="7">
        <v>1968375</v>
      </c>
      <c r="C18" s="7">
        <v>-617775</v>
      </c>
      <c r="D18" s="5">
        <v>-0.31385025719184606</v>
      </c>
      <c r="E18">
        <v>3</v>
      </c>
    </row>
    <row r="19" spans="1:5">
      <c r="A19" s="4"/>
      <c r="B19" s="6">
        <v>6132825</v>
      </c>
      <c r="C19" s="6">
        <v>-1141185</v>
      </c>
      <c r="D19" s="5">
        <v>-0.18607819398075112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-688700</v>
      </c>
      <c r="D21" s="5">
        <v>-0.12998263626755246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11431225</v>
      </c>
      <c r="C23" s="6">
        <v>-1829885</v>
      </c>
      <c r="D23" s="5">
        <v>-0.16007776944290747</v>
      </c>
      <c r="E23">
        <v>26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553D-CA56-4A2A-9197-83F9D79A3426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18</v>
      </c>
      <c r="D1" t="s">
        <v>1</v>
      </c>
      <c r="E1">
        <v>1568.33</v>
      </c>
    </row>
    <row r="2" spans="1:6">
      <c r="E2" s="9">
        <f>(E1-E13)/E13</f>
        <v>-2.7410183839469623E-4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-168060</v>
      </c>
      <c r="D4" s="5">
        <f>C4/B4</f>
        <v>-0.10985390724580842</v>
      </c>
      <c r="E4">
        <v>6</v>
      </c>
    </row>
    <row r="5" spans="1:6">
      <c r="A5" s="4">
        <v>3</v>
      </c>
      <c r="B5" s="7">
        <v>2634600</v>
      </c>
      <c r="C5" s="7">
        <v>-355350</v>
      </c>
      <c r="D5" s="5">
        <f>C5/B5</f>
        <v>-0.1348781598724664</v>
      </c>
      <c r="E5">
        <v>6</v>
      </c>
      <c r="F5" s="8"/>
    </row>
    <row r="6" spans="1:6">
      <c r="A6" s="4">
        <v>1</v>
      </c>
      <c r="B6" s="7">
        <v>1968375</v>
      </c>
      <c r="C6" s="7">
        <v>-617775</v>
      </c>
      <c r="D6" s="5">
        <f>C6/B6</f>
        <v>-0.31385025719184606</v>
      </c>
      <c r="E6">
        <v>3</v>
      </c>
    </row>
    <row r="7" spans="1:6">
      <c r="A7" s="4"/>
      <c r="B7" s="6">
        <f>SUM(B4:B6)</f>
        <v>6132825</v>
      </c>
      <c r="C7" s="6">
        <f>SUM(C4:C6)</f>
        <v>-1141185</v>
      </c>
      <c r="D7" s="5">
        <f>C7/B7</f>
        <v>-0.18607819398075112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-688700</v>
      </c>
      <c r="D9" s="5">
        <f>C9/B9</f>
        <v>-0.12998263626755246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11431225</v>
      </c>
      <c r="C11" s="6">
        <f>C7+C9</f>
        <v>-1829885</v>
      </c>
      <c r="D11" s="5">
        <f>C11/B11</f>
        <v>-0.16007776944290747</v>
      </c>
      <c r="E11">
        <f>E4+E5+E6+E9</f>
        <v>26</v>
      </c>
    </row>
    <row r="13" spans="1:6" ht="15.75">
      <c r="B13" s="1" t="s">
        <v>0</v>
      </c>
      <c r="C13" s="10" t="s">
        <v>19</v>
      </c>
      <c r="D13" t="s">
        <v>1</v>
      </c>
      <c r="E13">
        <v>1568.76</v>
      </c>
    </row>
    <row r="14" spans="1:6">
      <c r="E14" s="9">
        <v>-1.9561766433758707E-2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-166080</v>
      </c>
      <c r="D16" s="5">
        <v>-0.1147714315331191</v>
      </c>
      <c r="E16">
        <v>5</v>
      </c>
    </row>
    <row r="17" spans="1:5">
      <c r="A17" s="4">
        <v>3</v>
      </c>
      <c r="B17" s="7">
        <v>2641350</v>
      </c>
      <c r="C17" s="7">
        <v>-323700</v>
      </c>
      <c r="D17" s="5">
        <v>-0.12255096825486966</v>
      </c>
      <c r="E17">
        <v>7</v>
      </c>
    </row>
    <row r="18" spans="1:5">
      <c r="A18" s="4">
        <v>1</v>
      </c>
      <c r="B18" s="7">
        <v>1968375</v>
      </c>
      <c r="C18" s="7">
        <v>-614625</v>
      </c>
      <c r="D18" s="5">
        <v>-0.31224995237188036</v>
      </c>
      <c r="E18">
        <v>3</v>
      </c>
    </row>
    <row r="19" spans="1:5">
      <c r="A19" s="4"/>
      <c r="B19" s="6">
        <v>6056775</v>
      </c>
      <c r="C19" s="6">
        <v>-1104405</v>
      </c>
      <c r="D19" s="5">
        <v>-0.18234208799237217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-687400</v>
      </c>
      <c r="D21" s="5">
        <v>-0.12973727917861996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11355175</v>
      </c>
      <c r="C23" s="6">
        <v>-1791805</v>
      </c>
      <c r="D23" s="5">
        <v>-0.15779633515115354</v>
      </c>
      <c r="E23">
        <v>26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F13D1-C3E1-40D2-AC9A-9434931DFEB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19</v>
      </c>
      <c r="D1" t="s">
        <v>1</v>
      </c>
      <c r="E1">
        <v>1568.76</v>
      </c>
    </row>
    <row r="2" spans="1:6">
      <c r="E2" s="9">
        <f>(E1-E13)/E13</f>
        <v>-1.9561766433758707E-2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-166080</v>
      </c>
      <c r="D4" s="5">
        <f>C4/B4</f>
        <v>-0.1147714315331191</v>
      </c>
      <c r="E4">
        <v>5</v>
      </c>
    </row>
    <row r="5" spans="1:6">
      <c r="A5" s="4">
        <v>3</v>
      </c>
      <c r="B5" s="7">
        <v>2641350</v>
      </c>
      <c r="C5" s="7">
        <v>-323700</v>
      </c>
      <c r="D5" s="5">
        <f>C5/B5</f>
        <v>-0.12255096825486966</v>
      </c>
      <c r="E5">
        <v>7</v>
      </c>
      <c r="F5" s="8"/>
    </row>
    <row r="6" spans="1:6">
      <c r="A6" s="4">
        <v>1</v>
      </c>
      <c r="B6" s="7">
        <v>1968375</v>
      </c>
      <c r="C6" s="7">
        <v>-614625</v>
      </c>
      <c r="D6" s="5">
        <f>C6/B6</f>
        <v>-0.31224995237188036</v>
      </c>
      <c r="E6">
        <v>3</v>
      </c>
    </row>
    <row r="7" spans="1:6">
      <c r="A7" s="4"/>
      <c r="B7" s="6">
        <f>SUM(B4:B6)</f>
        <v>6056775</v>
      </c>
      <c r="C7" s="6">
        <f>SUM(C4:C6)</f>
        <v>-1104405</v>
      </c>
      <c r="D7" s="5">
        <f>C7/B7</f>
        <v>-0.18234208799237217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-687400</v>
      </c>
      <c r="D9" s="5">
        <f>C9/B9</f>
        <v>-0.12973727917861996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11355175</v>
      </c>
      <c r="C11" s="6">
        <f>C7+C9</f>
        <v>-1791805</v>
      </c>
      <c r="D11" s="5">
        <f>C11/B11</f>
        <v>-0.15779633515115354</v>
      </c>
      <c r="E11">
        <f>E4+E5+E6+E9</f>
        <v>26</v>
      </c>
    </row>
    <row r="13" spans="1:6" ht="15.75">
      <c r="B13" s="1" t="s">
        <v>0</v>
      </c>
      <c r="C13" s="10" t="s">
        <v>20</v>
      </c>
      <c r="D13" t="s">
        <v>1</v>
      </c>
      <c r="E13">
        <v>1600.06</v>
      </c>
    </row>
    <row r="14" spans="1:6">
      <c r="E14" s="9">
        <v>-1.994340385392801E-2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-194880</v>
      </c>
      <c r="D16" s="5">
        <v>-0.13467399191458485</v>
      </c>
      <c r="E16">
        <v>5</v>
      </c>
    </row>
    <row r="17" spans="1:5">
      <c r="A17" s="4">
        <v>3</v>
      </c>
      <c r="B17" s="7">
        <v>2758350</v>
      </c>
      <c r="C17" s="7">
        <v>-306300</v>
      </c>
      <c r="D17" s="5">
        <v>-0.11104464625591386</v>
      </c>
      <c r="E17">
        <v>8</v>
      </c>
    </row>
    <row r="18" spans="1:5">
      <c r="A18" s="4">
        <v>1</v>
      </c>
      <c r="B18" s="7">
        <v>1968375</v>
      </c>
      <c r="C18" s="7">
        <v>-636525</v>
      </c>
      <c r="D18" s="5">
        <v>-0.32337588112021337</v>
      </c>
      <c r="E18">
        <v>3</v>
      </c>
    </row>
    <row r="19" spans="1:5">
      <c r="A19" s="4"/>
      <c r="B19" s="6">
        <v>6173775</v>
      </c>
      <c r="C19" s="6">
        <v>-1137705</v>
      </c>
      <c r="D19" s="5">
        <v>-0.18428028232321392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5200400</v>
      </c>
      <c r="C21" s="7">
        <v>-531600</v>
      </c>
      <c r="D21" s="5">
        <v>-0.10222290593031305</v>
      </c>
      <c r="E21">
        <v>11</v>
      </c>
    </row>
    <row r="22" spans="1:5">
      <c r="A22" s="4"/>
      <c r="B22" s="7"/>
      <c r="C22" s="7">
        <v>438036</v>
      </c>
      <c r="D22" s="5"/>
    </row>
    <row r="23" spans="1:5" ht="15.75">
      <c r="A23" s="1" t="s">
        <v>8</v>
      </c>
      <c r="B23" s="6">
        <v>11374175</v>
      </c>
      <c r="C23" s="6">
        <v>-1669305</v>
      </c>
      <c r="D23" s="5">
        <v>-0.14676273224211867</v>
      </c>
      <c r="E23">
        <v>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454C-F039-4A1F-8C36-D9D9A4A87AD8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20</v>
      </c>
      <c r="D1" t="s">
        <v>1</v>
      </c>
      <c r="E1">
        <v>1600.06</v>
      </c>
    </row>
    <row r="2" spans="1:6">
      <c r="E2" s="9">
        <f>(E1-E13)/E13</f>
        <v>-1.994340385392801E-2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-194880</v>
      </c>
      <c r="D4" s="5">
        <f>C4/B4</f>
        <v>-0.13467399191458485</v>
      </c>
      <c r="E4">
        <v>5</v>
      </c>
    </row>
    <row r="5" spans="1:6">
      <c r="A5" s="4">
        <v>3</v>
      </c>
      <c r="B5" s="7">
        <v>2758350</v>
      </c>
      <c r="C5" s="7">
        <v>-306300</v>
      </c>
      <c r="D5" s="5">
        <f>C5/B5</f>
        <v>-0.11104464625591386</v>
      </c>
      <c r="E5">
        <v>8</v>
      </c>
      <c r="F5" s="8"/>
    </row>
    <row r="6" spans="1:6">
      <c r="A6" s="4">
        <v>1</v>
      </c>
      <c r="B6" s="7">
        <v>1968375</v>
      </c>
      <c r="C6" s="7">
        <v>-636525</v>
      </c>
      <c r="D6" s="5">
        <f>C6/B6</f>
        <v>-0.32337588112021337</v>
      </c>
      <c r="E6">
        <v>3</v>
      </c>
    </row>
    <row r="7" spans="1:6">
      <c r="A7" s="4"/>
      <c r="B7" s="6">
        <f>SUM(B4:B6)</f>
        <v>6173775</v>
      </c>
      <c r="C7" s="6">
        <f>SUM(C4:C6)</f>
        <v>-1137705</v>
      </c>
      <c r="D7" s="5">
        <f>C7/B7</f>
        <v>-0.18428028232321392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5200400</v>
      </c>
      <c r="C9" s="7">
        <v>-531600</v>
      </c>
      <c r="D9" s="5">
        <f>C9/B9</f>
        <v>-0.10222290593031305</v>
      </c>
      <c r="E9">
        <v>11</v>
      </c>
    </row>
    <row r="10" spans="1:6">
      <c r="A10" s="4"/>
      <c r="B10" s="7"/>
      <c r="C10" s="7">
        <v>438036</v>
      </c>
      <c r="D10" s="5"/>
    </row>
    <row r="11" spans="1:6" ht="15.75">
      <c r="A11" s="1" t="s">
        <v>8</v>
      </c>
      <c r="B11" s="6">
        <f>B7+B9</f>
        <v>11374175</v>
      </c>
      <c r="C11" s="6">
        <f>C7+C9</f>
        <v>-1669305</v>
      </c>
      <c r="D11" s="5">
        <f>C11/B11</f>
        <v>-0.14676273224211867</v>
      </c>
      <c r="E11">
        <f>E4+E5+E6+E9</f>
        <v>27</v>
      </c>
    </row>
    <row r="13" spans="1:6" ht="15.75">
      <c r="B13" s="1" t="s">
        <v>0</v>
      </c>
      <c r="C13" s="10" t="s">
        <v>21</v>
      </c>
      <c r="D13" t="s">
        <v>1</v>
      </c>
      <c r="E13">
        <v>1632.62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-143475</v>
      </c>
      <c r="D16" s="5">
        <v>-9.9149994817041565E-2</v>
      </c>
      <c r="E16">
        <v>5</v>
      </c>
    </row>
    <row r="17" spans="1:5">
      <c r="A17" s="4">
        <v>3</v>
      </c>
      <c r="B17" s="7">
        <v>2697100</v>
      </c>
      <c r="C17" s="7">
        <v>-211850</v>
      </c>
      <c r="D17" s="5">
        <v>-7.8547328612213113E-2</v>
      </c>
      <c r="E17">
        <v>8</v>
      </c>
    </row>
    <row r="18" spans="1:5">
      <c r="A18" s="4">
        <v>1</v>
      </c>
      <c r="B18" s="7">
        <v>2001000</v>
      </c>
      <c r="C18" s="7">
        <v>-528000</v>
      </c>
      <c r="D18" s="5">
        <v>-0.26386806596701651</v>
      </c>
      <c r="E18">
        <v>3</v>
      </c>
    </row>
    <row r="19" spans="1:5">
      <c r="A19" s="4"/>
      <c r="B19" s="6">
        <v>6145150</v>
      </c>
      <c r="C19" s="6">
        <v>-883325</v>
      </c>
      <c r="D19" s="5">
        <v>-0.14374343994857733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5239400</v>
      </c>
      <c r="C21" s="7">
        <v>-418200</v>
      </c>
      <c r="D21" s="5">
        <v>-7.9818299805321222E-2</v>
      </c>
      <c r="E21">
        <v>11</v>
      </c>
    </row>
    <row r="22" spans="1:5">
      <c r="A22" s="4"/>
      <c r="B22" s="7"/>
      <c r="C22" s="7">
        <v>432866</v>
      </c>
      <c r="D22" s="5"/>
    </row>
    <row r="23" spans="1:5" ht="15.75">
      <c r="A23" s="1" t="s">
        <v>8</v>
      </c>
      <c r="B23" s="6">
        <v>11384550</v>
      </c>
      <c r="C23" s="6">
        <v>-1301525</v>
      </c>
      <c r="D23" s="5">
        <v>-0.11432379848127507</v>
      </c>
      <c r="E23">
        <v>27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3019-36A4-4FDD-8308-2B71A925BA2C}">
  <dimension ref="A1:F23"/>
  <sheetViews>
    <sheetView topLeftCell="A4" workbookViewId="0">
      <selection activeCell="E1" sqref="E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21</v>
      </c>
      <c r="D1" t="s">
        <v>1</v>
      </c>
      <c r="E1">
        <v>1632.62</v>
      </c>
    </row>
    <row r="2" spans="1:6">
      <c r="E2" s="9">
        <f>(E1-E13)/E13</f>
        <v>-9.1341105925338093E-3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-143475</v>
      </c>
      <c r="D4" s="5">
        <f>C4/B4</f>
        <v>-9.9149994817041565E-2</v>
      </c>
      <c r="E4">
        <v>5</v>
      </c>
    </row>
    <row r="5" spans="1:6">
      <c r="A5" s="4">
        <v>3</v>
      </c>
      <c r="B5" s="7">
        <v>2697100</v>
      </c>
      <c r="C5" s="7">
        <v>-211850</v>
      </c>
      <c r="D5" s="5">
        <f>C5/B5</f>
        <v>-7.8547328612213113E-2</v>
      </c>
      <c r="E5">
        <v>8</v>
      </c>
      <c r="F5" s="8"/>
    </row>
    <row r="6" spans="1:6">
      <c r="A6" s="4">
        <v>1</v>
      </c>
      <c r="B6" s="7">
        <v>2001000</v>
      </c>
      <c r="C6" s="7">
        <v>-528000</v>
      </c>
      <c r="D6" s="5">
        <f>C6/B6</f>
        <v>-0.26386806596701651</v>
      </c>
      <c r="E6">
        <v>3</v>
      </c>
    </row>
    <row r="7" spans="1:6">
      <c r="A7" s="4"/>
      <c r="B7" s="6">
        <f>SUM(B4:B6)</f>
        <v>6145150</v>
      </c>
      <c r="C7" s="6">
        <f>SUM(C4:C6)</f>
        <v>-883325</v>
      </c>
      <c r="D7" s="5">
        <f>C7/B7</f>
        <v>-0.14374343994857733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5239400</v>
      </c>
      <c r="C9" s="7">
        <v>-418200</v>
      </c>
      <c r="D9" s="5">
        <f>C9/B9</f>
        <v>-7.9818299805321222E-2</v>
      </c>
      <c r="E9">
        <v>11</v>
      </c>
    </row>
    <row r="10" spans="1:6">
      <c r="A10" s="4"/>
      <c r="B10" s="7"/>
      <c r="C10" s="7">
        <v>432866</v>
      </c>
      <c r="D10" s="5"/>
    </row>
    <row r="11" spans="1:6" ht="15.75">
      <c r="A11" s="1" t="s">
        <v>8</v>
      </c>
      <c r="B11" s="6">
        <f>B7+B9</f>
        <v>11384550</v>
      </c>
      <c r="C11" s="6">
        <f>C7+C9</f>
        <v>-1301525</v>
      </c>
      <c r="D11" s="5">
        <f>C11/B11</f>
        <v>-0.11432379848127507</v>
      </c>
      <c r="E11">
        <f>E4+E5+E6+E9</f>
        <v>27</v>
      </c>
    </row>
    <row r="13" spans="1:6" ht="15.75">
      <c r="B13" s="1" t="s">
        <v>0</v>
      </c>
      <c r="C13" s="10" t="s">
        <v>22</v>
      </c>
      <c r="D13" t="s">
        <v>1</v>
      </c>
      <c r="E13">
        <v>1647.67</v>
      </c>
    </row>
    <row r="14" spans="1:6">
      <c r="E14" s="9">
        <v>5.4431731502670158E-3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-99870</v>
      </c>
      <c r="D16" s="5">
        <v>-6.9016274489478599E-2</v>
      </c>
      <c r="E16">
        <v>5</v>
      </c>
    </row>
    <row r="17" spans="1:5">
      <c r="A17" s="4">
        <v>3</v>
      </c>
      <c r="B17" s="7">
        <v>2422000</v>
      </c>
      <c r="C17" s="7">
        <v>-137225</v>
      </c>
      <c r="D17" s="5">
        <v>-5.6657720891824935E-2</v>
      </c>
      <c r="E17">
        <v>6</v>
      </c>
    </row>
    <row r="18" spans="1:5">
      <c r="A18" s="4">
        <v>1</v>
      </c>
      <c r="B18" s="7">
        <v>2001000</v>
      </c>
      <c r="C18" s="7">
        <v>-438600</v>
      </c>
      <c r="D18" s="5">
        <v>-0.21919040479760121</v>
      </c>
      <c r="E18">
        <v>3</v>
      </c>
    </row>
    <row r="19" spans="1:5">
      <c r="A19" s="4"/>
      <c r="B19" s="6">
        <v>5870050</v>
      </c>
      <c r="C19" s="6">
        <v>-675695</v>
      </c>
      <c r="D19" s="5">
        <v>-0.11510890026490404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-372200</v>
      </c>
      <c r="D21" s="5">
        <v>-7.2191942898151562E-2</v>
      </c>
      <c r="E21">
        <v>11</v>
      </c>
    </row>
    <row r="22" spans="1:5">
      <c r="A22" s="4"/>
      <c r="B22" s="7"/>
      <c r="C22" s="7">
        <v>421166</v>
      </c>
      <c r="D22" s="5"/>
    </row>
    <row r="23" spans="1:5" ht="15.75">
      <c r="A23" s="1" t="s">
        <v>8</v>
      </c>
      <c r="B23" s="6">
        <v>11025750</v>
      </c>
      <c r="C23" s="6">
        <v>-1047895</v>
      </c>
      <c r="D23" s="5">
        <v>-9.5040700179126136E-2</v>
      </c>
      <c r="E23">
        <v>25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946DA-DCAA-4E73-9F05-89B9D06479FE}">
  <dimension ref="A1:F23"/>
  <sheetViews>
    <sheetView topLeftCell="A4" workbookViewId="0">
      <selection activeCell="F14" sqref="F1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22</v>
      </c>
      <c r="D1" t="s">
        <v>1</v>
      </c>
      <c r="E1">
        <v>1647.67</v>
      </c>
    </row>
    <row r="2" spans="1:6">
      <c r="E2" s="9">
        <f>(E1-E13)/E13</f>
        <v>5.4431731502670158E-3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-99870</v>
      </c>
      <c r="D4" s="5">
        <f>C4/B4</f>
        <v>-6.9016274489478599E-2</v>
      </c>
      <c r="E4">
        <v>5</v>
      </c>
    </row>
    <row r="5" spans="1:6">
      <c r="A5" s="4">
        <v>3</v>
      </c>
      <c r="B5" s="7">
        <v>2422000</v>
      </c>
      <c r="C5" s="7">
        <v>-137225</v>
      </c>
      <c r="D5" s="5">
        <f>C5/B5</f>
        <v>-5.6657720891824935E-2</v>
      </c>
      <c r="E5">
        <v>6</v>
      </c>
      <c r="F5" s="8"/>
    </row>
    <row r="6" spans="1:6">
      <c r="A6" s="4">
        <v>1</v>
      </c>
      <c r="B6" s="7">
        <v>2001000</v>
      </c>
      <c r="C6" s="7">
        <v>-438600</v>
      </c>
      <c r="D6" s="5">
        <f>C6/B6</f>
        <v>-0.21919040479760121</v>
      </c>
      <c r="E6">
        <v>3</v>
      </c>
    </row>
    <row r="7" spans="1:6">
      <c r="A7" s="4"/>
      <c r="B7" s="6">
        <f>SUM(B4:B6)</f>
        <v>5870050</v>
      </c>
      <c r="C7" s="6">
        <f>SUM(C4:C6)</f>
        <v>-675695</v>
      </c>
      <c r="D7" s="5">
        <f>C7/B7</f>
        <v>-0.11510890026490404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-372200</v>
      </c>
      <c r="D9" s="5">
        <f>C9/B9</f>
        <v>-7.2191942898151562E-2</v>
      </c>
      <c r="E9">
        <v>11</v>
      </c>
    </row>
    <row r="10" spans="1:6">
      <c r="A10" s="4"/>
      <c r="B10" s="7"/>
      <c r="C10" s="7">
        <v>421166</v>
      </c>
      <c r="D10" s="5"/>
    </row>
    <row r="11" spans="1:6" ht="15.75">
      <c r="A11" s="1" t="s">
        <v>8</v>
      </c>
      <c r="B11" s="6">
        <f>B7+B9</f>
        <v>11025750</v>
      </c>
      <c r="C11" s="6">
        <f>C7+C9</f>
        <v>-1047895</v>
      </c>
      <c r="D11" s="5">
        <f>C11/B11</f>
        <v>-9.5040700179126136E-2</v>
      </c>
      <c r="E11">
        <f>E4+E5+E6+E9</f>
        <v>25</v>
      </c>
    </row>
    <row r="13" spans="1:6" ht="15.75">
      <c r="B13" s="1" t="s">
        <v>0</v>
      </c>
      <c r="C13" s="10" t="s">
        <v>23</v>
      </c>
      <c r="D13" t="s">
        <v>1</v>
      </c>
      <c r="E13">
        <v>1638.75</v>
      </c>
    </row>
    <row r="14" spans="1:6">
      <c r="E14" s="9">
        <v>-3.0640915678329512E-2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1598550</v>
      </c>
      <c r="C16" s="7">
        <v>-131070</v>
      </c>
      <c r="D16" s="5">
        <v>-8.1993056207187762E-2</v>
      </c>
      <c r="E16">
        <v>6</v>
      </c>
    </row>
    <row r="17" spans="1:5">
      <c r="A17" s="4">
        <v>3</v>
      </c>
      <c r="B17" s="7">
        <v>2440000</v>
      </c>
      <c r="C17" s="7">
        <v>-155100</v>
      </c>
      <c r="D17" s="5">
        <v>-6.3565573770491809E-2</v>
      </c>
      <c r="E17">
        <v>6</v>
      </c>
    </row>
    <row r="18" spans="1:5">
      <c r="A18" s="4">
        <v>1</v>
      </c>
      <c r="B18" s="7">
        <v>2001000</v>
      </c>
      <c r="C18" s="7">
        <v>-474000</v>
      </c>
      <c r="D18" s="5">
        <v>-0.23688155922038981</v>
      </c>
      <c r="E18">
        <v>3</v>
      </c>
    </row>
    <row r="19" spans="1:5">
      <c r="A19" s="4"/>
      <c r="B19" s="6">
        <v>6039550</v>
      </c>
      <c r="C19" s="6">
        <v>-760170</v>
      </c>
      <c r="D19" s="5">
        <v>-0.12586533764932817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-352900</v>
      </c>
      <c r="D21" s="5">
        <v>-6.8448513295963687E-2</v>
      </c>
      <c r="E21">
        <v>11</v>
      </c>
    </row>
    <row r="22" spans="1:5">
      <c r="A22" s="4"/>
      <c r="B22" s="7"/>
      <c r="C22" s="7">
        <v>435813.88</v>
      </c>
      <c r="D22" s="5"/>
    </row>
    <row r="23" spans="1:5" ht="15.75">
      <c r="A23" s="1" t="s">
        <v>8</v>
      </c>
      <c r="B23" s="6">
        <v>11195250</v>
      </c>
      <c r="C23" s="6">
        <v>-1113070</v>
      </c>
      <c r="D23" s="5">
        <v>-9.9423416180969601E-2</v>
      </c>
      <c r="E23">
        <v>26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9AC6-F21D-4025-AA0D-B7CC6F22C812}">
  <dimension ref="A1:F23"/>
  <sheetViews>
    <sheetView topLeftCell="A7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23</v>
      </c>
      <c r="D1" t="s">
        <v>1</v>
      </c>
      <c r="E1">
        <v>1638.75</v>
      </c>
    </row>
    <row r="2" spans="1:6">
      <c r="E2" s="9">
        <f>(E1-E13)/E13</f>
        <v>-3.0640915678329512E-2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1598550</v>
      </c>
      <c r="C4" s="7">
        <v>-131070</v>
      </c>
      <c r="D4" s="5">
        <f>C4/B4</f>
        <v>-8.1993056207187762E-2</v>
      </c>
      <c r="E4">
        <v>6</v>
      </c>
    </row>
    <row r="5" spans="1:6">
      <c r="A5" s="4">
        <v>3</v>
      </c>
      <c r="B5" s="7">
        <v>2440000</v>
      </c>
      <c r="C5" s="7">
        <v>-155100</v>
      </c>
      <c r="D5" s="5">
        <f>C5/B5</f>
        <v>-6.3565573770491809E-2</v>
      </c>
      <c r="E5">
        <v>6</v>
      </c>
      <c r="F5" s="8"/>
    </row>
    <row r="6" spans="1:6">
      <c r="A6" s="4">
        <v>1</v>
      </c>
      <c r="B6" s="7">
        <v>2001000</v>
      </c>
      <c r="C6" s="7">
        <v>-474000</v>
      </c>
      <c r="D6" s="5">
        <f>C6/B6</f>
        <v>-0.23688155922038981</v>
      </c>
      <c r="E6">
        <v>3</v>
      </c>
    </row>
    <row r="7" spans="1:6">
      <c r="A7" s="4"/>
      <c r="B7" s="6">
        <f>SUM(B4:B6)</f>
        <v>6039550</v>
      </c>
      <c r="C7" s="6">
        <f>SUM(C4:C6)</f>
        <v>-760170</v>
      </c>
      <c r="D7" s="5">
        <f>C7/B7</f>
        <v>-0.12586533764932817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-352900</v>
      </c>
      <c r="D9" s="5">
        <f>C9/B9</f>
        <v>-6.8448513295963687E-2</v>
      </c>
      <c r="E9">
        <v>11</v>
      </c>
    </row>
    <row r="10" spans="1:6">
      <c r="A10" s="4"/>
      <c r="B10" s="7"/>
      <c r="C10" s="7">
        <v>435813.88</v>
      </c>
      <c r="D10" s="5"/>
    </row>
    <row r="11" spans="1:6" ht="15.75">
      <c r="A11" s="1" t="s">
        <v>8</v>
      </c>
      <c r="B11" s="6">
        <f>B7+B9</f>
        <v>11195250</v>
      </c>
      <c r="C11" s="6">
        <f>C7+C9</f>
        <v>-1113070</v>
      </c>
      <c r="D11" s="5">
        <f>C11/B11</f>
        <v>-9.9423416180969601E-2</v>
      </c>
      <c r="E11">
        <f>E4+E5+E6+E9</f>
        <v>26</v>
      </c>
    </row>
    <row r="13" spans="1:6" ht="15.75">
      <c r="B13" s="1" t="s">
        <v>0</v>
      </c>
      <c r="C13" s="10" t="s">
        <v>24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1543050</v>
      </c>
      <c r="C16" s="7">
        <v>-136530</v>
      </c>
      <c r="D16" s="5">
        <v>-8.8480606590842809E-2</v>
      </c>
      <c r="E16">
        <v>6</v>
      </c>
    </row>
    <row r="17" spans="1:5">
      <c r="A17" s="4">
        <v>3</v>
      </c>
      <c r="B17" s="7">
        <v>2327500</v>
      </c>
      <c r="C17" s="7">
        <v>-198575</v>
      </c>
      <c r="D17" s="5">
        <v>-8.5316863587540273E-2</v>
      </c>
      <c r="E17">
        <v>5</v>
      </c>
    </row>
    <row r="18" spans="1:5">
      <c r="A18" s="4">
        <v>1</v>
      </c>
      <c r="B18" s="7">
        <v>2001000</v>
      </c>
      <c r="C18" s="7">
        <v>-481200</v>
      </c>
      <c r="D18" s="5">
        <v>-0.24047976011994002</v>
      </c>
      <c r="E18">
        <v>3</v>
      </c>
    </row>
    <row r="19" spans="1:5">
      <c r="A19" s="4"/>
      <c r="B19" s="6">
        <v>5871550</v>
      </c>
      <c r="C19" s="6">
        <v>-816305</v>
      </c>
      <c r="D19" s="5">
        <v>-0.13902717340395637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5156595</v>
      </c>
      <c r="C21" s="7">
        <v>-372450</v>
      </c>
      <c r="D21" s="5">
        <v>-7.2227894569963313E-2</v>
      </c>
      <c r="E21">
        <v>11</v>
      </c>
    </row>
    <row r="22" spans="1:5">
      <c r="A22" s="4"/>
      <c r="B22" s="7"/>
      <c r="C22" s="7">
        <v>435881</v>
      </c>
      <c r="D22" s="5"/>
    </row>
    <row r="23" spans="1:5" ht="15.75">
      <c r="A23" s="1" t="s">
        <v>8</v>
      </c>
      <c r="B23" s="6">
        <v>11028145</v>
      </c>
      <c r="C23" s="6">
        <v>-1188755</v>
      </c>
      <c r="D23" s="5">
        <v>-0.10779283369959318</v>
      </c>
      <c r="E23">
        <v>25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73F6E-36A5-4332-8D25-A36B7640C977}">
  <dimension ref="A1:F23"/>
  <sheetViews>
    <sheetView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24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1543050</v>
      </c>
      <c r="C4" s="7">
        <v>-136530</v>
      </c>
      <c r="D4" s="5">
        <f>C4/B4</f>
        <v>-8.8480606590842809E-2</v>
      </c>
      <c r="E4">
        <v>6</v>
      </c>
    </row>
    <row r="5" spans="1:6">
      <c r="A5" s="4">
        <v>3</v>
      </c>
      <c r="B5" s="7">
        <v>2327500</v>
      </c>
      <c r="C5" s="7">
        <v>-198575</v>
      </c>
      <c r="D5" s="5">
        <f>C5/B5</f>
        <v>-8.5316863587540273E-2</v>
      </c>
      <c r="E5">
        <v>5</v>
      </c>
      <c r="F5" s="8"/>
    </row>
    <row r="6" spans="1:6">
      <c r="A6" s="4">
        <v>1</v>
      </c>
      <c r="B6" s="7">
        <v>2001000</v>
      </c>
      <c r="C6" s="7">
        <v>-481200</v>
      </c>
      <c r="D6" s="5">
        <f>C6/B6</f>
        <v>-0.24047976011994002</v>
      </c>
      <c r="E6">
        <v>3</v>
      </c>
    </row>
    <row r="7" spans="1:6">
      <c r="A7" s="4"/>
      <c r="B7" s="6">
        <f>SUM(B4:B6)</f>
        <v>5871550</v>
      </c>
      <c r="C7" s="6">
        <f>SUM(C4:C6)</f>
        <v>-816305</v>
      </c>
      <c r="D7" s="5">
        <f>C7/B7</f>
        <v>-0.13902717340395637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5156595</v>
      </c>
      <c r="C9" s="7">
        <v>-372450</v>
      </c>
      <c r="D9" s="5">
        <f>C9/B9</f>
        <v>-7.2227894569963313E-2</v>
      </c>
      <c r="E9">
        <v>11</v>
      </c>
    </row>
    <row r="10" spans="1:6">
      <c r="A10" s="4"/>
      <c r="B10" s="7"/>
      <c r="C10" s="7">
        <v>435881</v>
      </c>
      <c r="D10" s="5"/>
    </row>
    <row r="11" spans="1:6" ht="15.75">
      <c r="A11" s="1" t="s">
        <v>8</v>
      </c>
      <c r="B11" s="6">
        <f>B7+B9</f>
        <v>11028145</v>
      </c>
      <c r="C11" s="6">
        <f>C7+C9</f>
        <v>-1188755</v>
      </c>
      <c r="D11" s="5">
        <f>C11/B11</f>
        <v>-0.10779283369959318</v>
      </c>
      <c r="E11">
        <f>E4+E5+E6+E9</f>
        <v>25</v>
      </c>
    </row>
    <row r="13" spans="1:6" ht="15.75">
      <c r="B13" s="1" t="s">
        <v>0</v>
      </c>
      <c r="C13" s="10" t="s">
        <v>25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1014000</v>
      </c>
      <c r="C16" s="7">
        <v>-87190</v>
      </c>
      <c r="D16" s="5">
        <v>-8.5986193293885599E-2</v>
      </c>
      <c r="E16">
        <v>5</v>
      </c>
    </row>
    <row r="17" spans="1:5">
      <c r="A17" s="4">
        <v>3</v>
      </c>
      <c r="B17" s="7">
        <v>2696550</v>
      </c>
      <c r="C17" s="7">
        <v>-357000</v>
      </c>
      <c r="D17" s="5">
        <v>-0.1323913889970518</v>
      </c>
      <c r="E17">
        <v>8</v>
      </c>
    </row>
    <row r="18" spans="1:5">
      <c r="A18" s="4">
        <v>1</v>
      </c>
      <c r="B18" s="7">
        <v>2512000</v>
      </c>
      <c r="C18" s="7">
        <v>-569300</v>
      </c>
      <c r="D18" s="5">
        <v>-0.22663216560509555</v>
      </c>
      <c r="E18">
        <v>3</v>
      </c>
    </row>
    <row r="19" spans="1:5">
      <c r="A19" s="4"/>
      <c r="B19" s="6">
        <v>6222550</v>
      </c>
      <c r="C19" s="6">
        <v>-1013490</v>
      </c>
      <c r="D19" s="5">
        <v>-0.16287374147254743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4796595</v>
      </c>
      <c r="C21" s="7">
        <v>-390010</v>
      </c>
      <c r="D21" s="5">
        <v>-8.1309762446068509E-2</v>
      </c>
      <c r="E21">
        <v>11</v>
      </c>
    </row>
    <row r="22" spans="1:5">
      <c r="A22" s="4"/>
      <c r="B22" s="7"/>
      <c r="C22" s="7">
        <v>409877</v>
      </c>
      <c r="D22" s="5"/>
    </row>
    <row r="23" spans="1:5" ht="15.75">
      <c r="A23" s="1" t="s">
        <v>8</v>
      </c>
      <c r="B23" s="6">
        <v>11019145</v>
      </c>
      <c r="C23" s="6">
        <v>-1403500</v>
      </c>
      <c r="D23" s="5">
        <v>-0.12736922873780135</v>
      </c>
      <c r="E23">
        <v>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3B01-9CDC-4D97-995D-909E0A3866BD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25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1014000</v>
      </c>
      <c r="C4" s="7">
        <v>-87190</v>
      </c>
      <c r="D4" s="5">
        <f>C4/B4</f>
        <v>-8.5986193293885599E-2</v>
      </c>
      <c r="E4">
        <v>5</v>
      </c>
    </row>
    <row r="5" spans="1:6">
      <c r="A5" s="4">
        <v>3</v>
      </c>
      <c r="B5" s="7">
        <v>2696550</v>
      </c>
      <c r="C5" s="7">
        <v>-357000</v>
      </c>
      <c r="D5" s="5">
        <f>C5/B5</f>
        <v>-0.1323913889970518</v>
      </c>
      <c r="E5">
        <v>8</v>
      </c>
      <c r="F5" s="8"/>
    </row>
    <row r="6" spans="1:6">
      <c r="A6" s="4">
        <v>1</v>
      </c>
      <c r="B6" s="7">
        <v>2512000</v>
      </c>
      <c r="C6" s="7">
        <v>-569300</v>
      </c>
      <c r="D6" s="5">
        <f>C6/B6</f>
        <v>-0.22663216560509555</v>
      </c>
      <c r="E6">
        <v>3</v>
      </c>
    </row>
    <row r="7" spans="1:6">
      <c r="A7" s="4"/>
      <c r="B7" s="6">
        <f>SUM(B4:B6)</f>
        <v>6222550</v>
      </c>
      <c r="C7" s="6">
        <f>SUM(C4:C6)</f>
        <v>-1013490</v>
      </c>
      <c r="D7" s="5">
        <f>C7/B7</f>
        <v>-0.16287374147254743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4796595</v>
      </c>
      <c r="C9" s="7">
        <v>-390010</v>
      </c>
      <c r="D9" s="5">
        <f>C9/B9</f>
        <v>-8.1309762446068509E-2</v>
      </c>
      <c r="E9">
        <v>11</v>
      </c>
    </row>
    <row r="10" spans="1:6">
      <c r="A10" s="4"/>
      <c r="B10" s="7"/>
      <c r="C10" s="7">
        <v>409877</v>
      </c>
      <c r="D10" s="5"/>
    </row>
    <row r="11" spans="1:6" ht="15.75">
      <c r="A11" s="1" t="s">
        <v>8</v>
      </c>
      <c r="B11" s="6">
        <f>B7+B9</f>
        <v>11019145</v>
      </c>
      <c r="C11" s="6">
        <f>C7+C9</f>
        <v>-1403500</v>
      </c>
      <c r="D11" s="5">
        <f>C11/B11</f>
        <v>-0.12736922873780135</v>
      </c>
      <c r="E11">
        <f>E4+E5+E6+E9</f>
        <v>27</v>
      </c>
    </row>
    <row r="13" spans="1:6" ht="15.75">
      <c r="B13" s="1" t="s">
        <v>0</v>
      </c>
      <c r="C13" s="10" t="s">
        <v>26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-61890</v>
      </c>
      <c r="D16" s="5">
        <v>-5.2533740769034887E-2</v>
      </c>
      <c r="E16">
        <v>5</v>
      </c>
    </row>
    <row r="17" spans="1:5">
      <c r="A17" s="4">
        <v>3</v>
      </c>
      <c r="B17" s="7">
        <v>3011550</v>
      </c>
      <c r="C17" s="7">
        <v>-179925</v>
      </c>
      <c r="D17" s="5">
        <v>-5.9744981819993027E-2</v>
      </c>
      <c r="E17">
        <v>9</v>
      </c>
    </row>
    <row r="18" spans="1:5">
      <c r="A18" s="4">
        <v>1</v>
      </c>
      <c r="B18" s="7">
        <v>2479375</v>
      </c>
      <c r="C18" s="7">
        <v>-455125</v>
      </c>
      <c r="D18" s="5">
        <v>-0.18356440635240737</v>
      </c>
      <c r="E18">
        <v>3</v>
      </c>
    </row>
    <row r="19" spans="1:5">
      <c r="A19" s="4"/>
      <c r="B19" s="6">
        <v>6669025</v>
      </c>
      <c r="C19" s="6">
        <v>-696940</v>
      </c>
      <c r="D19" s="5">
        <v>-0.10450403169878655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4496595</v>
      </c>
      <c r="C21" s="7">
        <v>-239855</v>
      </c>
      <c r="D21" s="5">
        <v>-5.3341472825549109E-2</v>
      </c>
      <c r="E21">
        <v>10</v>
      </c>
    </row>
    <row r="22" spans="1:5">
      <c r="A22" s="4"/>
      <c r="B22" s="7"/>
      <c r="C22" s="7">
        <v>385127.4</v>
      </c>
      <c r="D22" s="5"/>
    </row>
    <row r="23" spans="1:5" ht="15.75">
      <c r="A23" s="1" t="s">
        <v>8</v>
      </c>
      <c r="B23" s="6">
        <v>11165620</v>
      </c>
      <c r="C23" s="6">
        <v>-936795</v>
      </c>
      <c r="D23" s="5">
        <v>-8.3899953607591879E-2</v>
      </c>
      <c r="E23">
        <v>27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E8635-4ECB-4AAC-B48F-04E34CC282A8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26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-61890</v>
      </c>
      <c r="D4" s="5">
        <f>C4/B4</f>
        <v>-5.2533740769034887E-2</v>
      </c>
      <c r="E4">
        <v>5</v>
      </c>
    </row>
    <row r="5" spans="1:6">
      <c r="A5" s="4">
        <v>3</v>
      </c>
      <c r="B5" s="7">
        <v>3011550</v>
      </c>
      <c r="C5" s="7">
        <v>-179925</v>
      </c>
      <c r="D5" s="5">
        <f>C5/B5</f>
        <v>-5.9744981819993027E-2</v>
      </c>
      <c r="E5">
        <v>9</v>
      </c>
      <c r="F5" s="8"/>
    </row>
    <row r="6" spans="1:6">
      <c r="A6" s="4">
        <v>1</v>
      </c>
      <c r="B6" s="7">
        <v>2479375</v>
      </c>
      <c r="C6" s="7">
        <v>-455125</v>
      </c>
      <c r="D6" s="5">
        <f>C6/B6</f>
        <v>-0.18356440635240737</v>
      </c>
      <c r="E6">
        <v>3</v>
      </c>
    </row>
    <row r="7" spans="1:6">
      <c r="A7" s="4"/>
      <c r="B7" s="6">
        <f>SUM(B4:B6)</f>
        <v>6669025</v>
      </c>
      <c r="C7" s="6">
        <f>SUM(C4:C6)</f>
        <v>-696940</v>
      </c>
      <c r="D7" s="5">
        <f>C7/B7</f>
        <v>-0.10450403169878655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4496595</v>
      </c>
      <c r="C9" s="7">
        <v>-239855</v>
      </c>
      <c r="D9" s="5">
        <f>C9/B9</f>
        <v>-5.3341472825549109E-2</v>
      </c>
      <c r="E9">
        <v>10</v>
      </c>
    </row>
    <row r="10" spans="1:6">
      <c r="A10" s="4"/>
      <c r="B10" s="7"/>
      <c r="C10" s="7">
        <v>385127.4</v>
      </c>
      <c r="D10" s="5"/>
    </row>
    <row r="11" spans="1:6" ht="15.75">
      <c r="A11" s="1" t="s">
        <v>8</v>
      </c>
      <c r="B11" s="6">
        <f>B7+B9</f>
        <v>11165620</v>
      </c>
      <c r="C11" s="6">
        <f>C7+C9</f>
        <v>-936795</v>
      </c>
      <c r="D11" s="5">
        <f>C11/B11</f>
        <v>-8.3899953607591879E-2</v>
      </c>
      <c r="E11">
        <f>E4+E5+E6+E9</f>
        <v>27</v>
      </c>
    </row>
    <row r="13" spans="1:6" ht="15.75">
      <c r="B13" s="1" t="s">
        <v>0</v>
      </c>
      <c r="C13" s="10" t="s">
        <v>27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-58390</v>
      </c>
      <c r="D16" s="5">
        <v>-4.9562855445208387E-2</v>
      </c>
      <c r="E16">
        <v>5</v>
      </c>
    </row>
    <row r="17" spans="1:5">
      <c r="A17" s="4">
        <v>3</v>
      </c>
      <c r="B17" s="7">
        <v>2959050</v>
      </c>
      <c r="C17" s="7">
        <v>-145350</v>
      </c>
      <c r="D17" s="5">
        <v>-4.9120494753383689E-2</v>
      </c>
      <c r="E17">
        <v>9</v>
      </c>
    </row>
    <row r="18" spans="1:5">
      <c r="A18" s="4">
        <v>1</v>
      </c>
      <c r="B18" s="7">
        <v>2479375</v>
      </c>
      <c r="C18" s="7">
        <v>-450250</v>
      </c>
      <c r="D18" s="5">
        <v>-0.18159818502646835</v>
      </c>
      <c r="E18">
        <v>3</v>
      </c>
    </row>
    <row r="19" spans="1:5">
      <c r="A19" s="4"/>
      <c r="B19" s="6">
        <v>6616525</v>
      </c>
      <c r="C19" s="6">
        <v>-653990</v>
      </c>
      <c r="D19" s="5">
        <v>-9.8841914751323395E-2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4430595</v>
      </c>
      <c r="C21" s="7">
        <v>-266645</v>
      </c>
      <c r="D21" s="5">
        <v>-6.0182661696679567E-2</v>
      </c>
      <c r="E21">
        <v>10</v>
      </c>
    </row>
    <row r="22" spans="1:5">
      <c r="A22" s="4"/>
      <c r="B22" s="7"/>
      <c r="C22" s="7">
        <v>377927</v>
      </c>
      <c r="D22" s="5"/>
    </row>
    <row r="23" spans="1:5" ht="15.75">
      <c r="A23" s="1" t="s">
        <v>8</v>
      </c>
      <c r="B23" s="6">
        <v>11047120</v>
      </c>
      <c r="C23" s="6">
        <v>-920635</v>
      </c>
      <c r="D23" s="5">
        <v>-8.3337105055435262E-2</v>
      </c>
      <c r="E23">
        <v>27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F6BAD-230F-4AAA-91C2-29149FB78819}">
  <dimension ref="A1:F23"/>
  <sheetViews>
    <sheetView workbookViewId="0">
      <selection activeCell="K15" sqref="K1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27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-58390</v>
      </c>
      <c r="D4" s="5">
        <f>C4/B4</f>
        <v>-4.9562855445208387E-2</v>
      </c>
      <c r="E4">
        <v>5</v>
      </c>
    </row>
    <row r="5" spans="1:6">
      <c r="A5" s="4">
        <v>3</v>
      </c>
      <c r="B5" s="7">
        <v>2959050</v>
      </c>
      <c r="C5" s="7">
        <v>-145350</v>
      </c>
      <c r="D5" s="5">
        <f>C5/B5</f>
        <v>-4.9120494753383689E-2</v>
      </c>
      <c r="E5">
        <v>9</v>
      </c>
      <c r="F5" s="8"/>
    </row>
    <row r="6" spans="1:6">
      <c r="A6" s="4">
        <v>1</v>
      </c>
      <c r="B6" s="7">
        <v>2479375</v>
      </c>
      <c r="C6" s="7">
        <v>-450250</v>
      </c>
      <c r="D6" s="5">
        <f>C6/B6</f>
        <v>-0.18159818502646835</v>
      </c>
      <c r="E6">
        <v>3</v>
      </c>
    </row>
    <row r="7" spans="1:6">
      <c r="A7" s="4"/>
      <c r="B7" s="6">
        <f>SUM(B4:B6)</f>
        <v>6616525</v>
      </c>
      <c r="C7" s="6">
        <f>SUM(C4:C6)</f>
        <v>-653990</v>
      </c>
      <c r="D7" s="5">
        <f>C7/B7</f>
        <v>-9.8841914751323395E-2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4430595</v>
      </c>
      <c r="C9" s="7">
        <v>-266645</v>
      </c>
      <c r="D9" s="5">
        <f>C9/B9</f>
        <v>-6.0182661696679567E-2</v>
      </c>
      <c r="E9">
        <v>10</v>
      </c>
    </row>
    <row r="10" spans="1:6">
      <c r="A10" s="4"/>
      <c r="B10" s="7"/>
      <c r="C10" s="7">
        <v>377927</v>
      </c>
      <c r="D10" s="5"/>
    </row>
    <row r="11" spans="1:6" ht="15.75">
      <c r="A11" s="1" t="s">
        <v>8</v>
      </c>
      <c r="B11" s="6">
        <f>B7+B9</f>
        <v>11047120</v>
      </c>
      <c r="C11" s="6">
        <f>C7+C9</f>
        <v>-920635</v>
      </c>
      <c r="D11" s="5">
        <f>C11/B11</f>
        <v>-8.3337105055435262E-2</v>
      </c>
      <c r="E11">
        <f>E4+E5+E6+E9</f>
        <v>27</v>
      </c>
    </row>
    <row r="13" spans="1:6" ht="15.75">
      <c r="B13" s="1" t="s">
        <v>0</v>
      </c>
      <c r="C13" s="10" t="s">
        <v>28</v>
      </c>
      <c r="D13" t="s">
        <v>1</v>
      </c>
      <c r="E13">
        <v>1690.55</v>
      </c>
    </row>
    <row r="14" spans="1:6">
      <c r="E14" s="9">
        <v>9.6814267114206411E-3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-50610</v>
      </c>
      <c r="D16" s="5">
        <v>-4.2959001782531196E-2</v>
      </c>
      <c r="E16">
        <v>5</v>
      </c>
    </row>
    <row r="17" spans="1:5">
      <c r="A17" s="4">
        <v>3</v>
      </c>
      <c r="B17" s="7">
        <v>2730150</v>
      </c>
      <c r="C17" s="7">
        <v>-89625</v>
      </c>
      <c r="D17" s="5">
        <v>-3.2827866600736222E-2</v>
      </c>
      <c r="E17">
        <v>9</v>
      </c>
    </row>
    <row r="18" spans="1:5">
      <c r="A18" s="4">
        <v>1</v>
      </c>
      <c r="B18" s="7">
        <v>2479375</v>
      </c>
      <c r="C18" s="7">
        <v>-420500</v>
      </c>
      <c r="D18" s="5">
        <v>-0.16959919334509704</v>
      </c>
      <c r="E18">
        <v>3</v>
      </c>
    </row>
    <row r="19" spans="1:5">
      <c r="A19" s="4"/>
      <c r="B19" s="6">
        <v>6387625</v>
      </c>
      <c r="C19" s="6">
        <v>-560735</v>
      </c>
      <c r="D19" s="5">
        <v>-8.7784583471947716E-2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4657095</v>
      </c>
      <c r="C21" s="7">
        <v>-262335</v>
      </c>
      <c r="D21" s="5">
        <v>-5.6330180080071374E-2</v>
      </c>
      <c r="E21">
        <v>10</v>
      </c>
    </row>
    <row r="22" spans="1:5">
      <c r="A22" s="4"/>
      <c r="B22" s="7"/>
      <c r="C22" s="7">
        <v>399277</v>
      </c>
      <c r="D22" s="5"/>
    </row>
    <row r="23" spans="1:5" ht="15.75">
      <c r="A23" s="1" t="s">
        <v>8</v>
      </c>
      <c r="B23" s="6">
        <v>11044720</v>
      </c>
      <c r="C23" s="6">
        <v>-823070</v>
      </c>
      <c r="D23" s="5">
        <v>-7.4521581352899852E-2</v>
      </c>
      <c r="E23">
        <v>27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C458-FEA9-4EF8-B4E6-0EC3EADE516A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28</v>
      </c>
      <c r="D1" t="s">
        <v>1</v>
      </c>
      <c r="E1">
        <v>1690.55</v>
      </c>
    </row>
    <row r="2" spans="1:6">
      <c r="E2" s="9">
        <f>(E1-E13)/E13</f>
        <v>9.6814267114206411E-3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-50610</v>
      </c>
      <c r="D4" s="5">
        <f>C4/B4</f>
        <v>-4.2959001782531196E-2</v>
      </c>
      <c r="E4">
        <v>5</v>
      </c>
    </row>
    <row r="5" spans="1:6">
      <c r="A5" s="4">
        <v>3</v>
      </c>
      <c r="B5" s="7">
        <v>2730150</v>
      </c>
      <c r="C5" s="7">
        <v>-89625</v>
      </c>
      <c r="D5" s="5">
        <f>C5/B5</f>
        <v>-3.2827866600736222E-2</v>
      </c>
      <c r="E5">
        <v>9</v>
      </c>
      <c r="F5" s="8"/>
    </row>
    <row r="6" spans="1:6">
      <c r="A6" s="4">
        <v>1</v>
      </c>
      <c r="B6" s="7">
        <v>2479375</v>
      </c>
      <c r="C6" s="7">
        <v>-420500</v>
      </c>
      <c r="D6" s="5">
        <f>C6/B6</f>
        <v>-0.16959919334509704</v>
      </c>
      <c r="E6">
        <v>3</v>
      </c>
    </row>
    <row r="7" spans="1:6">
      <c r="A7" s="4"/>
      <c r="B7" s="6">
        <f>SUM(B4:B6)</f>
        <v>6387625</v>
      </c>
      <c r="C7" s="6">
        <f>SUM(C4:C6)</f>
        <v>-560735</v>
      </c>
      <c r="D7" s="5">
        <f>C7/B7</f>
        <v>-8.7784583471947716E-2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4657095</v>
      </c>
      <c r="C9" s="7">
        <v>-262335</v>
      </c>
      <c r="D9" s="5">
        <f>C9/B9</f>
        <v>-5.6330180080071374E-2</v>
      </c>
      <c r="E9">
        <v>10</v>
      </c>
    </row>
    <row r="10" spans="1:6">
      <c r="A10" s="4"/>
      <c r="B10" s="7"/>
      <c r="C10" s="7">
        <v>399277</v>
      </c>
      <c r="D10" s="5"/>
    </row>
    <row r="11" spans="1:6" ht="15.75">
      <c r="A11" s="1" t="s">
        <v>8</v>
      </c>
      <c r="B11" s="6">
        <f>B7+B9</f>
        <v>11044720</v>
      </c>
      <c r="C11" s="6">
        <f>C7+C9</f>
        <v>-823070</v>
      </c>
      <c r="D11" s="5">
        <f>C11/B11</f>
        <v>-7.4521581352899852E-2</v>
      </c>
      <c r="E11">
        <f>E4+E5+E6+E9</f>
        <v>27</v>
      </c>
    </row>
    <row r="13" spans="1:6" ht="15.75">
      <c r="B13" s="1" t="s">
        <v>0</v>
      </c>
      <c r="C13" s="10" t="s">
        <v>29</v>
      </c>
      <c r="D13" t="s">
        <v>1</v>
      </c>
      <c r="E13">
        <v>1674.34</v>
      </c>
    </row>
    <row r="14" spans="1:6">
      <c r="E14" s="9">
        <v>-6.9157769869514123E-3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-89100</v>
      </c>
      <c r="D16" s="5">
        <v>-6.372934697088907E-2</v>
      </c>
      <c r="E16">
        <v>6</v>
      </c>
    </row>
    <row r="17" spans="1:5">
      <c r="A17" s="4">
        <v>3</v>
      </c>
      <c r="B17" s="7">
        <v>2730150</v>
      </c>
      <c r="C17" s="7">
        <v>-119850</v>
      </c>
      <c r="D17" s="5">
        <v>-4.389868688533597E-2</v>
      </c>
      <c r="E17">
        <v>9</v>
      </c>
    </row>
    <row r="18" spans="1:5">
      <c r="A18" s="4">
        <v>1</v>
      </c>
      <c r="B18" s="7">
        <v>2479375</v>
      </c>
      <c r="C18" s="7">
        <v>-445875</v>
      </c>
      <c r="D18" s="5">
        <v>-0.17983362742626671</v>
      </c>
      <c r="E18">
        <v>3</v>
      </c>
    </row>
    <row r="19" spans="1:5">
      <c r="A19" s="4"/>
      <c r="B19" s="6">
        <v>6607625</v>
      </c>
      <c r="C19" s="6">
        <v>-654825</v>
      </c>
      <c r="D19" s="5">
        <v>-9.9101416923629893E-2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-167430</v>
      </c>
      <c r="D21" s="5">
        <v>-3.6401030960334549E-2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11207220</v>
      </c>
      <c r="C23" s="6">
        <v>-822255</v>
      </c>
      <c r="D23" s="5">
        <v>-7.3368328631007507E-2</v>
      </c>
      <c r="E23">
        <v>29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73C3D-0FB3-48BA-88E2-BC175A1A608C}">
  <dimension ref="A1:F23"/>
  <sheetViews>
    <sheetView topLeftCell="A4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29</v>
      </c>
      <c r="D1" t="s">
        <v>1</v>
      </c>
      <c r="E1">
        <v>1674.34</v>
      </c>
    </row>
    <row r="2" spans="1:6">
      <c r="E2" s="9">
        <f>(E1-E13)/E13</f>
        <v>-6.9157769869514123E-3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-89100</v>
      </c>
      <c r="D4" s="5">
        <f>C4/B4</f>
        <v>-6.372934697088907E-2</v>
      </c>
      <c r="E4">
        <v>6</v>
      </c>
    </row>
    <row r="5" spans="1:6">
      <c r="A5" s="4">
        <v>3</v>
      </c>
      <c r="B5" s="7">
        <v>2730150</v>
      </c>
      <c r="C5" s="7">
        <v>-119850</v>
      </c>
      <c r="D5" s="5">
        <f>C5/B5</f>
        <v>-4.389868688533597E-2</v>
      </c>
      <c r="E5">
        <v>9</v>
      </c>
      <c r="F5" s="8"/>
    </row>
    <row r="6" spans="1:6">
      <c r="A6" s="4">
        <v>1</v>
      </c>
      <c r="B6" s="7">
        <v>2479375</v>
      </c>
      <c r="C6" s="7">
        <v>-445875</v>
      </c>
      <c r="D6" s="5">
        <f>C6/B6</f>
        <v>-0.17983362742626671</v>
      </c>
      <c r="E6">
        <v>3</v>
      </c>
    </row>
    <row r="7" spans="1:6">
      <c r="A7" s="4"/>
      <c r="B7" s="6">
        <f>SUM(B4:B6)</f>
        <v>6607625</v>
      </c>
      <c r="C7" s="6">
        <f>SUM(C4:C6)</f>
        <v>-654825</v>
      </c>
      <c r="D7" s="5">
        <f>C7/B7</f>
        <v>-9.9101416923629893E-2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-167430</v>
      </c>
      <c r="D9" s="5">
        <f>C9/B9</f>
        <v>-3.6401030960334549E-2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11207220</v>
      </c>
      <c r="C11" s="6">
        <f>C7+C9</f>
        <v>-822255</v>
      </c>
      <c r="D11" s="5">
        <f>C11/B11</f>
        <v>-7.3368328631007507E-2</v>
      </c>
      <c r="E11">
        <f>E4+E5+E6+E9</f>
        <v>29</v>
      </c>
    </row>
    <row r="13" spans="1:6" ht="15.75">
      <c r="B13" s="1" t="s">
        <v>0</v>
      </c>
      <c r="C13" s="10" t="s">
        <v>30</v>
      </c>
      <c r="D13" t="s">
        <v>1</v>
      </c>
      <c r="E13">
        <v>1686</v>
      </c>
    </row>
    <row r="14" spans="1:6">
      <c r="E14" s="9">
        <v>-5.4505556735329561E-3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-87525</v>
      </c>
      <c r="D16" s="5">
        <v>-6.2602818110292544E-2</v>
      </c>
      <c r="E16">
        <v>6</v>
      </c>
    </row>
    <row r="17" spans="1:5">
      <c r="A17" s="4">
        <v>3</v>
      </c>
      <c r="B17" s="7">
        <v>2671650</v>
      </c>
      <c r="C17" s="7">
        <v>-102750</v>
      </c>
      <c r="D17" s="5">
        <v>-3.8459379035427545E-2</v>
      </c>
      <c r="E17">
        <v>9</v>
      </c>
    </row>
    <row r="18" spans="1:5">
      <c r="A18" s="4">
        <v>1</v>
      </c>
      <c r="B18" s="7">
        <v>2479375</v>
      </c>
      <c r="C18" s="7">
        <v>-400250</v>
      </c>
      <c r="D18" s="5">
        <v>-0.16143181245273505</v>
      </c>
      <c r="E18">
        <v>3</v>
      </c>
    </row>
    <row r="19" spans="1:5">
      <c r="A19" s="4"/>
      <c r="B19" s="6">
        <v>6549125</v>
      </c>
      <c r="C19" s="6">
        <v>-590525</v>
      </c>
      <c r="D19" s="5">
        <v>-9.0168533964460895E-2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-150930</v>
      </c>
      <c r="D21" s="5">
        <v>-3.281375860265958E-2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11148720</v>
      </c>
      <c r="C23" s="6">
        <v>-741455</v>
      </c>
      <c r="D23" s="5">
        <v>-6.6505841029284085E-2</v>
      </c>
      <c r="E23">
        <v>29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1ACF-A5A9-4108-820D-3A00AB31145F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30</v>
      </c>
      <c r="D1" t="s">
        <v>1</v>
      </c>
      <c r="E1">
        <v>1686</v>
      </c>
    </row>
    <row r="2" spans="1:6">
      <c r="E2" s="9">
        <f>(E1-E13)/E13</f>
        <v>-5.4505556735329561E-3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-87525</v>
      </c>
      <c r="D4" s="5">
        <f>C4/B4</f>
        <v>-6.2602818110292544E-2</v>
      </c>
      <c r="E4">
        <v>6</v>
      </c>
    </row>
    <row r="5" spans="1:6">
      <c r="A5" s="4">
        <v>3</v>
      </c>
      <c r="B5" s="7">
        <v>2671650</v>
      </c>
      <c r="C5" s="7">
        <v>-102750</v>
      </c>
      <c r="D5" s="5">
        <f>C5/B5</f>
        <v>-3.8459379035427545E-2</v>
      </c>
      <c r="E5">
        <v>9</v>
      </c>
      <c r="F5" s="8"/>
    </row>
    <row r="6" spans="1:6">
      <c r="A6" s="4">
        <v>1</v>
      </c>
      <c r="B6" s="7">
        <v>2479375</v>
      </c>
      <c r="C6" s="7">
        <v>-400250</v>
      </c>
      <c r="D6" s="5">
        <f>C6/B6</f>
        <v>-0.16143181245273505</v>
      </c>
      <c r="E6">
        <v>3</v>
      </c>
    </row>
    <row r="7" spans="1:6">
      <c r="A7" s="4"/>
      <c r="B7" s="6">
        <f>SUM(B4:B6)</f>
        <v>6549125</v>
      </c>
      <c r="C7" s="6">
        <f>SUM(C4:C6)</f>
        <v>-590525</v>
      </c>
      <c r="D7" s="5">
        <f>C7/B7</f>
        <v>-9.0168533964460895E-2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-150930</v>
      </c>
      <c r="D9" s="5">
        <f>C9/B9</f>
        <v>-3.281375860265958E-2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11148720</v>
      </c>
      <c r="C11" s="6">
        <f>C7+C9</f>
        <v>-741455</v>
      </c>
      <c r="D11" s="5">
        <f>C11/B11</f>
        <v>-6.6505841029284085E-2</v>
      </c>
      <c r="E11">
        <f>E4+E5+E6+E9</f>
        <v>29</v>
      </c>
    </row>
    <row r="13" spans="1:6" ht="15.75">
      <c r="B13" s="1" t="s">
        <v>0</v>
      </c>
      <c r="C13" s="10" t="s">
        <v>31</v>
      </c>
      <c r="D13" t="s">
        <v>1</v>
      </c>
      <c r="E13">
        <v>1695.24</v>
      </c>
    </row>
    <row r="14" spans="1:6">
      <c r="E14" s="9">
        <v>1.0997137404580186E-2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1513600</v>
      </c>
      <c r="C16" s="7">
        <v>-70600</v>
      </c>
      <c r="D16" s="5">
        <v>-4.6643763213530656E-2</v>
      </c>
      <c r="E16">
        <v>6</v>
      </c>
    </row>
    <row r="17" spans="1:5">
      <c r="A17" s="4">
        <v>3</v>
      </c>
      <c r="B17" s="7">
        <v>2341650</v>
      </c>
      <c r="C17" s="7">
        <v>-119550</v>
      </c>
      <c r="D17" s="5">
        <v>-5.1053744154762666E-2</v>
      </c>
      <c r="E17">
        <v>8</v>
      </c>
    </row>
    <row r="18" spans="1:5">
      <c r="A18" s="4">
        <v>1</v>
      </c>
      <c r="B18" s="7">
        <v>2416625</v>
      </c>
      <c r="C18" s="7">
        <v>-365500</v>
      </c>
      <c r="D18" s="5">
        <v>-0.15124398696529251</v>
      </c>
      <c r="E18">
        <v>3</v>
      </c>
    </row>
    <row r="19" spans="1:5">
      <c r="A19" s="4"/>
      <c r="B19" s="6">
        <v>6271875</v>
      </c>
      <c r="C19" s="6">
        <v>-555650</v>
      </c>
      <c r="D19" s="5">
        <v>-8.8593921275535628E-2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4527595</v>
      </c>
      <c r="C21" s="7">
        <v>-92625</v>
      </c>
      <c r="D21" s="5">
        <v>-2.0457881060474713E-2</v>
      </c>
      <c r="E21">
        <v>11</v>
      </c>
    </row>
    <row r="22" spans="1:5">
      <c r="A22" s="4"/>
      <c r="B22" s="7"/>
      <c r="C22" s="7">
        <v>374751</v>
      </c>
      <c r="D22" s="5"/>
    </row>
    <row r="23" spans="1:5" ht="15.75">
      <c r="A23" s="1" t="s">
        <v>8</v>
      </c>
      <c r="B23" s="6">
        <v>10799470</v>
      </c>
      <c r="C23" s="6">
        <v>-648275</v>
      </c>
      <c r="D23" s="5">
        <v>-6.0028408801543039E-2</v>
      </c>
      <c r="E23">
        <v>28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9EBEA-9784-4FC7-9540-93923752857E}">
  <dimension ref="A1:F23"/>
  <sheetViews>
    <sheetView topLeftCell="B1" workbookViewId="0">
      <selection activeCell="G12" sqref="G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31</v>
      </c>
      <c r="D1" t="s">
        <v>1</v>
      </c>
      <c r="E1">
        <v>1695.24</v>
      </c>
    </row>
    <row r="2" spans="1:6">
      <c r="E2" s="9">
        <f>(E1-E13)/E13</f>
        <v>1.0997137404580186E-2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1513600</v>
      </c>
      <c r="C4" s="7">
        <v>-70600</v>
      </c>
      <c r="D4" s="5">
        <f>C4/B4</f>
        <v>-4.6643763213530656E-2</v>
      </c>
      <c r="E4">
        <v>6</v>
      </c>
    </row>
    <row r="5" spans="1:6">
      <c r="A5" s="4">
        <v>3</v>
      </c>
      <c r="B5" s="7">
        <v>2341650</v>
      </c>
      <c r="C5" s="7">
        <v>-119550</v>
      </c>
      <c r="D5" s="5">
        <f>C5/B5</f>
        <v>-5.1053744154762666E-2</v>
      </c>
      <c r="E5">
        <v>8</v>
      </c>
      <c r="F5" s="8"/>
    </row>
    <row r="6" spans="1:6">
      <c r="A6" s="4">
        <v>1</v>
      </c>
      <c r="B6" s="7">
        <v>2416625</v>
      </c>
      <c r="C6" s="7">
        <v>-365500</v>
      </c>
      <c r="D6" s="5">
        <f>C6/B6</f>
        <v>-0.15124398696529251</v>
      </c>
      <c r="E6">
        <v>3</v>
      </c>
    </row>
    <row r="7" spans="1:6">
      <c r="A7" s="4"/>
      <c r="B7" s="6">
        <f>SUM(B4:B6)</f>
        <v>6271875</v>
      </c>
      <c r="C7" s="6">
        <f>SUM(C4:C6)</f>
        <v>-555650</v>
      </c>
      <c r="D7" s="5">
        <f>C7/B7</f>
        <v>-8.8593921275535628E-2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4527595</v>
      </c>
      <c r="C9" s="7">
        <v>-92625</v>
      </c>
      <c r="D9" s="5">
        <f>C9/B9</f>
        <v>-2.0457881060474713E-2</v>
      </c>
      <c r="E9">
        <v>11</v>
      </c>
    </row>
    <row r="10" spans="1:6">
      <c r="A10" s="4"/>
      <c r="B10" s="7"/>
      <c r="C10" s="7">
        <v>374751</v>
      </c>
      <c r="D10" s="5"/>
    </row>
    <row r="11" spans="1:6" ht="15.75">
      <c r="A11" s="1" t="s">
        <v>8</v>
      </c>
      <c r="B11" s="6">
        <f>B7+B9</f>
        <v>10799470</v>
      </c>
      <c r="C11" s="6">
        <f>C7+C9</f>
        <v>-648275</v>
      </c>
      <c r="D11" s="5">
        <f>C11/B11</f>
        <v>-6.0028408801543039E-2</v>
      </c>
      <c r="E11">
        <f>E4+E5+E6+E9</f>
        <v>28</v>
      </c>
    </row>
    <row r="13" spans="1:6" ht="15.75">
      <c r="B13" s="1" t="s">
        <v>0</v>
      </c>
      <c r="C13" s="10" t="s">
        <v>32</v>
      </c>
      <c r="D13" t="s">
        <v>1</v>
      </c>
      <c r="E13">
        <v>1676.8</v>
      </c>
    </row>
    <row r="14" spans="1:6">
      <c r="E14" s="9">
        <v>-1.0187606865613172E-3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2231350</v>
      </c>
      <c r="C16" s="7">
        <v>-86525</v>
      </c>
      <c r="D16" s="5">
        <v>-3.8776973581015978E-2</v>
      </c>
      <c r="E16">
        <v>10</v>
      </c>
    </row>
    <row r="17" spans="1:5">
      <c r="A17" s="4">
        <v>3</v>
      </c>
      <c r="B17" s="7">
        <v>2085525</v>
      </c>
      <c r="C17" s="7">
        <v>-100575</v>
      </c>
      <c r="D17" s="5">
        <v>-4.8225267019095915E-2</v>
      </c>
      <c r="E17">
        <v>8</v>
      </c>
    </row>
    <row r="18" spans="1:5">
      <c r="A18" s="4">
        <v>1</v>
      </c>
      <c r="B18" s="7">
        <v>2416625</v>
      </c>
      <c r="C18" s="7">
        <v>-351750</v>
      </c>
      <c r="D18" s="5">
        <v>-0.14555423369368437</v>
      </c>
      <c r="E18">
        <v>3</v>
      </c>
    </row>
    <row r="19" spans="1:5">
      <c r="A19" s="4"/>
      <c r="B19" s="6">
        <v>6733500</v>
      </c>
      <c r="C19" s="6">
        <v>-538850</v>
      </c>
      <c r="D19" s="5">
        <v>-8.0025246899829205E-2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-68730</v>
      </c>
      <c r="D21" s="5">
        <v>-1.6491525688076696E-2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10901095</v>
      </c>
      <c r="C23" s="6">
        <v>-607580</v>
      </c>
      <c r="D23" s="5">
        <v>-5.5735685268314787E-2</v>
      </c>
      <c r="E23">
        <v>29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091A-D29B-4521-8CCA-E6087BE8CDD5}">
  <dimension ref="A1:F23"/>
  <sheetViews>
    <sheetView topLeftCell="A11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32</v>
      </c>
      <c r="D1" t="s">
        <v>1</v>
      </c>
      <c r="E1">
        <v>1676.8</v>
      </c>
    </row>
    <row r="2" spans="1:6">
      <c r="E2" s="9">
        <f>(E1-E13)/E13</f>
        <v>-1.0187606865613172E-3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2231350</v>
      </c>
      <c r="C4" s="7">
        <v>-86525</v>
      </c>
      <c r="D4" s="5">
        <f>C4/B4</f>
        <v>-3.8776973581015978E-2</v>
      </c>
      <c r="E4">
        <v>10</v>
      </c>
    </row>
    <row r="5" spans="1:6">
      <c r="A5" s="4">
        <v>3</v>
      </c>
      <c r="B5" s="7">
        <v>2085525</v>
      </c>
      <c r="C5" s="7">
        <v>-100575</v>
      </c>
      <c r="D5" s="5">
        <f>C5/B5</f>
        <v>-4.8225267019095915E-2</v>
      </c>
      <c r="E5">
        <v>8</v>
      </c>
      <c r="F5" s="8"/>
    </row>
    <row r="6" spans="1:6">
      <c r="A6" s="4">
        <v>1</v>
      </c>
      <c r="B6" s="7">
        <v>2416625</v>
      </c>
      <c r="C6" s="7">
        <v>-351750</v>
      </c>
      <c r="D6" s="5">
        <f>C6/B6</f>
        <v>-0.14555423369368437</v>
      </c>
      <c r="E6">
        <v>3</v>
      </c>
    </row>
    <row r="7" spans="1:6">
      <c r="A7" s="4"/>
      <c r="B7" s="6">
        <f>SUM(B4:B6)</f>
        <v>6733500</v>
      </c>
      <c r="C7" s="6">
        <f>SUM(C4:C6)</f>
        <v>-538850</v>
      </c>
      <c r="D7" s="5">
        <f>C7/B7</f>
        <v>-8.0025246899829205E-2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-68730</v>
      </c>
      <c r="D9" s="5">
        <f>C9/B9</f>
        <v>-1.6491525688076696E-2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10901095</v>
      </c>
      <c r="C11" s="6">
        <f>C7+C9</f>
        <v>-607580</v>
      </c>
      <c r="D11" s="5">
        <f>C11/B11</f>
        <v>-5.5735685268314787E-2</v>
      </c>
      <c r="E11">
        <f>E4+E5+E6+E9</f>
        <v>29</v>
      </c>
    </row>
    <row r="13" spans="1:6" ht="15.75">
      <c r="B13" s="1" t="s">
        <v>0</v>
      </c>
      <c r="C13" s="10" t="s">
        <v>33</v>
      </c>
      <c r="D13" t="s">
        <v>1</v>
      </c>
      <c r="E13">
        <v>1678.51</v>
      </c>
    </row>
    <row r="14" spans="1:6">
      <c r="E14" s="9">
        <v>1.2364219757420039E-2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2141350</v>
      </c>
      <c r="C16" s="7">
        <v>-38515</v>
      </c>
      <c r="D16" s="5">
        <v>-1.79863170429869E-2</v>
      </c>
      <c r="E16">
        <v>10</v>
      </c>
    </row>
    <row r="17" spans="1:5">
      <c r="A17" s="4">
        <v>3</v>
      </c>
      <c r="B17" s="7">
        <v>1921650</v>
      </c>
      <c r="C17" s="7">
        <v>17400</v>
      </c>
      <c r="D17" s="5">
        <v>9.0547186012020914E-3</v>
      </c>
      <c r="E17">
        <v>8</v>
      </c>
    </row>
    <row r="18" spans="1:5">
      <c r="A18" s="4">
        <v>1</v>
      </c>
      <c r="B18" s="7">
        <v>2416625</v>
      </c>
      <c r="C18" s="7">
        <v>-368750</v>
      </c>
      <c r="D18" s="5">
        <v>-0.1525888377385817</v>
      </c>
      <c r="E18">
        <v>3</v>
      </c>
    </row>
    <row r="19" spans="1:5">
      <c r="A19" s="4"/>
      <c r="B19" s="6">
        <v>6479625</v>
      </c>
      <c r="C19" s="6">
        <v>-389865</v>
      </c>
      <c r="D19" s="5">
        <v>-6.016783378667747E-2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-97335</v>
      </c>
      <c r="D21" s="5">
        <v>-2.3355196462228216E-2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10647220</v>
      </c>
      <c r="C23" s="6">
        <v>-487200</v>
      </c>
      <c r="D23" s="5">
        <v>-4.5758423325525349E-2</v>
      </c>
      <c r="E23">
        <v>29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F0EB-B7A9-40FA-A628-1165BCD511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33</v>
      </c>
      <c r="D1" t="s">
        <v>1</v>
      </c>
      <c r="E1">
        <v>1678.51</v>
      </c>
    </row>
    <row r="2" spans="1:6">
      <c r="E2" s="9">
        <f>(E1-E13)/E13</f>
        <v>1.2364219757420039E-2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2141350</v>
      </c>
      <c r="C4" s="7">
        <v>-38515</v>
      </c>
      <c r="D4" s="5">
        <f>C4/B4</f>
        <v>-1.79863170429869E-2</v>
      </c>
      <c r="E4">
        <v>10</v>
      </c>
    </row>
    <row r="5" spans="1:6">
      <c r="A5" s="4">
        <v>3</v>
      </c>
      <c r="B5" s="7">
        <v>1921650</v>
      </c>
      <c r="C5" s="7">
        <v>17400</v>
      </c>
      <c r="D5" s="5">
        <f>C5/B5</f>
        <v>9.0547186012020914E-3</v>
      </c>
      <c r="E5">
        <v>8</v>
      </c>
      <c r="F5" s="8"/>
    </row>
    <row r="6" spans="1:6">
      <c r="A6" s="4">
        <v>1</v>
      </c>
      <c r="B6" s="7">
        <v>2416625</v>
      </c>
      <c r="C6" s="7">
        <v>-368750</v>
      </c>
      <c r="D6" s="5">
        <f>C6/B6</f>
        <v>-0.1525888377385817</v>
      </c>
      <c r="E6">
        <v>3</v>
      </c>
    </row>
    <row r="7" spans="1:6">
      <c r="A7" s="4"/>
      <c r="B7" s="6">
        <f>SUM(B4:B6)</f>
        <v>6479625</v>
      </c>
      <c r="C7" s="6">
        <f>SUM(C4:C6)</f>
        <v>-389865</v>
      </c>
      <c r="D7" s="5">
        <f>C7/B7</f>
        <v>-6.016783378667747E-2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-97335</v>
      </c>
      <c r="D9" s="5">
        <f>C9/B9</f>
        <v>-2.3355196462228216E-2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10647220</v>
      </c>
      <c r="C11" s="6">
        <f>C7+C9</f>
        <v>-487200</v>
      </c>
      <c r="D11" s="5">
        <f>C11/B11</f>
        <v>-4.5758423325525349E-2</v>
      </c>
      <c r="E11">
        <f>E4+E5+E6+E9</f>
        <v>29</v>
      </c>
    </row>
    <row r="13" spans="1:6" ht="15.75">
      <c r="B13" s="1" t="s">
        <v>0</v>
      </c>
      <c r="C13" s="10" t="s">
        <v>34</v>
      </c>
      <c r="D13" t="s">
        <v>1</v>
      </c>
      <c r="E13">
        <v>1658.01</v>
      </c>
    </row>
    <row r="14" spans="1:6">
      <c r="E14" s="9">
        <v>-8.2011341612231933E-3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1821850</v>
      </c>
      <c r="C16" s="7">
        <v>-34585</v>
      </c>
      <c r="D16" s="5">
        <v>-1.8983450887833795E-2</v>
      </c>
      <c r="E16">
        <v>9</v>
      </c>
    </row>
    <row r="17" spans="1:5">
      <c r="A17" s="4">
        <v>3</v>
      </c>
      <c r="B17" s="7">
        <v>1981650</v>
      </c>
      <c r="C17" s="7">
        <v>-47550</v>
      </c>
      <c r="D17" s="5">
        <v>-2.3995155552191356E-2</v>
      </c>
      <c r="E17">
        <v>8</v>
      </c>
    </row>
    <row r="18" spans="1:5">
      <c r="A18" s="4">
        <v>1</v>
      </c>
      <c r="B18" s="7">
        <v>2294875</v>
      </c>
      <c r="C18" s="7">
        <v>-448750</v>
      </c>
      <c r="D18" s="5">
        <v>-0.19554441963069885</v>
      </c>
      <c r="E18">
        <v>3</v>
      </c>
    </row>
    <row r="19" spans="1:5">
      <c r="A19" s="4"/>
      <c r="B19" s="6">
        <v>6098375</v>
      </c>
      <c r="C19" s="6">
        <v>-530885</v>
      </c>
      <c r="D19" s="5">
        <v>-8.7053518355299564E-2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-84815</v>
      </c>
      <c r="D21" s="5">
        <v>-1.9093468284671986E-2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10540470</v>
      </c>
      <c r="C23" s="6">
        <v>-615700</v>
      </c>
      <c r="D23" s="5">
        <v>-5.8412955020032312E-2</v>
      </c>
      <c r="E23">
        <v>29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BE093-0859-4956-9C4D-02E92AC4B7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34</v>
      </c>
      <c r="D1" t="s">
        <v>1</v>
      </c>
      <c r="E1">
        <v>1658.01</v>
      </c>
    </row>
    <row r="2" spans="1:6">
      <c r="E2" s="9">
        <f>(E1-E13)/E13</f>
        <v>-8.2011341612231933E-3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1821850</v>
      </c>
      <c r="C4" s="7">
        <v>-34585</v>
      </c>
      <c r="D4" s="5">
        <f>C4/B4</f>
        <v>-1.8983450887833795E-2</v>
      </c>
      <c r="E4">
        <v>9</v>
      </c>
    </row>
    <row r="5" spans="1:6">
      <c r="A5" s="4">
        <v>3</v>
      </c>
      <c r="B5" s="7">
        <v>1981650</v>
      </c>
      <c r="C5" s="7">
        <v>-47550</v>
      </c>
      <c r="D5" s="5">
        <f>C5/B5</f>
        <v>-2.3995155552191356E-2</v>
      </c>
      <c r="E5">
        <v>8</v>
      </c>
      <c r="F5" s="8"/>
    </row>
    <row r="6" spans="1:6">
      <c r="A6" s="4">
        <v>1</v>
      </c>
      <c r="B6" s="7">
        <v>2294875</v>
      </c>
      <c r="C6" s="7">
        <v>-448750</v>
      </c>
      <c r="D6" s="5">
        <f>C6/B6</f>
        <v>-0.19554441963069885</v>
      </c>
      <c r="E6">
        <v>3</v>
      </c>
    </row>
    <row r="7" spans="1:6">
      <c r="A7" s="4"/>
      <c r="B7" s="6">
        <f>SUM(B4:B6)</f>
        <v>6098375</v>
      </c>
      <c r="C7" s="6">
        <f>SUM(C4:C6)</f>
        <v>-530885</v>
      </c>
      <c r="D7" s="5">
        <f>C7/B7</f>
        <v>-8.7053518355299564E-2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-84815</v>
      </c>
      <c r="D9" s="5">
        <f>C9/B9</f>
        <v>-1.9093468284671986E-2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10540470</v>
      </c>
      <c r="C11" s="6">
        <f>C7+C9</f>
        <v>-615700</v>
      </c>
      <c r="D11" s="5">
        <f>C11/B11</f>
        <v>-5.8412955020032312E-2</v>
      </c>
      <c r="E11">
        <f>E4+E5+E6+E9</f>
        <v>29</v>
      </c>
    </row>
    <row r="13" spans="1:6" ht="15.75">
      <c r="B13" s="1" t="s">
        <v>0</v>
      </c>
      <c r="C13" s="10" t="s">
        <v>35</v>
      </c>
      <c r="D13" t="s">
        <v>1</v>
      </c>
      <c r="E13">
        <v>1671.72</v>
      </c>
    </row>
    <row r="14" spans="1:6">
      <c r="E14" s="9">
        <v>-7.9872773234906866E-3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-22510</v>
      </c>
      <c r="D16" s="5">
        <v>-1.5502220997899521E-2</v>
      </c>
      <c r="E16">
        <v>6</v>
      </c>
    </row>
    <row r="17" spans="1:5">
      <c r="A17" s="4">
        <v>3</v>
      </c>
      <c r="B17" s="7">
        <v>2238525</v>
      </c>
      <c r="C17" s="7">
        <v>-19950</v>
      </c>
      <c r="D17" s="5">
        <v>-8.9121184708680946E-3</v>
      </c>
      <c r="E17">
        <v>9</v>
      </c>
    </row>
    <row r="18" spans="1:5">
      <c r="A18" s="4">
        <v>1</v>
      </c>
      <c r="B18" s="7">
        <v>2294875</v>
      </c>
      <c r="C18" s="7">
        <v>-466000</v>
      </c>
      <c r="D18" s="5">
        <v>-0.20306116890898196</v>
      </c>
      <c r="E18">
        <v>3</v>
      </c>
    </row>
    <row r="19" spans="1:5">
      <c r="A19" s="4"/>
      <c r="B19" s="6">
        <v>5985450</v>
      </c>
      <c r="C19" s="6">
        <v>-508460</v>
      </c>
      <c r="D19" s="5">
        <v>-8.4949335471852572E-2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-53215</v>
      </c>
      <c r="D21" s="5">
        <v>-1.1979707773021514E-2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10427545</v>
      </c>
      <c r="C23" s="6">
        <v>-561675</v>
      </c>
      <c r="D23" s="5">
        <v>-5.3864548175049834E-2</v>
      </c>
      <c r="E23">
        <v>27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BB41B-F507-425E-A31A-390E159C8561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35</v>
      </c>
      <c r="D1" t="s">
        <v>1</v>
      </c>
      <c r="E1">
        <v>1671.72</v>
      </c>
    </row>
    <row r="2" spans="1:6">
      <c r="E2" s="9">
        <f>(E1-E13)/E13</f>
        <v>-7.9872773234906866E-3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-22510</v>
      </c>
      <c r="D4" s="5">
        <f>C4/B4</f>
        <v>-1.5502220997899521E-2</v>
      </c>
      <c r="E4">
        <v>6</v>
      </c>
    </row>
    <row r="5" spans="1:6">
      <c r="A5" s="4">
        <v>3</v>
      </c>
      <c r="B5" s="7">
        <v>2238525</v>
      </c>
      <c r="C5" s="7">
        <v>-19950</v>
      </c>
      <c r="D5" s="5">
        <f>C5/B5</f>
        <v>-8.9121184708680946E-3</v>
      </c>
      <c r="E5">
        <v>9</v>
      </c>
      <c r="F5" s="8"/>
    </row>
    <row r="6" spans="1:6">
      <c r="A6" s="4">
        <v>1</v>
      </c>
      <c r="B6" s="7">
        <v>2294875</v>
      </c>
      <c r="C6" s="7">
        <v>-466000</v>
      </c>
      <c r="D6" s="5">
        <f>C6/B6</f>
        <v>-0.20306116890898196</v>
      </c>
      <c r="E6">
        <v>3</v>
      </c>
    </row>
    <row r="7" spans="1:6">
      <c r="A7" s="4"/>
      <c r="B7" s="6">
        <f>SUM(B4:B6)</f>
        <v>5985450</v>
      </c>
      <c r="C7" s="6">
        <f>SUM(C4:C6)</f>
        <v>-508460</v>
      </c>
      <c r="D7" s="5">
        <f>C7/B7</f>
        <v>-8.4949335471852572E-2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-53215</v>
      </c>
      <c r="D9" s="5">
        <f>C9/B9</f>
        <v>-1.1979707773021514E-2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10427545</v>
      </c>
      <c r="C11" s="6">
        <f>C7+C9</f>
        <v>-561675</v>
      </c>
      <c r="D11" s="5">
        <f>C11/B11</f>
        <v>-5.3864548175049834E-2</v>
      </c>
      <c r="E11">
        <f>E4+E5+E6+E9</f>
        <v>27</v>
      </c>
    </row>
    <row r="13" spans="1:6" ht="15.75">
      <c r="B13" s="1" t="s">
        <v>0</v>
      </c>
      <c r="C13" s="10" t="s">
        <v>36</v>
      </c>
      <c r="D13" t="s">
        <v>1</v>
      </c>
      <c r="E13">
        <v>1685.18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-11300</v>
      </c>
      <c r="D16" s="5">
        <v>-7.7821011673151752E-3</v>
      </c>
      <c r="E16">
        <v>6</v>
      </c>
    </row>
    <row r="17" spans="1:5">
      <c r="A17" s="4">
        <v>3</v>
      </c>
      <c r="B17" s="7">
        <v>2518025</v>
      </c>
      <c r="C17" s="7">
        <v>-50850</v>
      </c>
      <c r="D17" s="5">
        <v>-2.0194398387625222E-2</v>
      </c>
      <c r="E17">
        <v>11</v>
      </c>
    </row>
    <row r="18" spans="1:5">
      <c r="A18" s="4">
        <v>1</v>
      </c>
      <c r="B18" s="7">
        <v>1856000</v>
      </c>
      <c r="C18" s="7">
        <v>-398000</v>
      </c>
      <c r="D18" s="5">
        <v>-0.21443965517241378</v>
      </c>
      <c r="E18">
        <v>3</v>
      </c>
    </row>
    <row r="19" spans="1:5">
      <c r="A19" s="4"/>
      <c r="B19" s="6">
        <v>5826075</v>
      </c>
      <c r="C19" s="6">
        <v>-460150</v>
      </c>
      <c r="D19" s="5">
        <v>-7.8981132237398249E-2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4207200</v>
      </c>
      <c r="C21" s="7">
        <v>4000</v>
      </c>
      <c r="D21" s="5">
        <v>9.5075109336375738E-4</v>
      </c>
      <c r="E21">
        <v>9</v>
      </c>
    </row>
    <row r="22" spans="1:5">
      <c r="A22" s="4"/>
      <c r="B22" s="7"/>
      <c r="C22" s="7">
        <v>344894.88</v>
      </c>
      <c r="D22" s="5"/>
    </row>
    <row r="23" spans="1:5" ht="15.75">
      <c r="A23" s="1" t="s">
        <v>8</v>
      </c>
      <c r="B23" s="6">
        <v>10033275</v>
      </c>
      <c r="C23" s="6">
        <v>-456150</v>
      </c>
      <c r="D23" s="5">
        <v>-4.546371947345209E-2</v>
      </c>
      <c r="E23">
        <v>29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2DF97-0CA5-4247-B10A-E62B9A135A67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36</v>
      </c>
      <c r="D1" t="s">
        <v>1</v>
      </c>
      <c r="E1">
        <v>1685.18</v>
      </c>
    </row>
    <row r="2" spans="1:6">
      <c r="E2" s="9">
        <f>(E1-E13)/E13</f>
        <v>3.1430442288231278E-3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-11300</v>
      </c>
      <c r="D4" s="5">
        <f>C4/B4</f>
        <v>-7.7821011673151752E-3</v>
      </c>
      <c r="E4">
        <v>6</v>
      </c>
    </row>
    <row r="5" spans="1:6">
      <c r="A5" s="4">
        <v>3</v>
      </c>
      <c r="B5" s="7">
        <v>2518025</v>
      </c>
      <c r="C5" s="7">
        <v>-50850</v>
      </c>
      <c r="D5" s="5">
        <f>C5/B5</f>
        <v>-2.0194398387625222E-2</v>
      </c>
      <c r="E5">
        <v>11</v>
      </c>
      <c r="F5" s="8"/>
    </row>
    <row r="6" spans="1:6">
      <c r="A6" s="4">
        <v>1</v>
      </c>
      <c r="B6" s="7">
        <v>1856000</v>
      </c>
      <c r="C6" s="7">
        <v>-398000</v>
      </c>
      <c r="D6" s="5">
        <f>C6/B6</f>
        <v>-0.21443965517241378</v>
      </c>
      <c r="E6">
        <v>3</v>
      </c>
    </row>
    <row r="7" spans="1:6">
      <c r="A7" s="4"/>
      <c r="B7" s="6">
        <f>SUM(B4:B6)</f>
        <v>5826075</v>
      </c>
      <c r="C7" s="6">
        <f>SUM(C4:C6)</f>
        <v>-460150</v>
      </c>
      <c r="D7" s="5">
        <f>C7/B7</f>
        <v>-7.8981132237398249E-2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4207200</v>
      </c>
      <c r="C9" s="7">
        <v>4000</v>
      </c>
      <c r="D9" s="5">
        <f>C9/B9</f>
        <v>9.5075109336375738E-4</v>
      </c>
      <c r="E9">
        <v>9</v>
      </c>
    </row>
    <row r="10" spans="1:6">
      <c r="A10" s="4"/>
      <c r="B10" s="7"/>
      <c r="C10" s="7">
        <v>344894.88</v>
      </c>
      <c r="D10" s="5"/>
    </row>
    <row r="11" spans="1:6" ht="15.75">
      <c r="A11" s="1" t="s">
        <v>8</v>
      </c>
      <c r="B11" s="6">
        <f>B7+B9</f>
        <v>10033275</v>
      </c>
      <c r="C11" s="6">
        <f>C7+C9</f>
        <v>-456150</v>
      </c>
      <c r="D11" s="5">
        <f>C11/B11</f>
        <v>-4.546371947345209E-2</v>
      </c>
      <c r="E11">
        <f>E4+E5+E6+E9</f>
        <v>29</v>
      </c>
    </row>
    <row r="13" spans="1:6" ht="15.75">
      <c r="B13" s="1" t="s">
        <v>0</v>
      </c>
      <c r="C13" s="10" t="s">
        <v>37</v>
      </c>
      <c r="D13" t="s">
        <v>1</v>
      </c>
      <c r="E13">
        <v>1679.9</v>
      </c>
    </row>
    <row r="14" spans="1:6">
      <c r="E14" s="9">
        <v>-1.9437310296521102E-2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1592050</v>
      </c>
      <c r="C16" s="7">
        <v>-30175</v>
      </c>
      <c r="D16" s="5">
        <v>-1.8953550453817407E-2</v>
      </c>
      <c r="E16">
        <v>7</v>
      </c>
    </row>
    <row r="17" spans="1:5">
      <c r="A17" s="4">
        <v>3</v>
      </c>
      <c r="B17" s="7">
        <v>2669225</v>
      </c>
      <c r="C17" s="7">
        <v>-30525</v>
      </c>
      <c r="D17" s="5">
        <v>-1.143590367990709E-2</v>
      </c>
      <c r="E17">
        <v>12</v>
      </c>
    </row>
    <row r="18" spans="1:5">
      <c r="A18" s="4">
        <v>1</v>
      </c>
      <c r="B18" s="7">
        <v>1856000</v>
      </c>
      <c r="C18" s="7">
        <v>-366000</v>
      </c>
      <c r="D18" s="5">
        <v>-0.19719827586206898</v>
      </c>
      <c r="E18">
        <v>3</v>
      </c>
    </row>
    <row r="19" spans="1:5">
      <c r="A19" s="4"/>
      <c r="B19" s="6">
        <v>6117275</v>
      </c>
      <c r="C19" s="6">
        <v>-426700</v>
      </c>
      <c r="D19" s="5">
        <v>-6.9753280668271411E-2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4117700</v>
      </c>
      <c r="C21" s="7">
        <v>-40000</v>
      </c>
      <c r="D21" s="5">
        <v>-9.7141608179323411E-3</v>
      </c>
      <c r="E21">
        <v>9</v>
      </c>
    </row>
    <row r="22" spans="1:5">
      <c r="A22" s="4"/>
      <c r="B22" s="7"/>
      <c r="C22" s="7">
        <v>337942.88</v>
      </c>
      <c r="D22" s="5"/>
    </row>
    <row r="23" spans="1:5" ht="15.75">
      <c r="A23" s="1" t="s">
        <v>8</v>
      </c>
      <c r="B23" s="6">
        <v>10234975</v>
      </c>
      <c r="C23" s="6">
        <v>-466700</v>
      </c>
      <c r="D23" s="5">
        <v>-4.5598548115652456E-2</v>
      </c>
      <c r="E23">
        <v>31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B418A-4940-43F9-95C4-5C780E9C92A2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37</v>
      </c>
      <c r="D1" t="s">
        <v>1</v>
      </c>
      <c r="E1">
        <v>1679.9</v>
      </c>
    </row>
    <row r="2" spans="1:6">
      <c r="E2" s="9">
        <f>(E1-E13)/E13</f>
        <v>-1.9437310296521102E-2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1592050</v>
      </c>
      <c r="C4" s="7">
        <v>-30175</v>
      </c>
      <c r="D4" s="5">
        <f>C4/B4</f>
        <v>-1.8953550453817407E-2</v>
      </c>
      <c r="E4">
        <v>7</v>
      </c>
    </row>
    <row r="5" spans="1:6">
      <c r="A5" s="4">
        <v>3</v>
      </c>
      <c r="B5" s="7">
        <v>2669225</v>
      </c>
      <c r="C5" s="7">
        <v>-30525</v>
      </c>
      <c r="D5" s="5">
        <f>C5/B5</f>
        <v>-1.143590367990709E-2</v>
      </c>
      <c r="E5">
        <v>12</v>
      </c>
      <c r="F5" s="8"/>
    </row>
    <row r="6" spans="1:6">
      <c r="A6" s="4">
        <v>1</v>
      </c>
      <c r="B6" s="7">
        <v>1856000</v>
      </c>
      <c r="C6" s="7">
        <v>-366000</v>
      </c>
      <c r="D6" s="5">
        <f>C6/B6</f>
        <v>-0.19719827586206898</v>
      </c>
      <c r="E6">
        <v>3</v>
      </c>
    </row>
    <row r="7" spans="1:6">
      <c r="A7" s="4"/>
      <c r="B7" s="6">
        <f>SUM(B4:B6)</f>
        <v>6117275</v>
      </c>
      <c r="C7" s="6">
        <f>SUM(C4:C6)</f>
        <v>-426700</v>
      </c>
      <c r="D7" s="5">
        <f>C7/B7</f>
        <v>-6.9753280668271411E-2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4117700</v>
      </c>
      <c r="C9" s="7">
        <v>-40000</v>
      </c>
      <c r="D9" s="5">
        <f>C9/B9</f>
        <v>-9.7141608179323411E-3</v>
      </c>
      <c r="E9">
        <v>9</v>
      </c>
    </row>
    <row r="10" spans="1:6">
      <c r="A10" s="4"/>
      <c r="B10" s="7"/>
      <c r="C10" s="7">
        <v>337942.88</v>
      </c>
      <c r="D10" s="5"/>
    </row>
    <row r="11" spans="1:6" ht="15.75">
      <c r="A11" s="1" t="s">
        <v>8</v>
      </c>
      <c r="B11" s="6">
        <f>B7+B9</f>
        <v>10234975</v>
      </c>
      <c r="C11" s="6">
        <f>C7+C9</f>
        <v>-466700</v>
      </c>
      <c r="D11" s="5">
        <f>C11/B11</f>
        <v>-4.5598548115652456E-2</v>
      </c>
      <c r="E11">
        <f>E4+E5+E6+E9</f>
        <v>31</v>
      </c>
    </row>
    <row r="13" spans="1:6" ht="15.75">
      <c r="B13" s="1" t="s">
        <v>0</v>
      </c>
      <c r="C13" s="10" t="s">
        <v>38</v>
      </c>
      <c r="D13" t="s">
        <v>1</v>
      </c>
      <c r="E13">
        <v>1713.2</v>
      </c>
    </row>
    <row r="14" spans="1:6">
      <c r="E14" s="9">
        <v>8.2391713747645944E-3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2060800</v>
      </c>
      <c r="C16" s="7">
        <v>-45050</v>
      </c>
      <c r="D16" s="5">
        <v>-2.1860442546583852E-2</v>
      </c>
      <c r="E16">
        <v>8</v>
      </c>
    </row>
    <row r="17" spans="1:5">
      <c r="A17" s="4">
        <v>3</v>
      </c>
      <c r="B17" s="7">
        <v>2812775</v>
      </c>
      <c r="C17" s="7">
        <v>-68825</v>
      </c>
      <c r="D17" s="5">
        <v>-2.4468718614179947E-2</v>
      </c>
      <c r="E17">
        <v>13</v>
      </c>
    </row>
    <row r="18" spans="1:5">
      <c r="A18" s="4">
        <v>1</v>
      </c>
      <c r="B18" s="7">
        <v>1856000</v>
      </c>
      <c r="C18" s="7">
        <v>-293500</v>
      </c>
      <c r="D18" s="5">
        <v>-0.15813577586206898</v>
      </c>
      <c r="E18">
        <v>3</v>
      </c>
    </row>
    <row r="19" spans="1:5">
      <c r="A19" s="4"/>
      <c r="B19" s="6">
        <v>6729575</v>
      </c>
      <c r="C19" s="6">
        <v>-407375</v>
      </c>
      <c r="D19" s="5">
        <v>-6.0535026357533724E-2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4490750</v>
      </c>
      <c r="C21" s="7">
        <v>-55200</v>
      </c>
      <c r="D21" s="5">
        <v>-1.2291933418693982E-2</v>
      </c>
      <c r="E21">
        <v>9</v>
      </c>
    </row>
    <row r="22" spans="1:5">
      <c r="A22" s="4"/>
      <c r="B22" s="7"/>
      <c r="C22" s="7">
        <v>389183</v>
      </c>
      <c r="D22" s="5"/>
    </row>
    <row r="23" spans="1:5" ht="15.75">
      <c r="A23" s="1" t="s">
        <v>8</v>
      </c>
      <c r="B23" s="6">
        <v>11220325</v>
      </c>
      <c r="C23" s="6">
        <v>-462575</v>
      </c>
      <c r="D23" s="5">
        <v>-4.1226524187133615E-2</v>
      </c>
      <c r="E23">
        <v>33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1D35F-DF75-4558-B585-14E22566C12B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38</v>
      </c>
      <c r="D1" t="s">
        <v>1</v>
      </c>
      <c r="E1">
        <v>1713.2</v>
      </c>
    </row>
    <row r="2" spans="1:6">
      <c r="E2" s="9">
        <f>(E1-E13)/E13</f>
        <v>8.2391713747645944E-3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2060800</v>
      </c>
      <c r="C4" s="7">
        <v>-45050</v>
      </c>
      <c r="D4" s="5">
        <f>C4/B4</f>
        <v>-2.1860442546583852E-2</v>
      </c>
      <c r="E4">
        <v>8</v>
      </c>
    </row>
    <row r="5" spans="1:6">
      <c r="A5" s="4">
        <v>3</v>
      </c>
      <c r="B5" s="7">
        <v>2812775</v>
      </c>
      <c r="C5" s="7">
        <v>-68825</v>
      </c>
      <c r="D5" s="5">
        <f>C5/B5</f>
        <v>-2.4468718614179947E-2</v>
      </c>
      <c r="E5">
        <v>13</v>
      </c>
      <c r="F5" s="8"/>
    </row>
    <row r="6" spans="1:6">
      <c r="A6" s="4">
        <v>1</v>
      </c>
      <c r="B6" s="7">
        <v>1856000</v>
      </c>
      <c r="C6" s="7">
        <v>-293500</v>
      </c>
      <c r="D6" s="5">
        <f>C6/B6</f>
        <v>-0.15813577586206898</v>
      </c>
      <c r="E6">
        <v>3</v>
      </c>
    </row>
    <row r="7" spans="1:6">
      <c r="A7" s="4"/>
      <c r="B7" s="6">
        <f>SUM(B4:B6)</f>
        <v>6729575</v>
      </c>
      <c r="C7" s="6">
        <f>SUM(C4:C6)</f>
        <v>-407375</v>
      </c>
      <c r="D7" s="5">
        <f>C7/B7</f>
        <v>-6.0535026357533724E-2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4490750</v>
      </c>
      <c r="C9" s="7">
        <v>-55200</v>
      </c>
      <c r="D9" s="5">
        <f>C9/B9</f>
        <v>-1.2291933418693982E-2</v>
      </c>
      <c r="E9">
        <v>9</v>
      </c>
    </row>
    <row r="10" spans="1:6">
      <c r="A10" s="4"/>
      <c r="B10" s="7"/>
      <c r="C10" s="7">
        <v>389183</v>
      </c>
      <c r="D10" s="5"/>
    </row>
    <row r="11" spans="1:6" ht="15.75">
      <c r="A11" s="1" t="s">
        <v>8</v>
      </c>
      <c r="B11" s="6">
        <f>B7+B9</f>
        <v>11220325</v>
      </c>
      <c r="C11" s="6">
        <f>C7+C9</f>
        <v>-462575</v>
      </c>
      <c r="D11" s="5">
        <f>C11/B11</f>
        <v>-4.1226524187133615E-2</v>
      </c>
      <c r="E11">
        <f>E4+E5+E6+E9</f>
        <v>33</v>
      </c>
    </row>
    <row r="13" spans="1:6" ht="15.75">
      <c r="B13" s="1" t="s">
        <v>0</v>
      </c>
      <c r="C13" s="10" t="s">
        <v>39</v>
      </c>
      <c r="D13" t="s">
        <v>1</v>
      </c>
      <c r="E13">
        <v>1699.2</v>
      </c>
    </row>
    <row r="14" spans="1:6">
      <c r="E14" s="9">
        <v>1.4920380834060051E-2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1147600</v>
      </c>
      <c r="C16" s="7">
        <v>-90725</v>
      </c>
      <c r="D16" s="5">
        <v>-7.9056291390728478E-2</v>
      </c>
      <c r="E16">
        <v>6</v>
      </c>
    </row>
    <row r="17" spans="1:5">
      <c r="A17" s="4">
        <v>3</v>
      </c>
      <c r="B17" s="7">
        <v>3728950</v>
      </c>
      <c r="C17" s="7">
        <v>-91375</v>
      </c>
      <c r="D17" s="5">
        <v>-2.4504217004786871E-2</v>
      </c>
      <c r="E17">
        <v>16</v>
      </c>
    </row>
    <row r="18" spans="1:5">
      <c r="A18" s="4">
        <v>1</v>
      </c>
      <c r="B18" s="7">
        <v>1161000</v>
      </c>
      <c r="C18" s="7">
        <v>-217000</v>
      </c>
      <c r="D18" s="5">
        <v>-0.18690783807062877</v>
      </c>
      <c r="E18">
        <v>2</v>
      </c>
    </row>
    <row r="19" spans="1:5">
      <c r="A19" s="4"/>
      <c r="B19" s="6">
        <v>6037550</v>
      </c>
      <c r="C19" s="6">
        <v>-399100</v>
      </c>
      <c r="D19" s="5">
        <v>-6.6102972232114018E-2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5136750</v>
      </c>
      <c r="C21" s="7">
        <v>-153950</v>
      </c>
      <c r="D21" s="5">
        <v>-2.9970311967683846E-2</v>
      </c>
      <c r="E21">
        <v>10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11174300</v>
      </c>
      <c r="C23" s="6">
        <v>-553050</v>
      </c>
      <c r="D23" s="5">
        <v>-4.9493033120642904E-2</v>
      </c>
      <c r="E23">
        <v>34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CA52A-C3B7-4244-958C-C0AE26E08A89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39</v>
      </c>
      <c r="D1" t="s">
        <v>1</v>
      </c>
      <c r="E1">
        <v>1699.2</v>
      </c>
    </row>
    <row r="2" spans="1:6">
      <c r="E2" s="9">
        <f>(E1-E13)/E13</f>
        <v>1.4920380834060051E-2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1147600</v>
      </c>
      <c r="C4" s="7">
        <v>-90725</v>
      </c>
      <c r="D4" s="5">
        <f>C4/B4</f>
        <v>-7.9056291390728478E-2</v>
      </c>
      <c r="E4">
        <v>6</v>
      </c>
    </row>
    <row r="5" spans="1:6">
      <c r="A5" s="4">
        <v>3</v>
      </c>
      <c r="B5" s="7">
        <v>3728950</v>
      </c>
      <c r="C5" s="7">
        <v>-91375</v>
      </c>
      <c r="D5" s="5">
        <f>C5/B5</f>
        <v>-2.4504217004786871E-2</v>
      </c>
      <c r="E5">
        <v>16</v>
      </c>
      <c r="F5" s="8"/>
    </row>
    <row r="6" spans="1:6">
      <c r="A6" s="4">
        <v>1</v>
      </c>
      <c r="B6" s="7">
        <v>1161000</v>
      </c>
      <c r="C6" s="7">
        <v>-217000</v>
      </c>
      <c r="D6" s="5">
        <f>C6/B6</f>
        <v>-0.18690783807062877</v>
      </c>
      <c r="E6">
        <v>2</v>
      </c>
    </row>
    <row r="7" spans="1:6">
      <c r="A7" s="4"/>
      <c r="B7" s="6">
        <f>SUM(B4:B6)</f>
        <v>6037550</v>
      </c>
      <c r="C7" s="6">
        <f>SUM(C4:C6)</f>
        <v>-399100</v>
      </c>
      <c r="D7" s="5">
        <f>C7/B7</f>
        <v>-6.6102972232114018E-2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5136750</v>
      </c>
      <c r="C9" s="7">
        <v>-153950</v>
      </c>
      <c r="D9" s="5">
        <f>C9/B9</f>
        <v>-2.9970311967683846E-2</v>
      </c>
      <c r="E9">
        <v>10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11174300</v>
      </c>
      <c r="C11" s="6">
        <f>C7+C9</f>
        <v>-553050</v>
      </c>
      <c r="D11" s="5">
        <f>C11/B11</f>
        <v>-4.9493033120642904E-2</v>
      </c>
      <c r="E11">
        <f>E4+E5+E6+E9</f>
        <v>34</v>
      </c>
    </row>
    <row r="13" spans="1:6" ht="15.75">
      <c r="B13" s="1" t="s">
        <v>0</v>
      </c>
      <c r="C13" s="10" t="s">
        <v>40</v>
      </c>
      <c r="D13" t="s">
        <v>1</v>
      </c>
      <c r="E13">
        <v>1674.22</v>
      </c>
    </row>
    <row r="14" spans="1:6">
      <c r="E14" s="9">
        <v>1.541111468271061E-2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1011000</v>
      </c>
      <c r="C16" s="7">
        <v>-65875</v>
      </c>
      <c r="D16" s="5">
        <v>-6.5158259149357078E-2</v>
      </c>
      <c r="E16">
        <v>6</v>
      </c>
    </row>
    <row r="17" spans="1:5">
      <c r="A17" s="4">
        <v>3</v>
      </c>
      <c r="B17" s="7">
        <v>4730850</v>
      </c>
      <c r="C17" s="7">
        <v>-127025</v>
      </c>
      <c r="D17" s="5">
        <v>-2.6850354587442005E-2</v>
      </c>
      <c r="E17">
        <v>19</v>
      </c>
    </row>
    <row r="18" spans="1:5">
      <c r="A18" s="4">
        <v>1</v>
      </c>
      <c r="B18" s="7">
        <v>388500</v>
      </c>
      <c r="C18" s="7">
        <v>-43500</v>
      </c>
      <c r="D18" s="5">
        <v>-0.11196911196911197</v>
      </c>
      <c r="E18">
        <v>1</v>
      </c>
    </row>
    <row r="19" spans="1:5">
      <c r="A19" s="4"/>
      <c r="B19" s="6">
        <v>6130350</v>
      </c>
      <c r="C19" s="6">
        <v>-236400</v>
      </c>
      <c r="D19" s="5">
        <v>-3.8562235435170913E-2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5011750</v>
      </c>
      <c r="C21" s="7">
        <v>-193350</v>
      </c>
      <c r="D21" s="5">
        <v>-3.8579338554397165E-2</v>
      </c>
      <c r="E21">
        <v>9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11142100</v>
      </c>
      <c r="C23" s="6">
        <v>-429750</v>
      </c>
      <c r="D23" s="5">
        <v>-3.8569928469498568E-2</v>
      </c>
      <c r="E23">
        <v>35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8B49-1460-439D-85C7-09F740EFAF4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40</v>
      </c>
      <c r="D1" t="s">
        <v>1</v>
      </c>
      <c r="E1">
        <v>1674.22</v>
      </c>
    </row>
    <row r="2" spans="1:6">
      <c r="E2" s="9">
        <f>(E1-E13)/E13</f>
        <v>1.541111468271061E-2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1011000</v>
      </c>
      <c r="C4" s="7">
        <v>-65875</v>
      </c>
      <c r="D4" s="5">
        <f>C4/B4</f>
        <v>-6.5158259149357078E-2</v>
      </c>
      <c r="E4">
        <v>6</v>
      </c>
    </row>
    <row r="5" spans="1:6">
      <c r="A5" s="4">
        <v>3</v>
      </c>
      <c r="B5" s="7">
        <v>4730850</v>
      </c>
      <c r="C5" s="7">
        <v>-127025</v>
      </c>
      <c r="D5" s="5">
        <f>C5/B5</f>
        <v>-2.6850354587442005E-2</v>
      </c>
      <c r="E5">
        <v>19</v>
      </c>
      <c r="F5" s="8"/>
    </row>
    <row r="6" spans="1:6">
      <c r="A6" s="4">
        <v>1</v>
      </c>
      <c r="B6" s="7">
        <v>388500</v>
      </c>
      <c r="C6" s="7">
        <v>-43500</v>
      </c>
      <c r="D6" s="5">
        <f>C6/B6</f>
        <v>-0.11196911196911197</v>
      </c>
      <c r="E6">
        <v>1</v>
      </c>
    </row>
    <row r="7" spans="1:6">
      <c r="A7" s="4"/>
      <c r="B7" s="6">
        <f>SUM(B4:B6)</f>
        <v>6130350</v>
      </c>
      <c r="C7" s="6">
        <f>SUM(C4:C6)</f>
        <v>-236400</v>
      </c>
      <c r="D7" s="5">
        <f>C7/B7</f>
        <v>-3.8562235435170913E-2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5011750</v>
      </c>
      <c r="C9" s="7">
        <v>-193350</v>
      </c>
      <c r="D9" s="5">
        <f>C9/B9</f>
        <v>-3.8579338554397165E-2</v>
      </c>
      <c r="E9">
        <v>9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11142100</v>
      </c>
      <c r="C11" s="6">
        <f>C7+C9</f>
        <v>-429750</v>
      </c>
      <c r="D11" s="5">
        <f>C11/B11</f>
        <v>-3.8569928469498568E-2</v>
      </c>
      <c r="E11">
        <f>E4+E5+E6+E9</f>
        <v>35</v>
      </c>
    </row>
    <row r="13" spans="1:6" ht="15.75">
      <c r="B13" s="1" t="s">
        <v>0</v>
      </c>
      <c r="C13" s="10" t="s">
        <v>41</v>
      </c>
      <c r="D13" t="s">
        <v>1</v>
      </c>
      <c r="E13">
        <v>1648.81</v>
      </c>
    </row>
    <row r="14" spans="1:6">
      <c r="E14" s="9">
        <v>-2.3718332698021288E-3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886000</v>
      </c>
      <c r="C16" s="7">
        <v>-70625</v>
      </c>
      <c r="D16" s="5">
        <v>-7.9712189616252815E-2</v>
      </c>
      <c r="E16">
        <v>5</v>
      </c>
    </row>
    <row r="17" spans="1:5">
      <c r="A17" s="4">
        <v>3</v>
      </c>
      <c r="B17" s="7">
        <v>4647950</v>
      </c>
      <c r="C17" s="7">
        <v>-139925</v>
      </c>
      <c r="D17" s="5">
        <v>-3.0104669800664809E-2</v>
      </c>
      <c r="E17">
        <v>19</v>
      </c>
    </row>
    <row r="18" spans="1:5">
      <c r="A18" s="4">
        <v>1</v>
      </c>
      <c r="B18" s="7">
        <v>388500</v>
      </c>
      <c r="C18" s="7">
        <v>-19500</v>
      </c>
      <c r="D18" s="5">
        <v>-5.019305019305019E-2</v>
      </c>
      <c r="E18">
        <v>1</v>
      </c>
    </row>
    <row r="19" spans="1:5">
      <c r="A19" s="4"/>
      <c r="B19" s="6">
        <v>5922450</v>
      </c>
      <c r="C19" s="6">
        <v>-230050</v>
      </c>
      <c r="D19" s="5">
        <v>-3.8843721770551037E-2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5095250</v>
      </c>
      <c r="C21" s="7">
        <v>-264150</v>
      </c>
      <c r="D21" s="5">
        <v>-5.1842402237377953E-2</v>
      </c>
      <c r="E21">
        <v>9</v>
      </c>
    </row>
    <row r="22" spans="1:5">
      <c r="A22" s="4"/>
      <c r="B22" s="7"/>
      <c r="C22" s="7">
        <v>483886</v>
      </c>
      <c r="D22" s="5"/>
    </row>
    <row r="23" spans="1:5" ht="15.75">
      <c r="A23" s="1" t="s">
        <v>8</v>
      </c>
      <c r="B23" s="6">
        <v>11017700</v>
      </c>
      <c r="C23" s="6">
        <v>-494200</v>
      </c>
      <c r="D23" s="5">
        <v>-4.4855096798787408E-2</v>
      </c>
      <c r="E23">
        <v>34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E5867-CD8F-42FC-B01A-7B710005197E}">
  <dimension ref="A1:F23"/>
  <sheetViews>
    <sheetView workbookViewId="0">
      <selection sqref="A1:XFD104857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41</v>
      </c>
      <c r="D1" t="s">
        <v>1</v>
      </c>
      <c r="E1">
        <v>1648.81</v>
      </c>
    </row>
    <row r="2" spans="1:6">
      <c r="E2" s="9">
        <f>(E1-E13)/E13</f>
        <v>-2.3718332698021288E-3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886000</v>
      </c>
      <c r="C4" s="7">
        <v>-70625</v>
      </c>
      <c r="D4" s="5">
        <f>C4/B4</f>
        <v>-7.9712189616252815E-2</v>
      </c>
      <c r="E4">
        <v>5</v>
      </c>
    </row>
    <row r="5" spans="1:6">
      <c r="A5" s="4">
        <v>3</v>
      </c>
      <c r="B5" s="7">
        <v>4647950</v>
      </c>
      <c r="C5" s="7">
        <v>-139925</v>
      </c>
      <c r="D5" s="5">
        <f>C5/B5</f>
        <v>-3.0104669800664809E-2</v>
      </c>
      <c r="E5">
        <v>19</v>
      </c>
      <c r="F5" s="8"/>
    </row>
    <row r="6" spans="1:6">
      <c r="A6" s="4">
        <v>1</v>
      </c>
      <c r="B6" s="7">
        <v>388500</v>
      </c>
      <c r="C6" s="7">
        <v>-19500</v>
      </c>
      <c r="D6" s="5">
        <f>C6/B6</f>
        <v>-5.019305019305019E-2</v>
      </c>
      <c r="E6">
        <v>1</v>
      </c>
    </row>
    <row r="7" spans="1:6">
      <c r="A7" s="4"/>
      <c r="B7" s="6">
        <f>SUM(B4:B6)</f>
        <v>5922450</v>
      </c>
      <c r="C7" s="6">
        <f>SUM(C4:C6)</f>
        <v>-230050</v>
      </c>
      <c r="D7" s="5">
        <f>C7/B7</f>
        <v>-3.8843721770551037E-2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5095250</v>
      </c>
      <c r="C9" s="7">
        <v>-264150</v>
      </c>
      <c r="D9" s="5">
        <f>C9/B9</f>
        <v>-5.1842402237377953E-2</v>
      </c>
      <c r="E9">
        <v>9</v>
      </c>
    </row>
    <row r="10" spans="1:6">
      <c r="A10" s="4"/>
      <c r="B10" s="7"/>
      <c r="C10" s="7">
        <v>483886</v>
      </c>
      <c r="D10" s="5"/>
    </row>
    <row r="11" spans="1:6" ht="15.75">
      <c r="A11" s="1" t="s">
        <v>8</v>
      </c>
      <c r="B11" s="6">
        <f>B7+B9</f>
        <v>11017700</v>
      </c>
      <c r="C11" s="6">
        <f>C7+C9</f>
        <v>-494200</v>
      </c>
      <c r="D11" s="5">
        <f>C11/B11</f>
        <v>-4.4855096798787408E-2</v>
      </c>
      <c r="E11">
        <f>E4+E5+E6+E9</f>
        <v>34</v>
      </c>
    </row>
    <row r="13" spans="1:6" ht="15.75">
      <c r="B13" s="1" t="s">
        <v>0</v>
      </c>
      <c r="C13" s="10" t="s">
        <v>42</v>
      </c>
      <c r="D13" t="s">
        <v>1</v>
      </c>
      <c r="E13">
        <v>1652.73</v>
      </c>
    </row>
    <row r="14" spans="1:6">
      <c r="E14" s="9">
        <v>-1.1897430991910997E-2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1416100</v>
      </c>
      <c r="C16" s="7">
        <v>-66850</v>
      </c>
      <c r="D16" s="5">
        <v>-4.7207118141374196E-2</v>
      </c>
      <c r="E16">
        <v>6</v>
      </c>
    </row>
    <row r="17" spans="1:5">
      <c r="A17" s="4">
        <v>3</v>
      </c>
      <c r="B17" s="7">
        <v>4247500</v>
      </c>
      <c r="C17" s="7">
        <v>-92750</v>
      </c>
      <c r="D17" s="5">
        <v>-2.1836374337845792E-2</v>
      </c>
      <c r="E17">
        <v>18</v>
      </c>
    </row>
    <row r="18" spans="1:5">
      <c r="A18" s="4">
        <v>1</v>
      </c>
      <c r="B18" s="7">
        <v>388500</v>
      </c>
      <c r="C18" s="7">
        <v>-45000</v>
      </c>
      <c r="D18" s="5">
        <v>-0.11583011583011583</v>
      </c>
      <c r="E18">
        <v>1</v>
      </c>
    </row>
    <row r="19" spans="1:5">
      <c r="A19" s="4"/>
      <c r="B19" s="6">
        <v>6052100</v>
      </c>
      <c r="C19" s="6">
        <v>-204600</v>
      </c>
      <c r="D19" s="5">
        <v>-3.3806447348854116E-2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-276150</v>
      </c>
      <c r="D21" s="5">
        <v>-5.3323678493845041E-2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11230850</v>
      </c>
      <c r="C23" s="6">
        <v>-480750</v>
      </c>
      <c r="D23" s="5">
        <v>-4.2806198996514069E-2</v>
      </c>
      <c r="E23">
        <v>34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AAE9F-72D9-4FEB-B5C4-E4C39114969C}">
  <dimension ref="A1:F23"/>
  <sheetViews>
    <sheetView workbookViewId="0">
      <selection activeCell="D6" sqref="D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42</v>
      </c>
      <c r="D1" t="s">
        <v>1</v>
      </c>
      <c r="E1">
        <v>1652.73</v>
      </c>
    </row>
    <row r="2" spans="1:6">
      <c r="E2" s="9">
        <f>(E1-E13)/E13</f>
        <v>-1.1897430991910997E-2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1416100</v>
      </c>
      <c r="C4" s="7">
        <v>-66850</v>
      </c>
      <c r="D4" s="5">
        <f>C4/B4</f>
        <v>-4.7207118141374196E-2</v>
      </c>
      <c r="E4">
        <v>6</v>
      </c>
    </row>
    <row r="5" spans="1:6">
      <c r="A5" s="4">
        <v>3</v>
      </c>
      <c r="B5" s="7">
        <v>4247500</v>
      </c>
      <c r="C5" s="7">
        <v>-92750</v>
      </c>
      <c r="D5" s="5">
        <f>C5/B5</f>
        <v>-2.1836374337845792E-2</v>
      </c>
      <c r="E5">
        <v>18</v>
      </c>
      <c r="F5" s="8"/>
    </row>
    <row r="6" spans="1:6">
      <c r="A6" s="4">
        <v>1</v>
      </c>
      <c r="B6" s="7">
        <v>388500</v>
      </c>
      <c r="C6" s="7">
        <v>-45000</v>
      </c>
      <c r="D6" s="5">
        <f>C6/B6</f>
        <v>-0.11583011583011583</v>
      </c>
      <c r="E6">
        <v>1</v>
      </c>
    </row>
    <row r="7" spans="1:6">
      <c r="A7" s="4"/>
      <c r="B7" s="6">
        <f>SUM(B4:B6)</f>
        <v>6052100</v>
      </c>
      <c r="C7" s="6">
        <f>SUM(C4:C6)</f>
        <v>-204600</v>
      </c>
      <c r="D7" s="5">
        <f>C7/B7</f>
        <v>-3.3806447348854116E-2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-276150</v>
      </c>
      <c r="D9" s="5">
        <f>C9/B9</f>
        <v>-5.3323678493845041E-2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11230850</v>
      </c>
      <c r="C11" s="6">
        <f>C7+C9</f>
        <v>-480750</v>
      </c>
      <c r="D11" s="5">
        <f>C11/B11</f>
        <v>-4.2806198996514069E-2</v>
      </c>
      <c r="E11">
        <f>E4+E5+E6+E9</f>
        <v>34</v>
      </c>
    </row>
    <row r="13" spans="1:6" ht="15.75">
      <c r="B13" s="1" t="s">
        <v>0</v>
      </c>
      <c r="C13" s="10" t="s">
        <v>43</v>
      </c>
      <c r="D13" t="s">
        <v>1</v>
      </c>
      <c r="E13">
        <v>1672.63</v>
      </c>
    </row>
    <row r="14" spans="1:6">
      <c r="E14" s="9">
        <v>9.0551513615908467E-3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1740000</v>
      </c>
      <c r="C16" s="7">
        <v>9450</v>
      </c>
      <c r="D16" s="5">
        <v>5.4310344827586208E-3</v>
      </c>
      <c r="E16">
        <v>8</v>
      </c>
    </row>
    <row r="17" spans="1:5">
      <c r="A17" s="4">
        <v>3</v>
      </c>
      <c r="B17" s="7">
        <v>3793100</v>
      </c>
      <c r="C17" s="7">
        <v>105050</v>
      </c>
      <c r="D17" s="5">
        <v>2.7695025177295617E-2</v>
      </c>
      <c r="E17">
        <v>17</v>
      </c>
    </row>
    <row r="18" spans="1:5">
      <c r="A18" s="4">
        <v>1</v>
      </c>
      <c r="B18" s="7">
        <v>293700</v>
      </c>
      <c r="C18" s="7">
        <v>-27500</v>
      </c>
      <c r="D18" s="5">
        <v>-9.3632958801498134E-2</v>
      </c>
      <c r="E18">
        <v>1</v>
      </c>
    </row>
    <row r="19" spans="1:5">
      <c r="A19" s="4"/>
      <c r="B19" s="6">
        <v>5826800</v>
      </c>
      <c r="C19" s="6">
        <v>87000</v>
      </c>
      <c r="D19" s="5">
        <v>1.4931008443742707E-2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-203600</v>
      </c>
      <c r="D21" s="5">
        <v>-3.9314506396331161E-2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11005550</v>
      </c>
      <c r="C23" s="6">
        <v>-116600</v>
      </c>
      <c r="D23" s="5">
        <v>-1.0594654515221865E-2</v>
      </c>
      <c r="E23">
        <v>35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71FC-3E26-435C-B670-3E15F5E34BAF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43</v>
      </c>
      <c r="D1" t="s">
        <v>1</v>
      </c>
      <c r="E1">
        <v>1672.63</v>
      </c>
    </row>
    <row r="2" spans="1:6">
      <c r="E2" s="9">
        <f>(E1-E13)/E13</f>
        <v>9.0551513615908467E-3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1740000</v>
      </c>
      <c r="C4" s="7">
        <v>9450</v>
      </c>
      <c r="D4" s="5">
        <f>C4/B4</f>
        <v>5.4310344827586208E-3</v>
      </c>
      <c r="E4">
        <v>8</v>
      </c>
    </row>
    <row r="5" spans="1:6">
      <c r="A5" s="4">
        <v>3</v>
      </c>
      <c r="B5" s="7">
        <v>3793100</v>
      </c>
      <c r="C5" s="7">
        <v>105050</v>
      </c>
      <c r="D5" s="5">
        <f>C5/B5</f>
        <v>2.7695025177295617E-2</v>
      </c>
      <c r="E5">
        <v>17</v>
      </c>
      <c r="F5" s="8"/>
    </row>
    <row r="6" spans="1:6">
      <c r="A6" s="4">
        <v>1</v>
      </c>
      <c r="B6" s="7">
        <v>293700</v>
      </c>
      <c r="C6" s="7">
        <v>-27500</v>
      </c>
      <c r="D6" s="5">
        <f>C6/B6</f>
        <v>-9.3632958801498134E-2</v>
      </c>
      <c r="E6">
        <v>1</v>
      </c>
    </row>
    <row r="7" spans="1:6">
      <c r="A7" s="4"/>
      <c r="B7" s="6">
        <f>SUM(B4:B6)</f>
        <v>5826800</v>
      </c>
      <c r="C7" s="6">
        <f>SUM(C4:C6)</f>
        <v>87000</v>
      </c>
      <c r="D7" s="5">
        <f>C7/B7</f>
        <v>1.4931008443742707E-2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-203600</v>
      </c>
      <c r="D9" s="5">
        <f>C9/B9</f>
        <v>-3.9314506396331161E-2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11005550</v>
      </c>
      <c r="C11" s="6">
        <f>C7+C9</f>
        <v>-116600</v>
      </c>
      <c r="D11" s="5">
        <f>C11/B11</f>
        <v>-1.0594654515221865E-2</v>
      </c>
      <c r="E11">
        <f>E4+E5+E6+E9</f>
        <v>35</v>
      </c>
    </row>
    <row r="13" spans="1:6" ht="15.75">
      <c r="B13" s="1" t="s">
        <v>0</v>
      </c>
      <c r="C13" s="10" t="s">
        <v>44</v>
      </c>
      <c r="D13" t="s">
        <v>1</v>
      </c>
      <c r="E13">
        <v>1657.62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1996700</v>
      </c>
      <c r="C16" s="7">
        <v>-24075</v>
      </c>
      <c r="D16" s="5">
        <v>-1.2057394701257074E-2</v>
      </c>
      <c r="E16">
        <v>8</v>
      </c>
    </row>
    <row r="17" spans="1:5">
      <c r="A17" s="4">
        <v>3</v>
      </c>
      <c r="B17" s="7">
        <v>3435500</v>
      </c>
      <c r="C17" s="7">
        <v>104725</v>
      </c>
      <c r="D17" s="5">
        <v>3.0483190219764228E-2</v>
      </c>
      <c r="E17">
        <v>16</v>
      </c>
    </row>
    <row r="18" spans="1:5">
      <c r="A18" s="4">
        <v>1</v>
      </c>
      <c r="B18" s="7">
        <v>293700</v>
      </c>
      <c r="C18" s="7">
        <v>-34100</v>
      </c>
      <c r="D18" s="5">
        <v>-0.11610486891385768</v>
      </c>
      <c r="E18">
        <v>1</v>
      </c>
    </row>
    <row r="19" spans="1:5">
      <c r="A19" s="4"/>
      <c r="B19" s="6">
        <v>5725900</v>
      </c>
      <c r="C19" s="6">
        <v>46550</v>
      </c>
      <c r="D19" s="5">
        <v>8.1297263312317715E-3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-274000</v>
      </c>
      <c r="D21" s="5">
        <v>-5.2908520395848417E-2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10904650</v>
      </c>
      <c r="C23" s="6">
        <v>-227450</v>
      </c>
      <c r="D23" s="5">
        <v>-2.0858074307749445E-2</v>
      </c>
      <c r="E23">
        <v>34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D035-491D-48AC-9D28-7B8FC087CB70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44</v>
      </c>
      <c r="D1" t="s">
        <v>1</v>
      </c>
      <c r="E1">
        <v>1657.62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1996700</v>
      </c>
      <c r="C4" s="7">
        <v>-24075</v>
      </c>
      <c r="D4" s="5">
        <f>C4/B4</f>
        <v>-1.2057394701257074E-2</v>
      </c>
      <c r="E4">
        <v>8</v>
      </c>
    </row>
    <row r="5" spans="1:6">
      <c r="A5" s="4">
        <v>3</v>
      </c>
      <c r="B5" s="7">
        <v>3435500</v>
      </c>
      <c r="C5" s="7">
        <v>104725</v>
      </c>
      <c r="D5" s="5">
        <f>C5/B5</f>
        <v>3.0483190219764228E-2</v>
      </c>
      <c r="E5">
        <v>16</v>
      </c>
      <c r="F5" s="8"/>
    </row>
    <row r="6" spans="1:6">
      <c r="A6" s="4">
        <v>1</v>
      </c>
      <c r="B6" s="7">
        <v>293700</v>
      </c>
      <c r="C6" s="7">
        <v>-34100</v>
      </c>
      <c r="D6" s="5">
        <f>C6/B6</f>
        <v>-0.11610486891385768</v>
      </c>
      <c r="E6">
        <v>1</v>
      </c>
    </row>
    <row r="7" spans="1:6">
      <c r="A7" s="4"/>
      <c r="B7" s="6">
        <f>SUM(B4:B6)</f>
        <v>5725900</v>
      </c>
      <c r="C7" s="6">
        <f>SUM(C4:C6)</f>
        <v>46550</v>
      </c>
      <c r="D7" s="5">
        <f>C7/B7</f>
        <v>8.1297263312317715E-3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-274000</v>
      </c>
      <c r="D9" s="5">
        <f>C9/B9</f>
        <v>-5.2908520395848417E-2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10904650</v>
      </c>
      <c r="C11" s="6">
        <f>C7+C9</f>
        <v>-227450</v>
      </c>
      <c r="D11" s="5">
        <f>C11/B11</f>
        <v>-2.0858074307749445E-2</v>
      </c>
      <c r="E11">
        <f>E4+E5+E6+E9</f>
        <v>34</v>
      </c>
    </row>
    <row r="13" spans="1:6" ht="15.75">
      <c r="B13" s="1" t="s">
        <v>0</v>
      </c>
      <c r="C13" s="10" t="s">
        <v>45</v>
      </c>
      <c r="D13" t="s">
        <v>1</v>
      </c>
      <c r="E13">
        <v>1657.62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2901950</v>
      </c>
      <c r="C16" s="7">
        <v>-10575</v>
      </c>
      <c r="D16" s="5">
        <v>-3.64410138010648E-3</v>
      </c>
      <c r="E16">
        <v>10</v>
      </c>
    </row>
    <row r="17" spans="1:5">
      <c r="A17" s="4">
        <v>3</v>
      </c>
      <c r="B17" s="7">
        <v>2405550</v>
      </c>
      <c r="C17" s="7">
        <v>-4675</v>
      </c>
      <c r="D17" s="5">
        <v>-1.94342250213049E-3</v>
      </c>
      <c r="E17">
        <v>13</v>
      </c>
    </row>
    <row r="18" spans="1:5">
      <c r="A18" s="4">
        <v>1</v>
      </c>
      <c r="B18" s="7">
        <v>293700</v>
      </c>
      <c r="C18" s="7">
        <v>-35200</v>
      </c>
      <c r="D18" s="5">
        <v>-0.1198501872659176</v>
      </c>
      <c r="E18">
        <v>1</v>
      </c>
    </row>
    <row r="19" spans="1:5">
      <c r="A19" s="4"/>
      <c r="B19" s="6">
        <v>5601200</v>
      </c>
      <c r="C19" s="6">
        <v>-50450</v>
      </c>
      <c r="D19" s="5">
        <v>-9.0069985003213594E-3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-272700</v>
      </c>
      <c r="D21" s="5">
        <v>-5.2657494569152787E-2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10779950</v>
      </c>
      <c r="C23" s="6">
        <v>-323150</v>
      </c>
      <c r="D23" s="5">
        <v>-2.9976947945027574E-2</v>
      </c>
      <c r="E23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2021-03-08T15:38:37Z</dcterms:created>
  <dcterms:modified xsi:type="dcterms:W3CDTF">2023-01-01T07:09:26Z</dcterms:modified>
  <cp:category/>
  <cp:contentStatus/>
</cp:coreProperties>
</file>