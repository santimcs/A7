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57" documentId="8_{9A02EB98-7EB2-4F6F-BBDA-0A28C0527E53}" xr6:coauthVersionLast="47" xr6:coauthVersionMax="47" xr10:uidLastSave="{8A7E8F9E-64BD-40D2-8B13-845047E7188D}"/>
  <bookViews>
    <workbookView xWindow="-120" yWindow="-120" windowWidth="15600" windowHeight="11760" tabRatio="461" firstSheet="6" activeTab="13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96" l="1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H3" i="196" l="1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3" i="196" l="1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H7" i="202" l="1"/>
  <c r="G7" i="202"/>
  <c r="F7" i="202"/>
  <c r="E9" i="202"/>
  <c r="H8" i="202"/>
  <c r="G8" i="202"/>
  <c r="F8" i="202"/>
  <c r="J14" i="202"/>
  <c r="J18" i="199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0" i="195"/>
  <c r="G10" i="195"/>
  <c r="F10" i="195"/>
  <c r="J22" i="46"/>
  <c r="J24" i="46" s="1"/>
  <c r="J26" i="46" s="1"/>
  <c r="I22" i="46"/>
  <c r="I24" i="46" s="1"/>
  <c r="I26" i="46" s="1"/>
  <c r="I8" i="202" l="1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0" i="195"/>
  <c r="J10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<sst xmlns="http://schemas.openxmlformats.org/spreadsheetml/2006/main" count="412" uniqueCount="35">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</sst>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19.2</v>
      </c>
      <c r="E7" s="94">
        <f>C7*D7</f>
        <v>192000</v>
      </c>
      <c r="F7" s="94">
        <f>E7*0.002</f>
        <v>384</v>
      </c>
      <c r="G7" s="94">
        <f>E7*0.000068</f>
        <v>13.055999999999999</v>
      </c>
      <c r="H7" s="94">
        <f>E7*0.00001</f>
        <v>1.9200000000000002</v>
      </c>
      <c r="I7" s="94">
        <f>(F7+G7+H7)*0.07</f>
        <v>27.928320000000003</v>
      </c>
      <c r="J7" s="94">
        <f>E7+F7+I7+G7+H7</f>
        <v>192426.90432000003</v>
      </c>
    </row>
    <row r="8" spans="1:14" s="63" customFormat="1" ht="21.75">
      <c r="A8" s="77"/>
      <c r="B8" s="81">
        <f>(D7-D6)/D6</f>
        <v>1.587301587301591E-2</v>
      </c>
      <c r="C8" s="79">
        <f>SUM(C6:C7)</f>
        <v>30000</v>
      </c>
      <c r="D8" s="80">
        <f>E8/C8</f>
        <v>19</v>
      </c>
      <c r="E8" s="79">
        <f t="shared" ref="E8:J8" si="2">SUM(E6:E7)</f>
        <v>570000</v>
      </c>
      <c r="F8" s="79">
        <f t="shared" si="2"/>
        <v>1140</v>
      </c>
      <c r="G8" s="79">
        <f t="shared" si="2"/>
        <v>37.984000000000002</v>
      </c>
      <c r="H8" s="79">
        <f t="shared" si="2"/>
        <v>5.7</v>
      </c>
      <c r="I8" s="79">
        <f t="shared" si="2"/>
        <v>82.857880000000009</v>
      </c>
      <c r="J8" s="79">
        <f t="shared" si="2"/>
        <v>571266.54188000003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tabSelected="1"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:XFD14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33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2023-01-09T14:23:18Z</dcterms:modified>
  <cp:category/>
  <cp:contentStatus/>
</cp:coreProperties>
</file>