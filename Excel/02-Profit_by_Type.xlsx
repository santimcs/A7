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1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625" documentId="8_{9A02EB98-7EB2-4F6F-BBDA-0A28C0527E53}" xr6:coauthVersionLast="47" xr6:coauthVersionMax="47" xr10:uidLastSave="{7E570809-7404-4AC8-9D7A-94E590E4E6C6}"/>
  <bookViews>
    <workbookView xWindow="-120" yWindow="-120" windowWidth="15600" windowHeight="11760" tabRatio="461" firstSheet="13" activeTab="12" xr2:uid="{00000000-000D-0000-FFFF-FFFF00000000}"/>
  </bookViews>
  <sheets>
    <sheet name="KCE" sheetId="206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IF" sheetId="57" r:id="rId8"/>
    <sheet name="DOHOME" sheetId="170" r:id="rId9"/>
    <sheet name="GVREIT" sheetId="195" r:id="rId10"/>
    <sheet name="IVL" sheetId="196" r:id="rId11"/>
    <sheet name="JASIF" sheetId="46" r:id="rId12"/>
    <sheet name="JMART" sheetId="204" r:id="rId13"/>
    <sheet name="JMT" sheetId="205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ENA" sheetId="183" r:id="rId20"/>
    <sheet name="SINGER" sheetId="203" r:id="rId21"/>
    <sheet name="SYNEX" sheetId="199" r:id="rId22"/>
    <sheet name="TFFIF" sheetId="110" r:id="rId23"/>
    <sheet name="TMT" sheetId="145" r:id="rId24"/>
    <sheet name="WHAIR" sheetId="157" r:id="rId25"/>
    <sheet name="WHART" sheetId="171" r:id="rId2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05" l="1"/>
  <c r="B8" i="205"/>
  <c r="E7" i="205"/>
  <c r="C28" i="197"/>
  <c r="B28" i="197"/>
  <c r="E27" i="197"/>
  <c r="E24" i="197"/>
  <c r="E23" i="197"/>
  <c r="C42" i="206"/>
  <c r="B42" i="206"/>
  <c r="E41" i="206"/>
  <c r="B39" i="206"/>
  <c r="C38" i="206"/>
  <c r="E37" i="206"/>
  <c r="B35" i="206"/>
  <c r="C34" i="206"/>
  <c r="E33" i="206"/>
  <c r="C12" i="194"/>
  <c r="B12" i="194"/>
  <c r="E11" i="194"/>
  <c r="C34" i="161"/>
  <c r="B34" i="161"/>
  <c r="E33" i="161"/>
  <c r="B31" i="206"/>
  <c r="C30" i="206"/>
  <c r="E29" i="206"/>
  <c r="C6" i="202"/>
  <c r="B6" i="202"/>
  <c r="E5" i="202"/>
  <c r="E10" i="150"/>
  <c r="B12" i="150"/>
  <c r="A12" i="150"/>
  <c r="C11" i="150"/>
  <c r="E11" i="150" s="1"/>
  <c r="B27" i="206"/>
  <c r="C26" i="206"/>
  <c r="E25" i="206"/>
  <c r="E23" i="206"/>
  <c r="E21" i="206"/>
  <c r="E19" i="206"/>
  <c r="E17" i="206"/>
  <c r="E15" i="206"/>
  <c r="C14" i="206"/>
  <c r="C16" i="206" s="1"/>
  <c r="C18" i="206" s="1"/>
  <c r="C20" i="206" s="1"/>
  <c r="C22" i="206" s="1"/>
  <c r="C24" i="206" s="1"/>
  <c r="B14" i="206"/>
  <c r="E13" i="206"/>
  <c r="E12" i="206"/>
  <c r="E10" i="206"/>
  <c r="C9" i="206"/>
  <c r="C11" i="206" s="1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 s="1"/>
  <c r="C10" i="194"/>
  <c r="B10" i="194"/>
  <c r="E9" i="194"/>
  <c r="C12" i="203"/>
  <c r="E11" i="203"/>
  <c r="C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C15" i="202"/>
  <c r="E15" i="202" s="1"/>
  <c r="E14" i="202"/>
  <c r="D9" i="202"/>
  <c r="B11" i="202" s="1"/>
  <c r="H8" i="202"/>
  <c r="C8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32" i="197"/>
  <c r="E32" i="197" s="1"/>
  <c r="E20" i="199"/>
  <c r="E21" i="199" s="1"/>
  <c r="E6" i="110"/>
  <c r="C5" i="110"/>
  <c r="B42" i="161"/>
  <c r="A42" i="161"/>
  <c r="C41" i="161"/>
  <c r="E41" i="161" s="1"/>
  <c r="E40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5" i="197"/>
  <c r="C36" i="197"/>
  <c r="E36" i="197" s="1"/>
  <c r="C71" i="197"/>
  <c r="E70" i="197"/>
  <c r="C68" i="197"/>
  <c r="E67" i="197"/>
  <c r="C65" i="197"/>
  <c r="E64" i="197"/>
  <c r="C62" i="197"/>
  <c r="E61" i="197"/>
  <c r="C59" i="197"/>
  <c r="E58" i="197"/>
  <c r="C56" i="197"/>
  <c r="E55" i="197"/>
  <c r="C53" i="197"/>
  <c r="E52" i="197"/>
  <c r="D50" i="197"/>
  <c r="C50" i="197"/>
  <c r="E50" i="197" s="1"/>
  <c r="E49" i="197"/>
  <c r="B48" i="197"/>
  <c r="C47" i="197"/>
  <c r="A47" i="197"/>
  <c r="A50" i="197" s="1"/>
  <c r="A53" i="197" s="1"/>
  <c r="A56" i="197" s="1"/>
  <c r="A59" i="197" s="1"/>
  <c r="A62" i="197" s="1"/>
  <c r="A65" i="197" s="1"/>
  <c r="A68" i="197" s="1"/>
  <c r="A71" i="197" s="1"/>
  <c r="E46" i="197"/>
  <c r="B44" i="197"/>
  <c r="C43" i="197"/>
  <c r="E43" i="197" s="1"/>
  <c r="E42" i="197"/>
  <c r="C40" i="197"/>
  <c r="E40" i="197" s="1"/>
  <c r="E39" i="197"/>
  <c r="E31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E16" i="150"/>
  <c r="B18" i="150"/>
  <c r="A18" i="150"/>
  <c r="C17" i="150"/>
  <c r="E17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8" i="161"/>
  <c r="E36" i="161"/>
  <c r="A38" i="161"/>
  <c r="C37" i="161"/>
  <c r="E37" i="161" s="1"/>
  <c r="E5" i="194"/>
  <c r="E25" i="46"/>
  <c r="I12" i="171"/>
  <c r="J12" i="171" s="1"/>
  <c r="D13" i="171"/>
  <c r="C12" i="171"/>
  <c r="E13" i="150"/>
  <c r="H9" i="196"/>
  <c r="C9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C8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B6" i="150" s="1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 s="1"/>
  <c r="D12" i="157"/>
  <c r="B14" i="157" s="1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8" i="205" l="1"/>
  <c r="D8" i="205" s="1"/>
  <c r="H7" i="205"/>
  <c r="H8" i="205" s="1"/>
  <c r="G7" i="205"/>
  <c r="G8" i="205" s="1"/>
  <c r="F7" i="205"/>
  <c r="E28" i="197"/>
  <c r="D28" i="197" s="1"/>
  <c r="H27" i="197"/>
  <c r="H28" i="197" s="1"/>
  <c r="G27" i="197"/>
  <c r="G28" i="197" s="1"/>
  <c r="F27" i="197"/>
  <c r="E25" i="197"/>
  <c r="H24" i="197"/>
  <c r="G24" i="197"/>
  <c r="F24" i="197"/>
  <c r="H23" i="197"/>
  <c r="G23" i="197"/>
  <c r="F23" i="197"/>
  <c r="E42" i="206"/>
  <c r="D42" i="206" s="1"/>
  <c r="H41" i="206"/>
  <c r="H42" i="206" s="1"/>
  <c r="G41" i="206"/>
  <c r="G42" i="206" s="1"/>
  <c r="F41" i="206"/>
  <c r="K38" i="206"/>
  <c r="E38" i="206"/>
  <c r="H37" i="206"/>
  <c r="G37" i="206"/>
  <c r="F37" i="206"/>
  <c r="K34" i="206"/>
  <c r="E34" i="206"/>
  <c r="H33" i="206"/>
  <c r="G33" i="206"/>
  <c r="F33" i="206"/>
  <c r="E12" i="194"/>
  <c r="D12" i="194" s="1"/>
  <c r="H11" i="194"/>
  <c r="H12" i="194" s="1"/>
  <c r="G11" i="194"/>
  <c r="G12" i="194" s="1"/>
  <c r="F11" i="194"/>
  <c r="E34" i="161"/>
  <c r="D34" i="161" s="1"/>
  <c r="H33" i="161"/>
  <c r="H34" i="161" s="1"/>
  <c r="G33" i="161"/>
  <c r="G34" i="161" s="1"/>
  <c r="F33" i="161"/>
  <c r="K30" i="206"/>
  <c r="E30" i="206"/>
  <c r="H29" i="206"/>
  <c r="G29" i="206"/>
  <c r="F29" i="206"/>
  <c r="E6" i="202"/>
  <c r="D6" i="202" s="1"/>
  <c r="H5" i="202"/>
  <c r="H6" i="202" s="1"/>
  <c r="G5" i="202"/>
  <c r="G6" i="202" s="1"/>
  <c r="F5" i="202"/>
  <c r="H10" i="150"/>
  <c r="G10" i="150"/>
  <c r="F10" i="150"/>
  <c r="E12" i="150"/>
  <c r="H11" i="150"/>
  <c r="G11" i="150"/>
  <c r="F11" i="150"/>
  <c r="E8" i="150"/>
  <c r="D8" i="150" s="1"/>
  <c r="K26" i="206"/>
  <c r="E26" i="206"/>
  <c r="E4" i="206"/>
  <c r="D4" i="206" s="1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E14" i="157"/>
  <c r="D14" i="157" s="1"/>
  <c r="H13" i="157"/>
  <c r="H14" i="157" s="1"/>
  <c r="G13" i="157"/>
  <c r="G14" i="157" s="1"/>
  <c r="F13" i="157"/>
  <c r="I16" i="157"/>
  <c r="J16" i="157" s="1"/>
  <c r="E6" i="205"/>
  <c r="D6" i="205" s="1"/>
  <c r="H5" i="205"/>
  <c r="H6" i="205" s="1"/>
  <c r="G5" i="205"/>
  <c r="G6" i="205" s="1"/>
  <c r="F5" i="205"/>
  <c r="E6" i="196"/>
  <c r="D6" i="196" s="1"/>
  <c r="H5" i="196"/>
  <c r="H6" i="196" s="1"/>
  <c r="G5" i="196"/>
  <c r="G6" i="196" s="1"/>
  <c r="F5" i="196"/>
  <c r="E4" i="205"/>
  <c r="D4" i="205" s="1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 s="1"/>
  <c r="H9" i="194"/>
  <c r="H10" i="194" s="1"/>
  <c r="G9" i="194"/>
  <c r="G10" i="194" s="1"/>
  <c r="F9" i="194"/>
  <c r="H11" i="203"/>
  <c r="G11" i="203"/>
  <c r="F11" i="203"/>
  <c r="H9" i="203"/>
  <c r="G9" i="203"/>
  <c r="F9" i="203"/>
  <c r="E8" i="203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9" i="202"/>
  <c r="J8" i="202"/>
  <c r="H14" i="202"/>
  <c r="G14" i="202"/>
  <c r="F14" i="202"/>
  <c r="E16" i="202"/>
  <c r="H15" i="202"/>
  <c r="G15" i="202"/>
  <c r="F15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33" i="197"/>
  <c r="H32" i="197"/>
  <c r="G32" i="197"/>
  <c r="F32" i="197"/>
  <c r="H20" i="199"/>
  <c r="H21" i="199" s="1"/>
  <c r="G20" i="199"/>
  <c r="G21" i="199" s="1"/>
  <c r="F20" i="199"/>
  <c r="F21" i="199" s="1"/>
  <c r="H6" i="110"/>
  <c r="G6" i="110"/>
  <c r="F6" i="110"/>
  <c r="H40" i="161"/>
  <c r="G40" i="161"/>
  <c r="F40" i="161"/>
  <c r="E42" i="161"/>
  <c r="H41" i="161"/>
  <c r="G41" i="161"/>
  <c r="F41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5" i="197"/>
  <c r="G35" i="197"/>
  <c r="F35" i="197"/>
  <c r="E37" i="197"/>
  <c r="H36" i="197"/>
  <c r="G36" i="197"/>
  <c r="F36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31" i="197"/>
  <c r="G31" i="197"/>
  <c r="F31" i="197"/>
  <c r="H39" i="197"/>
  <c r="G39" i="197"/>
  <c r="F39" i="197"/>
  <c r="E41" i="197"/>
  <c r="H40" i="197"/>
  <c r="G40" i="197"/>
  <c r="F40" i="197"/>
  <c r="H42" i="197"/>
  <c r="G42" i="197"/>
  <c r="F42" i="197"/>
  <c r="E44" i="197"/>
  <c r="H43" i="197"/>
  <c r="G43" i="197"/>
  <c r="F43" i="197"/>
  <c r="H46" i="197"/>
  <c r="G46" i="197"/>
  <c r="F46" i="197"/>
  <c r="K47" i="197"/>
  <c r="K50" i="197" s="1"/>
  <c r="K53" i="197" s="1"/>
  <c r="K56" i="197" s="1"/>
  <c r="K59" i="197" s="1"/>
  <c r="K62" i="197" s="1"/>
  <c r="K65" i="197" s="1"/>
  <c r="K68" i="197" s="1"/>
  <c r="K71" i="197" s="1"/>
  <c r="E47" i="197"/>
  <c r="H49" i="197"/>
  <c r="G49" i="197"/>
  <c r="F49" i="197"/>
  <c r="E51" i="197"/>
  <c r="H50" i="197"/>
  <c r="G50" i="197"/>
  <c r="F50" i="197"/>
  <c r="D65" i="197"/>
  <c r="B66" i="197" s="1"/>
  <c r="D62" i="197"/>
  <c r="B63" i="197" s="1"/>
  <c r="D59" i="197"/>
  <c r="B60" i="197" s="1"/>
  <c r="D56" i="197"/>
  <c r="D53" i="197"/>
  <c r="B51" i="197"/>
  <c r="H52" i="197"/>
  <c r="G52" i="197"/>
  <c r="F52" i="197"/>
  <c r="E53" i="197"/>
  <c r="H55" i="197"/>
  <c r="G55" i="197"/>
  <c r="F55" i="197"/>
  <c r="E56" i="197"/>
  <c r="H58" i="197"/>
  <c r="G58" i="197"/>
  <c r="F58" i="197"/>
  <c r="E59" i="197"/>
  <c r="H61" i="197"/>
  <c r="G61" i="197"/>
  <c r="F61" i="197"/>
  <c r="E62" i="197"/>
  <c r="H64" i="197"/>
  <c r="G64" i="197"/>
  <c r="F64" i="197"/>
  <c r="E65" i="197"/>
  <c r="H67" i="197"/>
  <c r="G67" i="197"/>
  <c r="F67" i="197"/>
  <c r="H70" i="197"/>
  <c r="G70" i="197"/>
  <c r="F70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J8" i="150" s="1"/>
  <c r="I6" i="150"/>
  <c r="I8" i="150" s="1"/>
  <c r="F6" i="150"/>
  <c r="F8" i="150" s="1"/>
  <c r="G6" i="150"/>
  <c r="G8" i="150" s="1"/>
  <c r="H6" i="150"/>
  <c r="H8" i="150" s="1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 s="1"/>
  <c r="G2" i="196"/>
  <c r="G4" i="196" s="1"/>
  <c r="F2" i="196"/>
  <c r="F4" i="196" s="1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D8" i="203" l="1"/>
  <c r="B10" i="203" s="1"/>
  <c r="E10" i="203"/>
  <c r="F8" i="205"/>
  <c r="I7" i="205"/>
  <c r="I8" i="205" s="1"/>
  <c r="J7" i="205"/>
  <c r="J8" i="205" s="1"/>
  <c r="F28" i="197"/>
  <c r="I27" i="197"/>
  <c r="I28" i="197" s="1"/>
  <c r="J27" i="197"/>
  <c r="J28" i="197" s="1"/>
  <c r="I24" i="197"/>
  <c r="J24" i="197"/>
  <c r="I23" i="197"/>
  <c r="J23" i="197"/>
  <c r="F42" i="206"/>
  <c r="I41" i="206"/>
  <c r="I42" i="206" s="1"/>
  <c r="J41" i="206"/>
  <c r="J42" i="206" s="1"/>
  <c r="E39" i="206"/>
  <c r="H38" i="206"/>
  <c r="G38" i="206"/>
  <c r="F38" i="206"/>
  <c r="I37" i="206"/>
  <c r="J37" i="206"/>
  <c r="E35" i="206"/>
  <c r="H34" i="206"/>
  <c r="G34" i="206"/>
  <c r="F34" i="206"/>
  <c r="I33" i="206"/>
  <c r="J33" i="206"/>
  <c r="F12" i="194"/>
  <c r="I11" i="194"/>
  <c r="I12" i="194" s="1"/>
  <c r="J11" i="194"/>
  <c r="J12" i="194" s="1"/>
  <c r="F34" i="161"/>
  <c r="I33" i="161"/>
  <c r="I34" i="161" s="1"/>
  <c r="J33" i="161"/>
  <c r="J34" i="161" s="1"/>
  <c r="E31" i="206"/>
  <c r="H30" i="206"/>
  <c r="G30" i="206"/>
  <c r="F30" i="206"/>
  <c r="I29" i="206"/>
  <c r="J29" i="206"/>
  <c r="F6" i="202"/>
  <c r="I5" i="202"/>
  <c r="I6" i="202" s="1"/>
  <c r="J5" i="202"/>
  <c r="J6" i="202" s="1"/>
  <c r="I10" i="150"/>
  <c r="J10" i="150"/>
  <c r="I11" i="150"/>
  <c r="J11" i="150"/>
  <c r="E27" i="206"/>
  <c r="H26" i="206"/>
  <c r="G26" i="206"/>
  <c r="F2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 s="1"/>
  <c r="F18" i="206" s="1"/>
  <c r="F20" i="206" s="1"/>
  <c r="F22" i="206" s="1"/>
  <c r="F24" i="206" s="1"/>
  <c r="I12" i="206"/>
  <c r="I14" i="206" s="1"/>
  <c r="I16" i="206" s="1"/>
  <c r="I18" i="206" s="1"/>
  <c r="I20" i="206" s="1"/>
  <c r="I22" i="206" s="1"/>
  <c r="I24" i="206" s="1"/>
  <c r="J12" i="206"/>
  <c r="J14" i="206" s="1"/>
  <c r="J16" i="206" s="1"/>
  <c r="J18" i="206" s="1"/>
  <c r="J20" i="206" s="1"/>
  <c r="J22" i="206" s="1"/>
  <c r="J24" i="206" s="1"/>
  <c r="G14" i="206"/>
  <c r="G16" i="206" s="1"/>
  <c r="G18" i="206" s="1"/>
  <c r="G20" i="206" s="1"/>
  <c r="G22" i="206" s="1"/>
  <c r="G24" i="206" s="1"/>
  <c r="H14" i="206"/>
  <c r="H16" i="206" s="1"/>
  <c r="H18" i="206" s="1"/>
  <c r="H20" i="206" s="1"/>
  <c r="H22" i="206" s="1"/>
  <c r="H24" i="206" s="1"/>
  <c r="E16" i="206"/>
  <c r="D14" i="206"/>
  <c r="B16" i="206" s="1"/>
  <c r="I10" i="206"/>
  <c r="J10" i="206"/>
  <c r="I8" i="206"/>
  <c r="J8" i="206"/>
  <c r="F9" i="206"/>
  <c r="F11" i="206" s="1"/>
  <c r="I7" i="206"/>
  <c r="I9" i="206" s="1"/>
  <c r="I11" i="206" s="1"/>
  <c r="J7" i="206"/>
  <c r="J9" i="206" s="1"/>
  <c r="J11" i="206" s="1"/>
  <c r="G9" i="206"/>
  <c r="G11" i="206" s="1"/>
  <c r="H9" i="206"/>
  <c r="H11" i="206" s="1"/>
  <c r="E11" i="206"/>
  <c r="D11" i="206" s="1"/>
  <c r="D9" i="206"/>
  <c r="B11" i="206" s="1"/>
  <c r="I6" i="206"/>
  <c r="J6" i="206"/>
  <c r="I5" i="206"/>
  <c r="J5" i="206"/>
  <c r="I3" i="206"/>
  <c r="J3" i="206"/>
  <c r="F4" i="206"/>
  <c r="I2" i="206"/>
  <c r="I4" i="206" s="1"/>
  <c r="J2" i="206"/>
  <c r="J4" i="206" s="1"/>
  <c r="G4" i="206"/>
  <c r="H4" i="206"/>
  <c r="F14" i="157"/>
  <c r="I13" i="157"/>
  <c r="I14" i="157" s="1"/>
  <c r="J13" i="157"/>
  <c r="J14" i="157" s="1"/>
  <c r="C18" i="157"/>
  <c r="E18" i="157" s="1"/>
  <c r="E17" i="157"/>
  <c r="F6" i="205"/>
  <c r="I5" i="205"/>
  <c r="I6" i="205" s="1"/>
  <c r="J5" i="205"/>
  <c r="J6" i="205" s="1"/>
  <c r="F6" i="196"/>
  <c r="I5" i="196"/>
  <c r="I6" i="196" s="1"/>
  <c r="J5" i="196"/>
  <c r="J6" i="196" s="1"/>
  <c r="I3" i="205"/>
  <c r="J3" i="205"/>
  <c r="F4" i="205"/>
  <c r="I2" i="205"/>
  <c r="I4" i="205" s="1"/>
  <c r="J2" i="205"/>
  <c r="J4" i="205" s="1"/>
  <c r="G4" i="205"/>
  <c r="H4" i="205"/>
  <c r="I20" i="197"/>
  <c r="J20" i="197"/>
  <c r="I19" i="197"/>
  <c r="J19" i="197"/>
  <c r="I16" i="197"/>
  <c r="J16" i="197"/>
  <c r="J17" i="197" s="1"/>
  <c r="F10" i="194"/>
  <c r="I9" i="194"/>
  <c r="I10" i="194" s="1"/>
  <c r="J9" i="194"/>
  <c r="J10" i="194" s="1"/>
  <c r="I11" i="203"/>
  <c r="J11" i="203"/>
  <c r="I9" i="203"/>
  <c r="J9" i="203"/>
  <c r="I7" i="203"/>
  <c r="J7" i="203"/>
  <c r="F8" i="203"/>
  <c r="F10" i="203" s="1"/>
  <c r="F12" i="203" s="1"/>
  <c r="I6" i="203"/>
  <c r="I8" i="203" s="1"/>
  <c r="J6" i="203"/>
  <c r="J8" i="203" s="1"/>
  <c r="G8" i="203"/>
  <c r="G10" i="203" s="1"/>
  <c r="G12" i="203" s="1"/>
  <c r="H8" i="203"/>
  <c r="H10" i="203" s="1"/>
  <c r="H12" i="203" s="1"/>
  <c r="I6" i="204"/>
  <c r="J6" i="204"/>
  <c r="I7" i="204"/>
  <c r="I8" i="204" s="1"/>
  <c r="F8" i="204"/>
  <c r="J7" i="204"/>
  <c r="J8" i="204" s="1"/>
  <c r="I3" i="204"/>
  <c r="J3" i="204"/>
  <c r="I2" i="204"/>
  <c r="J2" i="204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5" i="202"/>
  <c r="J15" i="202"/>
  <c r="I14" i="202"/>
  <c r="J14" i="202"/>
  <c r="C10" i="202"/>
  <c r="E10" i="202" s="1"/>
  <c r="E9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32" i="197"/>
  <c r="J32" i="197"/>
  <c r="I20" i="199"/>
  <c r="I21" i="199" s="1"/>
  <c r="J20" i="199"/>
  <c r="J21" i="199" s="1"/>
  <c r="I6" i="110"/>
  <c r="J6" i="110"/>
  <c r="J8" i="110" s="1"/>
  <c r="J9" i="110" s="1"/>
  <c r="I41" i="161"/>
  <c r="J41" i="161"/>
  <c r="I40" i="161"/>
  <c r="J40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5" i="197"/>
  <c r="J35" i="197"/>
  <c r="I36" i="197"/>
  <c r="J36" i="197"/>
  <c r="I70" i="197"/>
  <c r="J70" i="197"/>
  <c r="I67" i="197"/>
  <c r="J67" i="197"/>
  <c r="E66" i="197"/>
  <c r="H65" i="197"/>
  <c r="G65" i="197"/>
  <c r="F65" i="197"/>
  <c r="I64" i="197"/>
  <c r="J64" i="197"/>
  <c r="E63" i="197"/>
  <c r="H62" i="197"/>
  <c r="G62" i="197"/>
  <c r="F62" i="197"/>
  <c r="I61" i="197"/>
  <c r="J61" i="197"/>
  <c r="E60" i="197"/>
  <c r="H59" i="197"/>
  <c r="G59" i="197"/>
  <c r="F59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D68" i="197"/>
  <c r="B54" i="197"/>
  <c r="D71" i="197"/>
  <c r="B57" i="197"/>
  <c r="I50" i="197"/>
  <c r="J50" i="197"/>
  <c r="I49" i="197"/>
  <c r="J49" i="197"/>
  <c r="E48" i="197"/>
  <c r="H47" i="197"/>
  <c r="G47" i="197"/>
  <c r="F47" i="197"/>
  <c r="I46" i="197"/>
  <c r="J46" i="197"/>
  <c r="I43" i="197"/>
  <c r="J43" i="197"/>
  <c r="I42" i="197"/>
  <c r="J42" i="197"/>
  <c r="I40" i="197"/>
  <c r="J40" i="197"/>
  <c r="I39" i="197"/>
  <c r="J39" i="197"/>
  <c r="I31" i="197"/>
  <c r="J31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6" i="161"/>
  <c r="J36" i="161"/>
  <c r="I37" i="161"/>
  <c r="J37" i="161"/>
  <c r="D4" i="194"/>
  <c r="B6" i="194" s="1"/>
  <c r="E6" i="194"/>
  <c r="D6" i="194" s="1"/>
  <c r="I5" i="194"/>
  <c r="J5" i="194"/>
  <c r="I25" i="46"/>
  <c r="J25" i="46"/>
  <c r="I13" i="150"/>
  <c r="J13" i="150"/>
  <c r="J15" i="150" s="1"/>
  <c r="C11" i="196"/>
  <c r="E11" i="196" s="1"/>
  <c r="E10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10" i="203" l="1"/>
  <c r="I10" i="203"/>
  <c r="J12" i="203"/>
  <c r="I12" i="203"/>
  <c r="D10" i="203"/>
  <c r="B12" i="203" s="1"/>
  <c r="E12" i="203"/>
  <c r="D12" i="203" s="1"/>
  <c r="J25" i="197"/>
  <c r="I38" i="206"/>
  <c r="J38" i="206"/>
  <c r="J39" i="206" s="1"/>
  <c r="K39" i="206" s="1"/>
  <c r="I34" i="206"/>
  <c r="J34" i="206"/>
  <c r="J35" i="206" s="1"/>
  <c r="K35" i="206" s="1"/>
  <c r="I30" i="206"/>
  <c r="J30" i="206"/>
  <c r="J31" i="206" s="1"/>
  <c r="J12" i="150"/>
  <c r="I26" i="206"/>
  <c r="J26" i="206"/>
  <c r="E18" i="206"/>
  <c r="D16" i="206"/>
  <c r="B18" i="206" s="1"/>
  <c r="H17" i="157"/>
  <c r="G17" i="157"/>
  <c r="F17" i="157"/>
  <c r="E19" i="157"/>
  <c r="H18" i="157"/>
  <c r="G18" i="157"/>
  <c r="F18" i="157"/>
  <c r="J21" i="197"/>
  <c r="J4" i="204"/>
  <c r="J5" i="204" s="1"/>
  <c r="J13" i="197"/>
  <c r="D6" i="195"/>
  <c r="B8" i="195" s="1"/>
  <c r="E8" i="195"/>
  <c r="J25" i="42"/>
  <c r="H9" i="202"/>
  <c r="G9" i="202"/>
  <c r="F9" i="202"/>
  <c r="E11" i="202"/>
  <c r="H10" i="202"/>
  <c r="G10" i="202"/>
  <c r="F10" i="202"/>
  <c r="J16" i="202"/>
  <c r="J18" i="199"/>
  <c r="J33" i="197"/>
  <c r="J42" i="161"/>
  <c r="J15" i="170"/>
  <c r="J19" i="170"/>
  <c r="E15" i="199"/>
  <c r="D21" i="199" s="1"/>
  <c r="D13" i="199"/>
  <c r="B15" i="199" s="1"/>
  <c r="J25" i="199"/>
  <c r="J29" i="199"/>
  <c r="J32" i="199"/>
  <c r="J35" i="199"/>
  <c r="J37" i="197"/>
  <c r="E8" i="197"/>
  <c r="D6" i="197"/>
  <c r="B8" i="197" s="1"/>
  <c r="J41" i="197"/>
  <c r="J44" i="197"/>
  <c r="I47" i="197"/>
  <c r="J47" i="197"/>
  <c r="J48" i="197" s="1"/>
  <c r="K48" i="197" s="1"/>
  <c r="J51" i="197"/>
  <c r="B72" i="197"/>
  <c r="E71" i="197"/>
  <c r="B69" i="197"/>
  <c r="E68" i="197"/>
  <c r="I53" i="197"/>
  <c r="J53" i="197"/>
  <c r="J54" i="197" s="1"/>
  <c r="I56" i="197"/>
  <c r="J56" i="197"/>
  <c r="J57" i="197" s="1"/>
  <c r="I59" i="197"/>
  <c r="J59" i="197"/>
  <c r="J60" i="197" s="1"/>
  <c r="I62" i="197"/>
  <c r="J62" i="197"/>
  <c r="J63" i="197" s="1"/>
  <c r="I65" i="197"/>
  <c r="J65" i="197"/>
  <c r="J66" i="197" s="1"/>
  <c r="J33" i="42"/>
  <c r="D13" i="195"/>
  <c r="B6" i="195"/>
  <c r="J18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8" i="161"/>
  <c r="D22" i="46"/>
  <c r="B24" i="46" s="1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 s="1"/>
  <c r="J26" i="46" s="1"/>
  <c r="I22" i="46"/>
  <c r="I24" i="46" s="1"/>
  <c r="I26" i="46" s="1"/>
  <c r="K31" i="206" l="1"/>
  <c r="J27" i="206"/>
  <c r="K27" i="206" s="1"/>
  <c r="E20" i="206"/>
  <c r="D18" i="206"/>
  <c r="B20" i="206" s="1"/>
  <c r="I18" i="157"/>
  <c r="J18" i="157"/>
  <c r="I17" i="157"/>
  <c r="J17" i="157"/>
  <c r="D8" i="195"/>
  <c r="B10" i="195" s="1"/>
  <c r="E10" i="195"/>
  <c r="D10" i="195" s="1"/>
  <c r="I10" i="202"/>
  <c r="J10" i="202"/>
  <c r="I9" i="202"/>
  <c r="J9" i="202"/>
  <c r="D15" i="199"/>
  <c r="E69" i="197"/>
  <c r="H68" i="197"/>
  <c r="G68" i="197"/>
  <c r="F68" i="197"/>
  <c r="E72" i="197"/>
  <c r="H71" i="197"/>
  <c r="G71" i="197"/>
  <c r="F71" i="197"/>
  <c r="K51" i="197"/>
  <c r="K54" i="197" s="1"/>
  <c r="K57" i="197" s="1"/>
  <c r="K60" i="197" s="1"/>
  <c r="K63" i="197" s="1"/>
  <c r="K66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11" i="196"/>
  <c r="J11" i="196"/>
  <c r="I10" i="196"/>
  <c r="J10" i="196"/>
  <c r="I14" i="195"/>
  <c r="J14" i="195"/>
  <c r="E22" i="206" l="1"/>
  <c r="D20" i="206"/>
  <c r="J19" i="157"/>
  <c r="J20" i="157" s="1"/>
  <c r="J11" i="202"/>
  <c r="J12" i="202" s="1"/>
  <c r="D10" i="197"/>
  <c r="I71" i="197"/>
  <c r="J71" i="197"/>
  <c r="J72" i="197" s="1"/>
  <c r="I68" i="197"/>
  <c r="J68" i="197"/>
  <c r="J69" i="197" s="1"/>
  <c r="K69" i="197" s="1"/>
  <c r="K72" i="197" s="1"/>
  <c r="H13" i="195"/>
  <c r="G13" i="195"/>
  <c r="F13" i="195"/>
  <c r="E15" i="195"/>
  <c r="D20" i="161"/>
  <c r="E22" i="161"/>
  <c r="J12" i="196"/>
  <c r="J13" i="196" s="1"/>
  <c r="E24" i="206" l="1"/>
  <c r="D22" i="206"/>
  <c r="B24" i="206" s="1"/>
  <c r="I13" i="195"/>
  <c r="J13" i="195"/>
  <c r="J15" i="195" s="1"/>
  <c r="J16" i="195" s="1"/>
  <c r="D22" i="161"/>
  <c r="E24" i="161"/>
  <c r="D24" i="206" l="1"/>
  <c r="D24" i="161"/>
  <c r="B26" i="161" s="1"/>
  <c r="E26" i="161"/>
  <c r="E28" i="161" s="1"/>
  <c r="B22" i="206" l="1"/>
  <c r="D28" i="161"/>
  <c r="B30" i="161" s="1"/>
  <c r="E30" i="161"/>
  <c r="D26" i="161"/>
  <c r="B28" i="161" s="1"/>
  <c r="D30" i="161" l="1"/>
  <c r="B32" i="161" s="1"/>
  <c r="E32" i="161"/>
  <c r="D32" i="161" s="1"/>
</calcChain>
</file>

<file path=xl/sharedStrings.xml><?xml version="1.0" encoding="utf-8"?>
<sst xmlns="http://schemas.openxmlformats.org/spreadsheetml/2006/main" count="433" uniqueCount="35">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</sst>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name val="Calibri"/>
    </font>
    <font>
      <b/>
      <sz val="10"/>
      <name val="Cordia Ne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  <xf numFmtId="188" fontId="18" fillId="0" borderId="0" xfId="0" applyNumberFormat="1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34" workbookViewId="0">
      <selection activeCell="D42" sqref="D42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 ht="14.25">
      <c r="A22" s="96"/>
      <c r="B22" s="97">
        <f>(D21-D28)/D28</f>
        <v>-0.12767624020887736</v>
      </c>
      <c r="C22" s="98">
        <f>SUM(C20:C21)</f>
        <v>12000</v>
      </c>
      <c r="D22" s="99">
        <f>E22/C22</f>
        <v>74.5625</v>
      </c>
      <c r="E22" s="98">
        <f t="shared" ref="E22:J22" si="7">SUM(E20:E21)</f>
        <v>894750</v>
      </c>
      <c r="F22" s="98">
        <f t="shared" si="7"/>
        <v>1789.5</v>
      </c>
      <c r="G22" s="98">
        <f t="shared" si="7"/>
        <v>53.684999999999995</v>
      </c>
      <c r="H22" s="98">
        <f t="shared" si="7"/>
        <v>8.9475000000000016</v>
      </c>
      <c r="I22" s="98">
        <f t="shared" si="7"/>
        <v>129.64927499999999</v>
      </c>
      <c r="J22" s="98">
        <f t="shared" si="7"/>
        <v>896731.78177500004</v>
      </c>
    </row>
    <row r="23" spans="1:11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 ht="12.75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 ht="14.25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 ht="12.75">
      <c r="A29" s="49">
        <v>44658</v>
      </c>
      <c r="B29" s="15" t="s">
        <v>1</v>
      </c>
      <c r="C29" s="88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 ht="12.75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 ht="14.25">
      <c r="A32" s="54"/>
      <c r="B32" s="74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 ht="12.75">
      <c r="A33" s="49">
        <v>44638</v>
      </c>
      <c r="B33" s="15" t="s">
        <v>1</v>
      </c>
      <c r="C33" s="88">
        <v>1000</v>
      </c>
      <c r="D33" s="41">
        <v>64.25</v>
      </c>
      <c r="E33" s="18">
        <f>C33*D33</f>
        <v>64250</v>
      </c>
      <c r="F33" s="18">
        <f>E33*0.002</f>
        <v>128.5</v>
      </c>
      <c r="G33" s="18">
        <f>E33*0.00006</f>
        <v>3.855</v>
      </c>
      <c r="H33" s="18">
        <f>E33*0.00001</f>
        <v>0.64250000000000007</v>
      </c>
      <c r="I33" s="18">
        <f>(F33+G33+H33)*0.07</f>
        <v>9.3098250000000018</v>
      </c>
      <c r="J33" s="18">
        <f>E33+F33+I33+G33+H33</f>
        <v>64392.307325000002</v>
      </c>
    </row>
    <row r="34" spans="1:15" s="13" customFormat="1" ht="12.75">
      <c r="A34" s="49">
        <v>44965</v>
      </c>
      <c r="B34" s="15" t="s">
        <v>3</v>
      </c>
      <c r="C34" s="16">
        <f>C33</f>
        <v>1000</v>
      </c>
      <c r="D34" s="26">
        <v>54.5</v>
      </c>
      <c r="E34" s="17">
        <f>C34*D34</f>
        <v>54500</v>
      </c>
      <c r="F34" s="27">
        <f>E34*0.002</f>
        <v>109</v>
      </c>
      <c r="G34" s="26">
        <f>E34*0.000068</f>
        <v>3.706</v>
      </c>
      <c r="H34" s="26">
        <f>E34*0.00001</f>
        <v>0.54500000000000004</v>
      </c>
      <c r="I34" s="26">
        <f>(F34+G34+H34)*0.07</f>
        <v>7.9275700000000011</v>
      </c>
      <c r="J34" s="26">
        <f>E34-F34-G34-H34-I34</f>
        <v>54378.821430000004</v>
      </c>
      <c r="K34" s="16">
        <f>C34</f>
        <v>1000</v>
      </c>
    </row>
    <row r="35" spans="1:15" s="31" customFormat="1" ht="18.75">
      <c r="A35" s="49" t="s">
        <v>4</v>
      </c>
      <c r="B35" s="7">
        <f>(D34-D33)/D33</f>
        <v>-0.1517509727626459</v>
      </c>
      <c r="C35" s="16"/>
      <c r="D35" s="17"/>
      <c r="E35" s="18">
        <f>E34-E33</f>
        <v>-9750</v>
      </c>
      <c r="F35" s="18"/>
      <c r="G35" s="18"/>
      <c r="H35" s="18"/>
      <c r="I35" s="18"/>
      <c r="J35" s="18">
        <f>J34-J33</f>
        <v>-10013.485894999998</v>
      </c>
      <c r="K35" s="18">
        <f>J35</f>
        <v>-10013.485894999998</v>
      </c>
    </row>
    <row r="36" spans="1:15" ht="14.25">
      <c r="A36" s="49">
        <v>44965</v>
      </c>
      <c r="B36" s="74" t="s">
        <v>2</v>
      </c>
      <c r="C36" s="88">
        <v>11000</v>
      </c>
      <c r="D36" s="41">
        <v>75.5</v>
      </c>
      <c r="E36" s="18">
        <v>830500</v>
      </c>
      <c r="F36" s="18">
        <v>1661</v>
      </c>
      <c r="G36" s="18">
        <v>49.83</v>
      </c>
      <c r="H36" s="18">
        <v>8.3050000000000015</v>
      </c>
      <c r="I36" s="18">
        <v>120.33945</v>
      </c>
      <c r="J36" s="18">
        <v>832339.47444999998</v>
      </c>
    </row>
    <row r="37" spans="1:15" ht="12.75">
      <c r="A37" s="49">
        <v>44623</v>
      </c>
      <c r="B37" s="15" t="s">
        <v>1</v>
      </c>
      <c r="C37" s="88">
        <v>1000</v>
      </c>
      <c r="D37" s="41">
        <v>58</v>
      </c>
      <c r="E37" s="18">
        <f>C37*D37</f>
        <v>58000</v>
      </c>
      <c r="F37" s="18">
        <f>E37*0.002</f>
        <v>116</v>
      </c>
      <c r="G37" s="18">
        <f>E37*0.00006</f>
        <v>3.48</v>
      </c>
      <c r="H37" s="18">
        <f>E37*0.00001</f>
        <v>0.58000000000000007</v>
      </c>
      <c r="I37" s="18">
        <f>(F37+G37+H37)*0.07</f>
        <v>8.4042000000000012</v>
      </c>
      <c r="J37" s="18">
        <f>E37+F37+I37+G37+H37</f>
        <v>58128.464200000002</v>
      </c>
    </row>
    <row r="38" spans="1:15" s="13" customFormat="1" ht="12.75">
      <c r="A38" s="49">
        <v>44965</v>
      </c>
      <c r="B38" s="15" t="s">
        <v>3</v>
      </c>
      <c r="C38" s="16">
        <f>C37</f>
        <v>1000</v>
      </c>
      <c r="D38" s="26">
        <v>54.5</v>
      </c>
      <c r="E38" s="17">
        <f>C38*D38</f>
        <v>54500</v>
      </c>
      <c r="F38" s="27">
        <f>E38*0.002</f>
        <v>109</v>
      </c>
      <c r="G38" s="26">
        <f>E38*0.000068</f>
        <v>3.706</v>
      </c>
      <c r="H38" s="26">
        <f>E38*0.00001</f>
        <v>0.54500000000000004</v>
      </c>
      <c r="I38" s="26">
        <f>(F38+G38+H38)*0.07</f>
        <v>7.9275700000000011</v>
      </c>
      <c r="J38" s="26">
        <f>E38-F38-G38-H38-I38</f>
        <v>54378.821430000004</v>
      </c>
      <c r="K38" s="16">
        <f>C38</f>
        <v>1000</v>
      </c>
    </row>
    <row r="39" spans="1:15" s="31" customFormat="1" ht="18.75">
      <c r="A39" s="49" t="s">
        <v>4</v>
      </c>
      <c r="B39" s="7">
        <f>(D38-D37)/D37</f>
        <v>-6.0344827586206899E-2</v>
      </c>
      <c r="C39" s="16"/>
      <c r="D39" s="17"/>
      <c r="E39" s="18">
        <f>E38-E37</f>
        <v>-3500</v>
      </c>
      <c r="F39" s="18"/>
      <c r="G39" s="18"/>
      <c r="H39" s="18"/>
      <c r="I39" s="18"/>
      <c r="J39" s="18">
        <f>J38-J37</f>
        <v>-3749.6427699999986</v>
      </c>
      <c r="K39" s="18">
        <f>J39</f>
        <v>-3749.6427699999986</v>
      </c>
    </row>
    <row r="40" spans="1:15" s="102" customFormat="1" ht="14.25">
      <c r="A40" s="49"/>
      <c r="B40" s="15" t="s">
        <v>2</v>
      </c>
      <c r="C40" s="16">
        <v>10000</v>
      </c>
      <c r="D40" s="41">
        <v>77.25</v>
      </c>
      <c r="E40" s="18">
        <v>772500</v>
      </c>
      <c r="F40" s="18">
        <v>1545</v>
      </c>
      <c r="G40" s="18">
        <v>46.35</v>
      </c>
      <c r="H40" s="18">
        <v>7.7250000000000014</v>
      </c>
      <c r="I40" s="18">
        <v>111.93525</v>
      </c>
      <c r="J40" s="18">
        <v>774211.01024999993</v>
      </c>
      <c r="K40" s="100"/>
      <c r="L40" s="101"/>
      <c r="M40" s="101"/>
      <c r="N40" s="101"/>
      <c r="O40" s="101"/>
    </row>
    <row r="41" spans="1:15" ht="12.75">
      <c r="A41" s="56">
        <v>44603</v>
      </c>
      <c r="B41" s="13" t="s">
        <v>1</v>
      </c>
      <c r="C41" s="91">
        <v>1000</v>
      </c>
      <c r="D41" s="46">
        <v>47</v>
      </c>
      <c r="E41" s="20">
        <f>C41*D41</f>
        <v>47000</v>
      </c>
      <c r="F41" s="20">
        <f>E41*0.002</f>
        <v>94</v>
      </c>
      <c r="G41" s="20">
        <f>E41*0.00006</f>
        <v>2.8200000000000003</v>
      </c>
      <c r="H41" s="20">
        <f>E41*0.00001</f>
        <v>0.47000000000000003</v>
      </c>
      <c r="I41" s="20">
        <f>(F41+G41+H41)*0.07</f>
        <v>6.8102999999999998</v>
      </c>
      <c r="J41" s="20">
        <f>E41+F41+I41+G41+H41</f>
        <v>47104.100299999998</v>
      </c>
    </row>
    <row r="42" spans="1:15">
      <c r="B42" s="3">
        <f>(D41-D40)/D40</f>
        <v>-0.39158576051779936</v>
      </c>
      <c r="C42" s="2">
        <f>SUM(C40:C41)</f>
        <v>11000</v>
      </c>
      <c r="D42" s="47">
        <f>E42/C42</f>
        <v>74.5</v>
      </c>
      <c r="E42" s="2">
        <f t="shared" ref="E42:J42" si="9">SUM(E40:E41)</f>
        <v>819500</v>
      </c>
      <c r="F42" s="2">
        <f t="shared" si="9"/>
        <v>1639</v>
      </c>
      <c r="G42" s="2">
        <f t="shared" si="9"/>
        <v>49.17</v>
      </c>
      <c r="H42" s="2">
        <f t="shared" si="9"/>
        <v>8.1950000000000021</v>
      </c>
      <c r="I42" s="2">
        <f t="shared" si="9"/>
        <v>118.74554999999999</v>
      </c>
      <c r="J42" s="2">
        <f t="shared" si="9"/>
        <v>821315.11054999998</v>
      </c>
    </row>
    <row r="43" spans="1:15" s="19" customFormat="1" ht="15">
      <c r="A43" s="56"/>
      <c r="B43" s="13"/>
      <c r="C43" s="10"/>
      <c r="D43" s="46"/>
      <c r="E43" s="20"/>
      <c r="F43" s="20"/>
      <c r="G43" s="20"/>
      <c r="H43" s="20"/>
      <c r="I43" s="20"/>
      <c r="J43" s="20"/>
      <c r="K43" s="57"/>
      <c r="L43" s="58"/>
      <c r="M43" s="58"/>
      <c r="N43" s="58"/>
      <c r="O43" s="58"/>
    </row>
    <row r="44" spans="1:15" s="13" customFormat="1" ht="12.75">
      <c r="A44" s="56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6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5">
      <c r="A46" s="56"/>
      <c r="B46" s="13"/>
      <c r="C46" s="10"/>
      <c r="D46" s="46"/>
      <c r="E46" s="20"/>
      <c r="F46" s="20"/>
      <c r="G46" s="20"/>
      <c r="H46" s="20"/>
      <c r="I46" s="20"/>
      <c r="J46" s="20"/>
      <c r="K46" s="57"/>
      <c r="L46" s="58"/>
      <c r="M46" s="58"/>
      <c r="N46" s="58"/>
      <c r="O46" s="58"/>
    </row>
    <row r="47" spans="1:15" s="13" customFormat="1" ht="12.75">
      <c r="A47" s="56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6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5">
      <c r="A49" s="56"/>
      <c r="B49" s="13"/>
      <c r="C49" s="10"/>
      <c r="D49" s="46"/>
      <c r="E49" s="20"/>
      <c r="F49" s="20"/>
      <c r="G49" s="20"/>
      <c r="H49" s="20"/>
      <c r="I49" s="20"/>
      <c r="J49" s="20"/>
      <c r="K49" s="57"/>
      <c r="L49" s="58"/>
      <c r="M49" s="58"/>
      <c r="N49" s="58"/>
      <c r="O49" s="58"/>
    </row>
    <row r="50" spans="1:15" s="13" customFormat="1" ht="12.75">
      <c r="A50" s="56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6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5">
      <c r="A52" s="56"/>
      <c r="B52" s="13"/>
      <c r="C52" s="10"/>
      <c r="D52" s="46"/>
      <c r="E52" s="20"/>
      <c r="F52" s="20"/>
      <c r="G52" s="20"/>
      <c r="H52" s="20"/>
      <c r="I52" s="20"/>
      <c r="J52" s="20"/>
      <c r="K52" s="57"/>
      <c r="L52" s="58"/>
      <c r="M52" s="58"/>
      <c r="N52" s="58"/>
      <c r="O52" s="58"/>
    </row>
    <row r="53" spans="1:15" s="13" customFormat="1" ht="12.75">
      <c r="A53" s="56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6"/>
      <c r="B54" s="25"/>
      <c r="C54" s="10"/>
      <c r="D54" s="11"/>
      <c r="E54" s="20"/>
      <c r="F54" s="20"/>
      <c r="G54" s="20"/>
      <c r="H54" s="20"/>
      <c r="I54" s="20"/>
      <c r="J54" s="20"/>
      <c r="K54" s="92"/>
    </row>
    <row r="55" spans="1:15" s="19" customFormat="1" ht="15">
      <c r="A55" s="56"/>
      <c r="B55" s="13"/>
      <c r="C55" s="10"/>
      <c r="D55" s="46"/>
      <c r="E55" s="20"/>
      <c r="F55" s="20"/>
      <c r="G55" s="20"/>
      <c r="H55" s="20"/>
      <c r="I55" s="20"/>
      <c r="J55" s="20"/>
      <c r="K55" s="57"/>
      <c r="L55" s="58"/>
      <c r="M55" s="58"/>
      <c r="N55" s="58"/>
      <c r="O55" s="58"/>
    </row>
    <row r="56" spans="1:15" s="13" customFormat="1" ht="12.75">
      <c r="A56" s="56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6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5">
      <c r="A58" s="56"/>
      <c r="B58" s="13"/>
      <c r="C58" s="10"/>
      <c r="D58" s="46"/>
      <c r="E58" s="20"/>
      <c r="F58" s="20"/>
      <c r="G58" s="20"/>
      <c r="H58" s="20"/>
      <c r="I58" s="20"/>
      <c r="J58" s="20"/>
      <c r="K58" s="57"/>
      <c r="L58" s="58"/>
      <c r="M58" s="58"/>
      <c r="N58" s="58"/>
      <c r="O58" s="58"/>
    </row>
    <row r="59" spans="1:15" s="13" customFormat="1" ht="12.75">
      <c r="A59" s="56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6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2"/>
  <sheetViews>
    <sheetView topLeftCell="A15" workbookViewId="0">
      <selection activeCell="D28" sqref="D28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 ht="14.25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 ht="14.25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 ht="14.25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9" customFormat="1" ht="15">
      <c r="A23" s="49">
        <v>44398</v>
      </c>
      <c r="B23" s="15" t="s">
        <v>1</v>
      </c>
      <c r="C23" s="16">
        <v>2500</v>
      </c>
      <c r="D23" s="41">
        <v>37.75</v>
      </c>
      <c r="E23" s="18">
        <f>C23*D23</f>
        <v>94375</v>
      </c>
      <c r="F23" s="18">
        <f>E23*0.002</f>
        <v>188.75</v>
      </c>
      <c r="G23" s="18">
        <f>E23*0.00006</f>
        <v>5.6625000000000005</v>
      </c>
      <c r="H23" s="18">
        <f>E23*0.00001</f>
        <v>0.94375000000000009</v>
      </c>
      <c r="I23" s="18">
        <f>(F23+G23+H23)*0.07</f>
        <v>13.6749375</v>
      </c>
      <c r="J23" s="18">
        <f>E23+F23+I23+G23+H23</f>
        <v>94584.031187500019</v>
      </c>
      <c r="K23" s="57"/>
      <c r="L23" s="58"/>
      <c r="M23" s="58"/>
      <c r="N23" s="58"/>
      <c r="O23" s="58"/>
    </row>
    <row r="24" spans="1:15" s="1" customFormat="1">
      <c r="A24" s="49">
        <v>44951</v>
      </c>
      <c r="B24" s="15" t="s">
        <v>3</v>
      </c>
      <c r="C24" s="16">
        <v>2500</v>
      </c>
      <c r="D24" s="26">
        <v>24.1</v>
      </c>
      <c r="E24" s="17">
        <f>C24*D24</f>
        <v>60250</v>
      </c>
      <c r="F24" s="27">
        <f>E24*0.002</f>
        <v>120.5</v>
      </c>
      <c r="G24" s="26">
        <f>E24*0.000068</f>
        <v>4.0969999999999995</v>
      </c>
      <c r="H24" s="26">
        <f>E24*0.00001</f>
        <v>0.60250000000000004</v>
      </c>
      <c r="I24" s="26">
        <f>(F24+G24+H24)*0.07</f>
        <v>8.7639650000000007</v>
      </c>
      <c r="J24" s="26">
        <f>E24-F24-G24-H24-I24</f>
        <v>60116.036534999999</v>
      </c>
    </row>
    <row r="25" spans="1:15" s="1" customFormat="1">
      <c r="A25" s="49" t="s">
        <v>4</v>
      </c>
      <c r="B25" s="15"/>
      <c r="C25" s="16"/>
      <c r="D25" s="17"/>
      <c r="E25" s="18">
        <f>E24-E23</f>
        <v>-34125</v>
      </c>
      <c r="F25" s="18"/>
      <c r="G25" s="18"/>
      <c r="H25" s="18"/>
      <c r="I25" s="18"/>
      <c r="J25" s="18">
        <f>J24-J23</f>
        <v>-34467.99465250002</v>
      </c>
    </row>
    <row r="26" spans="1:15" s="1" customFormat="1" ht="14.25">
      <c r="A26" s="54"/>
      <c r="B26" s="74" t="s">
        <v>2</v>
      </c>
      <c r="C26" s="51">
        <v>5000</v>
      </c>
      <c r="D26" s="52">
        <v>40</v>
      </c>
      <c r="E26" s="51">
        <v>200000</v>
      </c>
      <c r="F26" s="51">
        <v>400</v>
      </c>
      <c r="G26" s="51">
        <v>12</v>
      </c>
      <c r="H26" s="51">
        <v>2</v>
      </c>
      <c r="I26" s="51">
        <v>28.980000000000004</v>
      </c>
      <c r="J26" s="51">
        <v>200442.98</v>
      </c>
      <c r="K26" s="57"/>
      <c r="L26" s="58"/>
      <c r="M26" s="58"/>
      <c r="N26" s="59"/>
      <c r="O26" s="59"/>
    </row>
    <row r="27" spans="1:15" s="19" customFormat="1" ht="15">
      <c r="A27" s="56">
        <v>44462</v>
      </c>
      <c r="B27" s="13" t="s">
        <v>1</v>
      </c>
      <c r="C27" s="10">
        <v>2500</v>
      </c>
      <c r="D27" s="46">
        <v>19</v>
      </c>
      <c r="E27" s="20">
        <f>C27*D27</f>
        <v>47500</v>
      </c>
      <c r="F27" s="20">
        <f>E27*0.002</f>
        <v>95</v>
      </c>
      <c r="G27" s="20">
        <f>E27*0.00006</f>
        <v>2.85</v>
      </c>
      <c r="H27" s="20">
        <f>E27*0.00001</f>
        <v>0.47500000000000003</v>
      </c>
      <c r="I27" s="20">
        <f>(F27+G27+H27)*0.07</f>
        <v>6.8827499999999997</v>
      </c>
      <c r="J27" s="20">
        <f>E27+F27+I27+G27+H27</f>
        <v>47605.207749999994</v>
      </c>
      <c r="K27" s="57"/>
      <c r="L27" s="58"/>
      <c r="M27" s="58"/>
      <c r="N27" s="58"/>
      <c r="O27" s="58"/>
    </row>
    <row r="28" spans="1:15" s="1" customFormat="1">
      <c r="A28" s="50"/>
      <c r="B28" s="3">
        <f>(D27-D26)/D26</f>
        <v>-0.52500000000000002</v>
      </c>
      <c r="C28" s="2">
        <f>SUM(C26:C27)</f>
        <v>7500</v>
      </c>
      <c r="D28" s="47">
        <f>E28/C28</f>
        <v>33</v>
      </c>
      <c r="E28" s="2">
        <f t="shared" ref="E28:J28" si="4">SUM(E26:E27)</f>
        <v>247500</v>
      </c>
      <c r="F28" s="2">
        <f t="shared" si="4"/>
        <v>495</v>
      </c>
      <c r="G28" s="2">
        <f t="shared" si="4"/>
        <v>14.85</v>
      </c>
      <c r="H28" s="2">
        <f t="shared" si="4"/>
        <v>2.4750000000000001</v>
      </c>
      <c r="I28" s="2">
        <f t="shared" si="4"/>
        <v>35.862750000000005</v>
      </c>
      <c r="J28" s="2">
        <f t="shared" si="4"/>
        <v>248048.18775000001</v>
      </c>
      <c r="K28" s="57"/>
      <c r="L28" s="58"/>
      <c r="M28" s="58"/>
      <c r="N28" s="59"/>
      <c r="O28" s="59"/>
    </row>
    <row r="29" spans="1:15" s="1" customFormat="1">
      <c r="A29" s="49"/>
      <c r="B29" s="15"/>
      <c r="C29" s="16"/>
      <c r="D29" s="17"/>
      <c r="E29" s="18"/>
      <c r="F29" s="18"/>
      <c r="G29" s="18"/>
      <c r="H29" s="18"/>
      <c r="I29" s="18"/>
      <c r="J29" s="18"/>
    </row>
    <row r="30" spans="1:15" s="1" customFormat="1" ht="14.25">
      <c r="A30" s="54"/>
      <c r="B30" s="74"/>
      <c r="C30" s="51"/>
      <c r="D30" s="52"/>
      <c r="E30" s="51"/>
      <c r="F30" s="51"/>
      <c r="G30" s="51"/>
      <c r="H30" s="51"/>
      <c r="I30" s="51"/>
      <c r="J30" s="51"/>
      <c r="K30" s="57"/>
      <c r="L30" s="58"/>
      <c r="M30" s="58"/>
      <c r="N30" s="59"/>
      <c r="O30" s="59"/>
    </row>
    <row r="31" spans="1:15" s="19" customFormat="1" ht="15">
      <c r="A31" s="49">
        <v>44550</v>
      </c>
      <c r="B31" s="15" t="s">
        <v>1</v>
      </c>
      <c r="C31" s="16">
        <v>2500</v>
      </c>
      <c r="D31" s="41">
        <v>29.5</v>
      </c>
      <c r="E31" s="18">
        <f>C31*D31</f>
        <v>73750</v>
      </c>
      <c r="F31" s="18">
        <f>E31*0.002</f>
        <v>147.5</v>
      </c>
      <c r="G31" s="18">
        <f>E31*0.00006</f>
        <v>4.4249999999999998</v>
      </c>
      <c r="H31" s="18">
        <f>E31*0.00001</f>
        <v>0.73750000000000004</v>
      </c>
      <c r="I31" s="18">
        <f>(F31+G31+H31)*0.07</f>
        <v>10.686375000000002</v>
      </c>
      <c r="J31" s="18">
        <f>E31+F31+I31+G31+H31</f>
        <v>73913.348875000011</v>
      </c>
      <c r="K31" s="57"/>
      <c r="L31" s="58"/>
      <c r="M31" s="58"/>
      <c r="N31" s="58"/>
      <c r="O31" s="58"/>
    </row>
    <row r="32" spans="1:15" s="1" customFormat="1">
      <c r="A32" s="49">
        <v>44922</v>
      </c>
      <c r="B32" s="15" t="s">
        <v>3</v>
      </c>
      <c r="C32" s="16">
        <f>C31</f>
        <v>2500</v>
      </c>
      <c r="D32" s="26">
        <v>19.7</v>
      </c>
      <c r="E32" s="17">
        <f>C32*D32</f>
        <v>49250</v>
      </c>
      <c r="F32" s="27">
        <f>E32*0.002</f>
        <v>98.5</v>
      </c>
      <c r="G32" s="26">
        <f>E32*0.000068</f>
        <v>3.3489999999999998</v>
      </c>
      <c r="H32" s="26">
        <f>E32*0.00001</f>
        <v>0.49250000000000005</v>
      </c>
      <c r="I32" s="26">
        <f>(F32+G32+H32)*0.07</f>
        <v>7.1639050000000015</v>
      </c>
      <c r="J32" s="26">
        <f>E32-F32-G32-H32-I32</f>
        <v>49140.494594999996</v>
      </c>
    </row>
    <row r="33" spans="1:15" s="1" customFormat="1">
      <c r="A33" s="49" t="s">
        <v>4</v>
      </c>
      <c r="B33" s="15"/>
      <c r="C33" s="16"/>
      <c r="D33" s="17"/>
      <c r="E33" s="18">
        <f>E32-E31</f>
        <v>-24500</v>
      </c>
      <c r="F33" s="18"/>
      <c r="G33" s="18"/>
      <c r="H33" s="18"/>
      <c r="I33" s="18"/>
      <c r="J33" s="18">
        <f>J32-J31</f>
        <v>-24772.854280000014</v>
      </c>
    </row>
    <row r="34" spans="1:15" s="1" customFormat="1">
      <c r="A34" s="50"/>
      <c r="B34" s="3"/>
      <c r="C34" s="2"/>
      <c r="D34" s="47"/>
      <c r="E34" s="2"/>
      <c r="F34" s="2"/>
      <c r="G34" s="2"/>
      <c r="H34" s="2"/>
      <c r="I34" s="2"/>
      <c r="J34" s="2"/>
      <c r="K34" s="57"/>
      <c r="L34" s="58"/>
      <c r="M34" s="58"/>
      <c r="N34" s="59"/>
      <c r="O34" s="59"/>
    </row>
    <row r="35" spans="1:15" s="19" customFormat="1" ht="15">
      <c r="A35" s="49">
        <v>44624</v>
      </c>
      <c r="B35" s="15" t="s">
        <v>1</v>
      </c>
      <c r="C35" s="16">
        <v>2500</v>
      </c>
      <c r="D35" s="41">
        <v>25.75</v>
      </c>
      <c r="E35" s="18">
        <f>C35*D35</f>
        <v>64375</v>
      </c>
      <c r="F35" s="18">
        <f>E35*0.002</f>
        <v>128.75</v>
      </c>
      <c r="G35" s="18">
        <f>E35*0.00006</f>
        <v>3.8625000000000003</v>
      </c>
      <c r="H35" s="18">
        <f>E35*0.00001</f>
        <v>0.64375000000000004</v>
      </c>
      <c r="I35" s="18">
        <f>(F35+G35+H35)*0.07</f>
        <v>9.3279375000000027</v>
      </c>
      <c r="J35" s="18">
        <f>E35+F35+I35+G35+H35</f>
        <v>64517.584187500004</v>
      </c>
      <c r="K35" s="57"/>
      <c r="L35" s="58"/>
      <c r="M35" s="58"/>
      <c r="N35" s="58"/>
      <c r="O35" s="58"/>
    </row>
    <row r="36" spans="1:15" s="1" customFormat="1">
      <c r="A36" s="49">
        <v>44866</v>
      </c>
      <c r="B36" s="15" t="s">
        <v>3</v>
      </c>
      <c r="C36" s="16">
        <f>C35</f>
        <v>2500</v>
      </c>
      <c r="D36" s="26">
        <v>19.2</v>
      </c>
      <c r="E36" s="17">
        <f>C36*D36</f>
        <v>48000</v>
      </c>
      <c r="F36" s="27">
        <f>E36*0.002</f>
        <v>96</v>
      </c>
      <c r="G36" s="26">
        <f>E36*0.000068</f>
        <v>3.2639999999999998</v>
      </c>
      <c r="H36" s="26">
        <f>E36*0.00001</f>
        <v>0.48000000000000004</v>
      </c>
      <c r="I36" s="26">
        <f>(F36+G36+H36)*0.07</f>
        <v>6.9820800000000007</v>
      </c>
      <c r="J36" s="26">
        <f>E36-F36-G36-H36-I36</f>
        <v>47893.273919999992</v>
      </c>
    </row>
    <row r="37" spans="1:15" s="1" customFormat="1">
      <c r="A37" s="49" t="s">
        <v>4</v>
      </c>
      <c r="B37" s="15"/>
      <c r="C37" s="16"/>
      <c r="D37" s="17"/>
      <c r="E37" s="18">
        <f>E36-E35</f>
        <v>-16375</v>
      </c>
      <c r="F37" s="18"/>
      <c r="G37" s="18"/>
      <c r="H37" s="18"/>
      <c r="I37" s="18"/>
      <c r="J37" s="18">
        <f>J36-J35</f>
        <v>-16624.310267500012</v>
      </c>
    </row>
    <row r="38" spans="1:15" s="1" customFormat="1">
      <c r="A38" s="56"/>
      <c r="B38" s="13"/>
      <c r="C38" s="10"/>
      <c r="D38" s="11"/>
      <c r="E38" s="20"/>
      <c r="F38" s="20"/>
      <c r="G38" s="20"/>
      <c r="H38" s="20"/>
      <c r="I38" s="20"/>
      <c r="J38" s="20"/>
    </row>
    <row r="39" spans="1:15" s="1" customFormat="1">
      <c r="A39" s="56">
        <v>44627</v>
      </c>
      <c r="B39" s="13" t="s">
        <v>1</v>
      </c>
      <c r="C39" s="10">
        <v>2500</v>
      </c>
      <c r="D39" s="46">
        <v>25.75</v>
      </c>
      <c r="E39" s="20">
        <f>C39*D39</f>
        <v>64375</v>
      </c>
      <c r="F39" s="20">
        <f>E39*0.002</f>
        <v>128.75</v>
      </c>
      <c r="G39" s="20">
        <f>E39*0.00006</f>
        <v>3.8625000000000003</v>
      </c>
      <c r="H39" s="20">
        <f>E39*0.00001</f>
        <v>0.64375000000000004</v>
      </c>
      <c r="I39" s="20">
        <f>(F39+G39+H39)*0.07</f>
        <v>9.3279375000000027</v>
      </c>
      <c r="J39" s="20">
        <f>E39+F39+I39+G39+H39</f>
        <v>64517.584187500004</v>
      </c>
    </row>
    <row r="40" spans="1:15" s="1" customFormat="1">
      <c r="A40" s="56">
        <v>44634</v>
      </c>
      <c r="B40" s="13" t="s">
        <v>3</v>
      </c>
      <c r="C40" s="10">
        <f>C39</f>
        <v>2500</v>
      </c>
      <c r="D40" s="34">
        <v>20.100000000000001</v>
      </c>
      <c r="E40" s="11">
        <f>C40*D40</f>
        <v>50250</v>
      </c>
      <c r="F40" s="35">
        <f>E40*0.002</f>
        <v>100.5</v>
      </c>
      <c r="G40" s="34">
        <f>E40*0.000068</f>
        <v>3.4169999999999998</v>
      </c>
      <c r="H40" s="34">
        <f>E40*0.00001</f>
        <v>0.50250000000000006</v>
      </c>
      <c r="I40" s="34">
        <f>(F40+G40+H40)*0.07</f>
        <v>7.3093650000000006</v>
      </c>
      <c r="J40" s="34">
        <f>E40-F40-G40-H40-I40</f>
        <v>50138.271134999995</v>
      </c>
    </row>
    <row r="41" spans="1:15" s="1" customFormat="1">
      <c r="A41" s="56" t="s">
        <v>4</v>
      </c>
      <c r="B41" s="13"/>
      <c r="C41" s="10"/>
      <c r="D41" s="11"/>
      <c r="E41" s="20">
        <f>E40-E39</f>
        <v>-14125</v>
      </c>
      <c r="F41" s="20"/>
      <c r="G41" s="20"/>
      <c r="H41" s="20"/>
      <c r="I41" s="20"/>
      <c r="J41" s="20">
        <f>J40-J39</f>
        <v>-14379.313052500009</v>
      </c>
    </row>
    <row r="42" spans="1:15" s="1" customFormat="1">
      <c r="A42" s="56">
        <v>44627</v>
      </c>
      <c r="B42" s="13" t="s">
        <v>1</v>
      </c>
      <c r="C42" s="10">
        <v>2500</v>
      </c>
      <c r="D42" s="46">
        <v>19</v>
      </c>
      <c r="E42" s="20">
        <f>C42*D42</f>
        <v>47500</v>
      </c>
      <c r="F42" s="20">
        <f>E42*0.002</f>
        <v>95</v>
      </c>
      <c r="G42" s="20">
        <f>E42*0.00006</f>
        <v>2.85</v>
      </c>
      <c r="H42" s="20">
        <f>E42*0.00001</f>
        <v>0.47500000000000003</v>
      </c>
      <c r="I42" s="20">
        <f>(F42+G42+H42)*0.07</f>
        <v>6.8827499999999997</v>
      </c>
      <c r="J42" s="20">
        <f>E42+F42+I42+G42+H42</f>
        <v>47605.207749999994</v>
      </c>
    </row>
    <row r="43" spans="1:15" s="1" customFormat="1">
      <c r="A43" s="56">
        <v>44634</v>
      </c>
      <c r="B43" s="13" t="s">
        <v>3</v>
      </c>
      <c r="C43" s="10">
        <f>C42</f>
        <v>2500</v>
      </c>
      <c r="D43" s="34">
        <v>20.100000000000001</v>
      </c>
      <c r="E43" s="11">
        <f>C43*D43</f>
        <v>50250</v>
      </c>
      <c r="F43" s="35">
        <f>E43*0.002</f>
        <v>100.5</v>
      </c>
      <c r="G43" s="34">
        <f>E43*0.000068</f>
        <v>3.4169999999999998</v>
      </c>
      <c r="H43" s="34">
        <f>E43*0.00001</f>
        <v>0.50250000000000006</v>
      </c>
      <c r="I43" s="34">
        <f>(F43+G43+H43)*0.07</f>
        <v>7.3093650000000006</v>
      </c>
      <c r="J43" s="34">
        <f>E43-F43-G43-H43-I43</f>
        <v>50138.271134999995</v>
      </c>
    </row>
    <row r="44" spans="1:15" s="1" customFormat="1">
      <c r="A44" s="56" t="s">
        <v>4</v>
      </c>
      <c r="B44" s="12">
        <f>(D43-D42)/D42</f>
        <v>5.7894736842105339E-2</v>
      </c>
      <c r="C44" s="10"/>
      <c r="D44" s="11"/>
      <c r="E44" s="20">
        <f>E43-E42</f>
        <v>2750</v>
      </c>
      <c r="F44" s="20"/>
      <c r="G44" s="20"/>
      <c r="H44" s="20"/>
      <c r="I44" s="20"/>
      <c r="J44" s="20">
        <f>J43-J42</f>
        <v>2533.0633850000013</v>
      </c>
    </row>
    <row r="45" spans="1:15" s="1" customFormat="1" ht="12">
      <c r="A45" s="50"/>
      <c r="D45" s="47"/>
      <c r="J45" s="53"/>
    </row>
    <row r="46" spans="1:15" s="19" customFormat="1" ht="15">
      <c r="A46" s="56">
        <v>44624</v>
      </c>
      <c r="B46" s="13" t="s">
        <v>1</v>
      </c>
      <c r="C46" s="16">
        <v>2500</v>
      </c>
      <c r="D46" s="46">
        <v>25.75</v>
      </c>
      <c r="E46" s="20">
        <f>C46*D46</f>
        <v>64375</v>
      </c>
      <c r="F46" s="20">
        <f>E46*0.002</f>
        <v>128.75</v>
      </c>
      <c r="G46" s="20">
        <f>E46*0.00006</f>
        <v>3.8625000000000003</v>
      </c>
      <c r="H46" s="20">
        <f>E46*0.00001</f>
        <v>0.64375000000000004</v>
      </c>
      <c r="I46" s="20">
        <f>(F46+G46+H46)*0.07</f>
        <v>9.3279375000000027</v>
      </c>
      <c r="J46" s="20">
        <f>E46+F46+I46+G46+H46</f>
        <v>64517.584187500004</v>
      </c>
      <c r="K46" s="57"/>
      <c r="L46" s="58"/>
      <c r="M46" s="58"/>
      <c r="N46" s="58"/>
      <c r="O46" s="58"/>
    </row>
    <row r="47" spans="1:15" s="13" customFormat="1">
      <c r="A47" s="56" t="e">
        <f>#REF!</f>
        <v>#REF!</v>
      </c>
      <c r="B47" s="13" t="s">
        <v>3</v>
      </c>
      <c r="C47" s="10">
        <f>C46</f>
        <v>2500</v>
      </c>
      <c r="D47" s="26"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C47</f>
        <v>2500</v>
      </c>
    </row>
    <row r="48" spans="1:15" s="31" customFormat="1" ht="18.75">
      <c r="A48" s="56" t="s">
        <v>4</v>
      </c>
      <c r="B48" s="25">
        <f>(D47-D46)/D46</f>
        <v>0.14563106796116504</v>
      </c>
      <c r="C48" s="10"/>
      <c r="D48" s="11"/>
      <c r="E48" s="20">
        <f>E47-E46</f>
        <v>9375</v>
      </c>
      <c r="F48" s="20"/>
      <c r="G48" s="20"/>
      <c r="H48" s="20"/>
      <c r="I48" s="20"/>
      <c r="J48" s="20">
        <f>J47-J46</f>
        <v>9068.4356374999916</v>
      </c>
      <c r="K48" s="20">
        <f>J48</f>
        <v>9068.4356374999916</v>
      </c>
    </row>
    <row r="49" spans="1:15" s="19" customFormat="1" ht="15">
      <c r="A49" s="49">
        <v>44550</v>
      </c>
      <c r="B49" s="13" t="s">
        <v>1</v>
      </c>
      <c r="C49" s="16">
        <v>2500</v>
      </c>
      <c r="D49" s="46">
        <v>29.5</v>
      </c>
      <c r="E49" s="20">
        <f>C49*D49</f>
        <v>73750</v>
      </c>
      <c r="F49" s="20">
        <f>E49*0.002</f>
        <v>147.5</v>
      </c>
      <c r="G49" s="20">
        <f>E49*0.00006</f>
        <v>4.4249999999999998</v>
      </c>
      <c r="H49" s="20">
        <f>E49*0.00001</f>
        <v>0.73750000000000004</v>
      </c>
      <c r="I49" s="20">
        <f>(F49+G49+H49)*0.07</f>
        <v>10.686375000000002</v>
      </c>
      <c r="J49" s="20">
        <f>E49+F49+I49+G49+H49</f>
        <v>73913.348875000011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D47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5000</v>
      </c>
    </row>
    <row r="51" spans="1:15" s="31" customFormat="1" ht="18.75">
      <c r="A51" s="56" t="s">
        <v>4</v>
      </c>
      <c r="B51" s="25">
        <f>(D50-D49)/D49</f>
        <v>0</v>
      </c>
      <c r="C51" s="10"/>
      <c r="D51" s="11"/>
      <c r="E51" s="20">
        <f>E50-E49</f>
        <v>0</v>
      </c>
      <c r="F51" s="20"/>
      <c r="G51" s="20"/>
      <c r="H51" s="20"/>
      <c r="I51" s="20"/>
      <c r="J51" s="20">
        <f>J50-J49</f>
        <v>-327.32905000001483</v>
      </c>
      <c r="K51" s="20">
        <f>K48+J51</f>
        <v>8741.1065874999767</v>
      </c>
    </row>
    <row r="52" spans="1:15" s="19" customFormat="1" ht="15">
      <c r="A52" s="56">
        <v>44543</v>
      </c>
      <c r="B52" s="13" t="s">
        <v>1</v>
      </c>
      <c r="C52" s="16">
        <v>2500</v>
      </c>
      <c r="D52" s="46">
        <v>29.5</v>
      </c>
      <c r="E52" s="20">
        <f>C52*D52</f>
        <v>73750</v>
      </c>
      <c r="F52" s="20">
        <f>E52*0.002</f>
        <v>147.5</v>
      </c>
      <c r="G52" s="20">
        <f>E52*0.00006</f>
        <v>4.4249999999999998</v>
      </c>
      <c r="H52" s="20">
        <f>E52*0.00001</f>
        <v>0.73750000000000004</v>
      </c>
      <c r="I52" s="20">
        <f>(F52+G52+H52)*0.07</f>
        <v>10.686375000000002</v>
      </c>
      <c r="J52" s="20">
        <f>E52+F52+I52+G52+H52</f>
        <v>73913.348875000011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D50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10">
        <f>K50+C53</f>
        <v>7500</v>
      </c>
    </row>
    <row r="54" spans="1:15" s="31" customFormat="1" ht="18.75">
      <c r="A54" s="56" t="s">
        <v>4</v>
      </c>
      <c r="B54" s="25">
        <f>(D53-D52)/D52</f>
        <v>0</v>
      </c>
      <c r="C54" s="10"/>
      <c r="D54" s="11"/>
      <c r="E54" s="20">
        <f>E53-E52</f>
        <v>0</v>
      </c>
      <c r="F54" s="20"/>
      <c r="G54" s="20"/>
      <c r="H54" s="20"/>
      <c r="I54" s="20"/>
      <c r="J54" s="20">
        <f>J53-J52</f>
        <v>-327.32905000001483</v>
      </c>
      <c r="K54" s="20">
        <f>K51+J54</f>
        <v>8413.7775374999619</v>
      </c>
    </row>
    <row r="55" spans="1:15" s="19" customFormat="1" ht="15">
      <c r="A55" s="56">
        <v>44496</v>
      </c>
      <c r="B55" s="13" t="s">
        <v>1</v>
      </c>
      <c r="C55" s="16">
        <v>2500</v>
      </c>
      <c r="D55" s="46">
        <v>32.75</v>
      </c>
      <c r="E55" s="20">
        <f>C55*D55</f>
        <v>81875</v>
      </c>
      <c r="F55" s="20">
        <f>E55*0.002</f>
        <v>163.75</v>
      </c>
      <c r="G55" s="20">
        <f>E55*0.00006</f>
        <v>4.9125000000000005</v>
      </c>
      <c r="H55" s="20">
        <f>E55*0.00001</f>
        <v>0.81875000000000009</v>
      </c>
      <c r="I55" s="20">
        <f>(F55+G55+H55)*0.07</f>
        <v>11.863687500000001</v>
      </c>
      <c r="J55" s="20">
        <f>E55+F55+I55+G55+H55</f>
        <v>82056.344937500005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D50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10000</v>
      </c>
    </row>
    <row r="57" spans="1:15" s="31" customFormat="1" ht="18.75">
      <c r="A57" s="56" t="s">
        <v>4</v>
      </c>
      <c r="B57" s="25">
        <f>(D56-D55)/D55</f>
        <v>-9.9236641221374045E-2</v>
      </c>
      <c r="C57" s="10"/>
      <c r="D57" s="11"/>
      <c r="E57" s="20">
        <f>E56-E55</f>
        <v>-8125</v>
      </c>
      <c r="F57" s="20"/>
      <c r="G57" s="20"/>
      <c r="H57" s="20"/>
      <c r="I57" s="20"/>
      <c r="J57" s="20">
        <f>J56-J55</f>
        <v>-8470.3251125000097</v>
      </c>
      <c r="K57" s="20">
        <f>K54+J57</f>
        <v>-56.5475750000478</v>
      </c>
    </row>
    <row r="58" spans="1:15" s="19" customFormat="1" ht="15">
      <c r="A58" s="56">
        <v>44462</v>
      </c>
      <c r="B58" s="13" t="s">
        <v>1</v>
      </c>
      <c r="C58" s="16">
        <v>2500</v>
      </c>
      <c r="D58" s="46">
        <v>33.25</v>
      </c>
      <c r="E58" s="20">
        <f>C58*D58</f>
        <v>83125</v>
      </c>
      <c r="F58" s="20">
        <f>E58*0.002</f>
        <v>166.25</v>
      </c>
      <c r="G58" s="20">
        <f>E58*0.00006</f>
        <v>4.9874999999999998</v>
      </c>
      <c r="H58" s="20">
        <f>E58*0.00001</f>
        <v>0.83125000000000004</v>
      </c>
      <c r="I58" s="20">
        <f>(F58+G58+H58)*0.07</f>
        <v>12.044812500000003</v>
      </c>
      <c r="J58" s="20">
        <f>E58+F58+I58+G58+H58</f>
        <v>83309.113562500002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D50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12500</v>
      </c>
    </row>
    <row r="60" spans="1:15" s="31" customFormat="1" ht="18.75">
      <c r="A60" s="56" t="s">
        <v>4</v>
      </c>
      <c r="B60" s="25">
        <f>(D59-D58)/D58</f>
        <v>-0.11278195488721804</v>
      </c>
      <c r="C60" s="10"/>
      <c r="D60" s="11"/>
      <c r="E60" s="20">
        <f>E59-E58</f>
        <v>-9375</v>
      </c>
      <c r="F60" s="20"/>
      <c r="G60" s="20"/>
      <c r="H60" s="20"/>
      <c r="I60" s="20"/>
      <c r="J60" s="20">
        <f>J59-J58</f>
        <v>-9723.0937375000067</v>
      </c>
      <c r="K60" s="20">
        <f>K57+J60</f>
        <v>-9779.6413125000545</v>
      </c>
    </row>
    <row r="61" spans="1:15" s="19" customFormat="1" ht="15">
      <c r="A61" s="56">
        <v>44452</v>
      </c>
      <c r="B61" s="13" t="s">
        <v>1</v>
      </c>
      <c r="C61" s="16">
        <v>2500</v>
      </c>
      <c r="D61" s="46">
        <v>35.25</v>
      </c>
      <c r="E61" s="20">
        <f>C61*D61</f>
        <v>88125</v>
      </c>
      <c r="F61" s="20">
        <f>E61*0.002</f>
        <v>176.25</v>
      </c>
      <c r="G61" s="20">
        <f>E61*0.00006</f>
        <v>5.2875000000000005</v>
      </c>
      <c r="H61" s="20">
        <f>E61*0.00001</f>
        <v>0.88125000000000009</v>
      </c>
      <c r="I61" s="20">
        <f>(F61+G61+H61)*0.07</f>
        <v>12.7693125</v>
      </c>
      <c r="J61" s="20">
        <f>E61+F61+I61+G61+H61</f>
        <v>88320.188062500005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D50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91">
        <f>K59+C62</f>
        <v>15000</v>
      </c>
    </row>
    <row r="63" spans="1:15" s="31" customFormat="1" ht="18.75">
      <c r="A63" s="56" t="s">
        <v>4</v>
      </c>
      <c r="B63" s="25">
        <f>(D62-D61)/D61</f>
        <v>-0.16312056737588654</v>
      </c>
      <c r="C63" s="10"/>
      <c r="D63" s="11"/>
      <c r="E63" s="20">
        <f>E62-E61</f>
        <v>-14375</v>
      </c>
      <c r="F63" s="20"/>
      <c r="G63" s="20"/>
      <c r="H63" s="20"/>
      <c r="I63" s="20"/>
      <c r="J63" s="20">
        <f>J62-J61</f>
        <v>-14734.168237500009</v>
      </c>
      <c r="K63" s="20">
        <f>K60+J63</f>
        <v>-24513.809550000064</v>
      </c>
    </row>
    <row r="64" spans="1:15" s="19" customFormat="1" ht="15">
      <c r="A64" s="56">
        <v>44398</v>
      </c>
      <c r="B64" s="13" t="s">
        <v>1</v>
      </c>
      <c r="C64" s="16">
        <v>2500</v>
      </c>
      <c r="D64" s="46">
        <v>37.75</v>
      </c>
      <c r="E64" s="20">
        <f>C64*D64</f>
        <v>94375</v>
      </c>
      <c r="F64" s="20">
        <f>E64*0.002</f>
        <v>188.75</v>
      </c>
      <c r="G64" s="20">
        <f>E64*0.00006</f>
        <v>5.6625000000000005</v>
      </c>
      <c r="H64" s="20">
        <f>E64*0.00001</f>
        <v>0.94375000000000009</v>
      </c>
      <c r="I64" s="20">
        <f>(F64+G64+H64)*0.07</f>
        <v>13.6749375</v>
      </c>
      <c r="J64" s="20">
        <f>E64+F64+I64+G64+H64</f>
        <v>94584.031187500019</v>
      </c>
      <c r="K64" s="57"/>
      <c r="L64" s="58"/>
      <c r="M64" s="58"/>
      <c r="N64" s="58"/>
      <c r="O64" s="58"/>
    </row>
    <row r="65" spans="1:15" s="13" customFormat="1">
      <c r="A65" s="56" t="e">
        <f>A62</f>
        <v>#REF!</v>
      </c>
      <c r="B65" s="13" t="s">
        <v>3</v>
      </c>
      <c r="C65" s="10">
        <f>C64</f>
        <v>2500</v>
      </c>
      <c r="D65" s="34">
        <f>D50</f>
        <v>29.5</v>
      </c>
      <c r="E65" s="11">
        <f>C65*D65</f>
        <v>73750</v>
      </c>
      <c r="F65" s="35">
        <f>E65*0.002</f>
        <v>147.5</v>
      </c>
      <c r="G65" s="34">
        <f>E65*0.000068</f>
        <v>5.0149999999999997</v>
      </c>
      <c r="H65" s="34">
        <f>E65*0.00001</f>
        <v>0.73750000000000004</v>
      </c>
      <c r="I65" s="34">
        <f>(F65+G65+H65)*0.07</f>
        <v>10.727675000000001</v>
      </c>
      <c r="J65" s="34">
        <f>E65-F65-G65-H65-I65</f>
        <v>73586.019824999996</v>
      </c>
      <c r="K65" s="10">
        <f>K62+C65</f>
        <v>17500</v>
      </c>
    </row>
    <row r="66" spans="1:15" s="31" customFormat="1" ht="18.75">
      <c r="A66" s="56" t="s">
        <v>4</v>
      </c>
      <c r="B66" s="25">
        <f>(D65-D64)/D64</f>
        <v>-0.2185430463576159</v>
      </c>
      <c r="C66" s="10"/>
      <c r="D66" s="11"/>
      <c r="E66" s="20">
        <f>E65-E64</f>
        <v>-20625</v>
      </c>
      <c r="F66" s="20"/>
      <c r="G66" s="20"/>
      <c r="H66" s="20"/>
      <c r="I66" s="20"/>
      <c r="J66" s="20">
        <f>J65-J64</f>
        <v>-20998.011362500023</v>
      </c>
      <c r="K66" s="20">
        <f>K63+J66</f>
        <v>-45511.820912500087</v>
      </c>
    </row>
    <row r="67" spans="1:15" s="19" customFormat="1" ht="15">
      <c r="A67" s="56">
        <v>44368</v>
      </c>
      <c r="B67" s="13" t="s">
        <v>1</v>
      </c>
      <c r="C67" s="16">
        <v>2500</v>
      </c>
      <c r="D67" s="46">
        <v>40</v>
      </c>
      <c r="E67" s="20">
        <f>C67*D67</f>
        <v>100000</v>
      </c>
      <c r="F67" s="20">
        <f>E67*0.002</f>
        <v>200</v>
      </c>
      <c r="G67" s="20">
        <f>E67*0.00006</f>
        <v>6</v>
      </c>
      <c r="H67" s="20">
        <f>E67*0.00001</f>
        <v>1</v>
      </c>
      <c r="I67" s="20">
        <f>(F67+G67+H67)*0.07</f>
        <v>14.490000000000002</v>
      </c>
      <c r="J67" s="20">
        <f>E67+F67+I67+G67+H67</f>
        <v>100221.49</v>
      </c>
      <c r="K67" s="57"/>
      <c r="L67" s="58"/>
      <c r="M67" s="58"/>
      <c r="N67" s="58"/>
      <c r="O67" s="58"/>
    </row>
    <row r="68" spans="1:15" s="13" customFormat="1">
      <c r="A68" s="56" t="e">
        <f>A65</f>
        <v>#REF!</v>
      </c>
      <c r="B68" s="13" t="s">
        <v>3</v>
      </c>
      <c r="C68" s="10">
        <f>C67</f>
        <v>2500</v>
      </c>
      <c r="D68" s="34">
        <f>D53</f>
        <v>29.5</v>
      </c>
      <c r="E68" s="11">
        <f>C68*D68</f>
        <v>73750</v>
      </c>
      <c r="F68" s="35">
        <f>E68*0.002</f>
        <v>147.5</v>
      </c>
      <c r="G68" s="34">
        <f>E68*0.000068</f>
        <v>5.0149999999999997</v>
      </c>
      <c r="H68" s="34">
        <f>E68*0.00001</f>
        <v>0.73750000000000004</v>
      </c>
      <c r="I68" s="34">
        <f>(F68+G68+H68)*0.07</f>
        <v>10.727675000000001</v>
      </c>
      <c r="J68" s="34">
        <f>E68-F68-G68-H68-I68</f>
        <v>73586.019824999996</v>
      </c>
      <c r="K68" s="10">
        <f>K65+C68</f>
        <v>20000</v>
      </c>
    </row>
    <row r="69" spans="1:15" s="31" customFormat="1" ht="18.75">
      <c r="A69" s="56" t="s">
        <v>4</v>
      </c>
      <c r="B69" s="25">
        <f>(D68-D67)/D67</f>
        <v>-0.26250000000000001</v>
      </c>
      <c r="C69" s="10"/>
      <c r="D69" s="11"/>
      <c r="E69" s="20">
        <f>E68-E67</f>
        <v>-26250</v>
      </c>
      <c r="F69" s="20"/>
      <c r="G69" s="20"/>
      <c r="H69" s="20"/>
      <c r="I69" s="20"/>
      <c r="J69" s="20">
        <f>J68-J67</f>
        <v>-26635.470175000009</v>
      </c>
      <c r="K69" s="20">
        <f>K66+J69</f>
        <v>-72147.291087500096</v>
      </c>
    </row>
    <row r="70" spans="1:15" s="19" customFormat="1" ht="15">
      <c r="A70" s="56">
        <v>44368</v>
      </c>
      <c r="B70" s="13" t="s">
        <v>1</v>
      </c>
      <c r="C70" s="16">
        <v>2500</v>
      </c>
      <c r="D70" s="46">
        <v>40</v>
      </c>
      <c r="E70" s="20">
        <f>C70*D70</f>
        <v>100000</v>
      </c>
      <c r="F70" s="20">
        <f>E70*0.002</f>
        <v>200</v>
      </c>
      <c r="G70" s="20">
        <f>E70*0.00006</f>
        <v>6</v>
      </c>
      <c r="H70" s="20">
        <f>E70*0.00001</f>
        <v>1</v>
      </c>
      <c r="I70" s="20">
        <f>(F70+G70+H70)*0.07</f>
        <v>14.490000000000002</v>
      </c>
      <c r="J70" s="20">
        <f>E70+F70+I70+G70+H70</f>
        <v>100221.49</v>
      </c>
      <c r="K70" s="57"/>
      <c r="L70" s="58"/>
      <c r="M70" s="58"/>
      <c r="N70" s="58"/>
      <c r="O70" s="58"/>
    </row>
    <row r="71" spans="1:15" s="13" customFormat="1">
      <c r="A71" s="56" t="e">
        <f>A68</f>
        <v>#REF!</v>
      </c>
      <c r="B71" s="13" t="s">
        <v>3</v>
      </c>
      <c r="C71" s="10">
        <f>C70</f>
        <v>2500</v>
      </c>
      <c r="D71" s="34">
        <f>D56</f>
        <v>29.5</v>
      </c>
      <c r="E71" s="11">
        <f>C71*D71</f>
        <v>73750</v>
      </c>
      <c r="F71" s="35">
        <f>E71*0.002</f>
        <v>147.5</v>
      </c>
      <c r="G71" s="34">
        <f>E71*0.000068</f>
        <v>5.0149999999999997</v>
      </c>
      <c r="H71" s="34">
        <f>E71*0.00001</f>
        <v>0.73750000000000004</v>
      </c>
      <c r="I71" s="34">
        <f>(F71+G71+H71)*0.07</f>
        <v>10.727675000000001</v>
      </c>
      <c r="J71" s="34">
        <f>E71-F71-G71-H71-I71</f>
        <v>73586.019824999996</v>
      </c>
      <c r="K71" s="10">
        <f>K68+C71</f>
        <v>22500</v>
      </c>
    </row>
    <row r="72" spans="1:15" s="31" customFormat="1" ht="18.75">
      <c r="A72" s="56" t="s">
        <v>4</v>
      </c>
      <c r="B72" s="25">
        <f>(D71-D70)/D70</f>
        <v>-0.26250000000000001</v>
      </c>
      <c r="C72" s="10"/>
      <c r="D72" s="11"/>
      <c r="E72" s="20">
        <f>E71-E70</f>
        <v>-26250</v>
      </c>
      <c r="F72" s="20"/>
      <c r="G72" s="20"/>
      <c r="H72" s="20"/>
      <c r="I72" s="20"/>
      <c r="J72" s="20">
        <f>J71-J70</f>
        <v>-26635.470175000009</v>
      </c>
      <c r="K72" s="20">
        <f>K69+J72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6"/>
  <sheetViews>
    <sheetView topLeftCell="A4" workbookViewId="0">
      <selection activeCell="D6" sqref="D6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39">
        <v>44957</v>
      </c>
      <c r="B3" s="15" t="s">
        <v>1</v>
      </c>
      <c r="C3" s="16">
        <v>6000</v>
      </c>
      <c r="D3" s="17">
        <v>11.4</v>
      </c>
      <c r="E3" s="18">
        <f>C3*D3</f>
        <v>68400</v>
      </c>
      <c r="F3" s="18">
        <f>E3*0.002</f>
        <v>136.80000000000001</v>
      </c>
      <c r="G3" s="18">
        <f>E3*0.00006</f>
        <v>4.1040000000000001</v>
      </c>
      <c r="H3" s="18">
        <f>E3*0.00001</f>
        <v>0.68400000000000005</v>
      </c>
      <c r="I3" s="18">
        <f>(F3+G3+H3)*0.07</f>
        <v>9.9111600000000024</v>
      </c>
      <c r="J3" s="18">
        <f>E3+F3+I3+G3+H3</f>
        <v>68551.499160000007</v>
      </c>
      <c r="K3" s="32"/>
      <c r="L3" s="11"/>
      <c r="M3" s="12"/>
    </row>
    <row r="4" spans="1:14" s="63" customFormat="1" ht="21.75">
      <c r="A4" s="49"/>
      <c r="B4" s="75">
        <f>(D3-D2)/D2</f>
        <v>-7.3170731707317097E-2</v>
      </c>
      <c r="C4" s="16">
        <f>SUM(C2:C3)</f>
        <v>18000</v>
      </c>
      <c r="D4" s="40">
        <f>E4/C4</f>
        <v>12</v>
      </c>
      <c r="E4" s="16">
        <f t="shared" ref="E4:J4" si="0">SUM(E2:E3)</f>
        <v>216000</v>
      </c>
      <c r="F4" s="16">
        <f t="shared" si="0"/>
        <v>432</v>
      </c>
      <c r="G4" s="16">
        <f t="shared" si="0"/>
        <v>12.96</v>
      </c>
      <c r="H4" s="16">
        <f t="shared" si="0"/>
        <v>2.16</v>
      </c>
      <c r="I4" s="16">
        <f t="shared" si="0"/>
        <v>31.298400000000004</v>
      </c>
      <c r="J4" s="16">
        <f t="shared" si="0"/>
        <v>216478.41840000002</v>
      </c>
      <c r="K4" s="11"/>
      <c r="L4" s="13"/>
      <c r="M4" s="62"/>
      <c r="N4" s="62"/>
    </row>
    <row r="5" spans="1:14" s="13" customFormat="1">
      <c r="A5" s="67">
        <v>44957</v>
      </c>
      <c r="B5" s="13" t="s">
        <v>1</v>
      </c>
      <c r="C5" s="10">
        <v>6000</v>
      </c>
      <c r="D5" s="11">
        <v>10.8</v>
      </c>
      <c r="E5" s="20">
        <f>C5*D5</f>
        <v>64800.000000000007</v>
      </c>
      <c r="F5" s="20">
        <f>E5*0.002</f>
        <v>129.60000000000002</v>
      </c>
      <c r="G5" s="20">
        <f>E5*0.00006</f>
        <v>3.8880000000000003</v>
      </c>
      <c r="H5" s="20">
        <f>E5*0.00001</f>
        <v>0.64800000000000013</v>
      </c>
      <c r="I5" s="20">
        <f>(F5+G5+H5)*0.07</f>
        <v>9.3895200000000028</v>
      </c>
      <c r="J5" s="20">
        <f>E5+F5+I5+G5+H5</f>
        <v>64943.525520000003</v>
      </c>
      <c r="K5" s="32"/>
      <c r="L5" s="11"/>
      <c r="M5" s="12"/>
    </row>
    <row r="6" spans="1:14" s="63" customFormat="1" ht="21.75">
      <c r="A6" s="56"/>
      <c r="B6" s="76">
        <f>(D5-D4)/D4</f>
        <v>-9.9999999999999936E-2</v>
      </c>
      <c r="C6" s="10">
        <f>SUM(C4:C5)</f>
        <v>24000</v>
      </c>
      <c r="D6" s="64">
        <f>E6/C6</f>
        <v>11.7</v>
      </c>
      <c r="E6" s="10">
        <f t="shared" ref="E6:J6" si="1">SUM(E4:E5)</f>
        <v>280800</v>
      </c>
      <c r="F6" s="10">
        <f t="shared" si="1"/>
        <v>561.6</v>
      </c>
      <c r="G6" s="10">
        <f t="shared" si="1"/>
        <v>16.848000000000003</v>
      </c>
      <c r="H6" s="10">
        <f t="shared" si="1"/>
        <v>2.8080000000000003</v>
      </c>
      <c r="I6" s="10">
        <f t="shared" si="1"/>
        <v>40.687920000000005</v>
      </c>
      <c r="J6" s="10">
        <f t="shared" si="1"/>
        <v>281421.94392000005</v>
      </c>
      <c r="K6" s="11"/>
      <c r="L6" s="13"/>
      <c r="M6" s="62"/>
      <c r="N6" s="62"/>
    </row>
    <row r="8" spans="1:14" s="63" customFormat="1" ht="21.75">
      <c r="A8" s="56">
        <v>44630</v>
      </c>
      <c r="C8" s="10">
        <f>C2</f>
        <v>12000</v>
      </c>
      <c r="D8" s="64">
        <v>0.2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</f>
        <v>2400</v>
      </c>
      <c r="K8" s="11"/>
      <c r="L8" s="13"/>
      <c r="M8" s="62"/>
      <c r="N8" s="62"/>
    </row>
    <row r="9" spans="1:14" s="1" customFormat="1">
      <c r="A9" s="56">
        <v>44627</v>
      </c>
      <c r="B9" s="13" t="s">
        <v>1</v>
      </c>
      <c r="C9" s="10">
        <f>C8</f>
        <v>12000</v>
      </c>
      <c r="D9" s="46">
        <f>D2</f>
        <v>12.3</v>
      </c>
      <c r="E9" s="20">
        <f>C9*D9</f>
        <v>147600</v>
      </c>
      <c r="F9" s="20">
        <f>E9*0.002</f>
        <v>295.2</v>
      </c>
      <c r="G9" s="20">
        <f>E9*0.00006</f>
        <v>8.8559999999999999</v>
      </c>
      <c r="H9" s="20">
        <f>E9*0.00001</f>
        <v>1.4760000000000002</v>
      </c>
      <c r="I9" s="20">
        <f>(F9+G9+H9)*0.07</f>
        <v>21.387240000000002</v>
      </c>
      <c r="J9" s="20">
        <f>E9+F9+I9+G9+H9</f>
        <v>147926.91924000002</v>
      </c>
    </row>
    <row r="10" spans="1:14" s="1" customFormat="1">
      <c r="A10" s="56">
        <v>44277</v>
      </c>
      <c r="B10" s="13" t="s">
        <v>3</v>
      </c>
      <c r="C10" s="10">
        <f>C9</f>
        <v>12000</v>
      </c>
      <c r="D10" s="34">
        <v>13</v>
      </c>
      <c r="E10" s="11">
        <f>C10*D10</f>
        <v>156000</v>
      </c>
      <c r="F10" s="35">
        <f>E10*0.002</f>
        <v>312</v>
      </c>
      <c r="G10" s="34">
        <f>E10*0.000068</f>
        <v>10.608000000000001</v>
      </c>
      <c r="H10" s="34">
        <f>E10*0.00001</f>
        <v>1.56</v>
      </c>
      <c r="I10" s="34">
        <f>(F10+G10+H10)*0.07</f>
        <v>22.691760000000002</v>
      </c>
      <c r="J10" s="34">
        <f>E10-F10-G10-H10-I10</f>
        <v>155653.14024000001</v>
      </c>
    </row>
    <row r="11" spans="1:14" s="1" customFormat="1">
      <c r="A11" s="56" t="s">
        <v>4</v>
      </c>
      <c r="B11" s="12">
        <f>(D10-D9)/D9</f>
        <v>5.6910569105690999E-2</v>
      </c>
      <c r="C11" s="10"/>
      <c r="D11" s="11"/>
      <c r="E11" s="20">
        <f>E10-E9</f>
        <v>8400</v>
      </c>
      <c r="F11" s="20"/>
      <c r="G11" s="20"/>
      <c r="H11" s="20"/>
      <c r="I11" s="20"/>
      <c r="J11" s="20">
        <f>J10-J9</f>
        <v>7726.2209999999905</v>
      </c>
    </row>
    <row r="12" spans="1:14" s="1" customFormat="1" ht="12">
      <c r="A12" s="50"/>
      <c r="D12" s="47"/>
      <c r="J12" s="53">
        <f>J8+J11</f>
        <v>10126.22099999999</v>
      </c>
    </row>
    <row r="14" spans="1:14" s="1" customFormat="1">
      <c r="A14" s="56">
        <v>44627</v>
      </c>
      <c r="B14" s="13" t="s">
        <v>1</v>
      </c>
      <c r="C14" s="10">
        <v>30000</v>
      </c>
      <c r="D14" s="46">
        <v>3.8</v>
      </c>
      <c r="E14" s="20">
        <f>C14*D14</f>
        <v>114000</v>
      </c>
      <c r="F14" s="20">
        <f>E14*0.002</f>
        <v>228</v>
      </c>
      <c r="G14" s="20">
        <f>E14*0.00006</f>
        <v>6.84</v>
      </c>
      <c r="H14" s="20">
        <f>E14*0.00001</f>
        <v>1.1400000000000001</v>
      </c>
      <c r="I14" s="20">
        <f>(F14+G14+H14)*0.07</f>
        <v>16.518599999999999</v>
      </c>
      <c r="J14" s="20">
        <f>E14+F14+I14+G14+H14</f>
        <v>114252.49859999999</v>
      </c>
    </row>
    <row r="15" spans="1:14" s="1" customFormat="1">
      <c r="A15" s="56">
        <v>44633</v>
      </c>
      <c r="B15" s="13" t="s">
        <v>3</v>
      </c>
      <c r="C15" s="10">
        <f>C14</f>
        <v>30000</v>
      </c>
      <c r="D15" s="34">
        <v>4.0199999999999996</v>
      </c>
      <c r="E15" s="11">
        <f>C15*D15</f>
        <v>120599.99999999999</v>
      </c>
      <c r="F15" s="35">
        <f>E15*0.002</f>
        <v>241.2</v>
      </c>
      <c r="G15" s="34">
        <f>E15*0.000068</f>
        <v>8.2007999999999992</v>
      </c>
      <c r="H15" s="34">
        <f>E15*0.00001</f>
        <v>1.206</v>
      </c>
      <c r="I15" s="34">
        <f>(F15+G15+H15)*0.07</f>
        <v>17.542476000000001</v>
      </c>
      <c r="J15" s="34">
        <f>E15-F15-G15-H15-I15</f>
        <v>120331.85072399997</v>
      </c>
    </row>
    <row r="16" spans="1:14" s="1" customFormat="1">
      <c r="A16" s="56" t="s">
        <v>4</v>
      </c>
      <c r="B16" s="13"/>
      <c r="C16" s="10"/>
      <c r="D16" s="11"/>
      <c r="E16" s="20">
        <f>E15-E14</f>
        <v>6599.9999999999854</v>
      </c>
      <c r="F16" s="20"/>
      <c r="G16" s="20"/>
      <c r="H16" s="20"/>
      <c r="I16" s="20"/>
      <c r="J16" s="20">
        <f>J15-J14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20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 ht="12.75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 ht="12.75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 ht="12.75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 ht="12.75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  <row r="19" spans="1:13" ht="12"/>
    <row r="20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 ht="12.75">
      <c r="A9" s="82">
        <v>44964</v>
      </c>
      <c r="B9" s="83" t="s">
        <v>1</v>
      </c>
      <c r="C9" s="84">
        <v>10000</v>
      </c>
      <c r="D9" s="85">
        <v>18.3</v>
      </c>
      <c r="E9" s="86">
        <f>C9*D9</f>
        <v>183000</v>
      </c>
      <c r="F9" s="86">
        <f>E9*0.002</f>
        <v>366</v>
      </c>
      <c r="G9" s="86">
        <f>E9*0.000068</f>
        <v>12.443999999999999</v>
      </c>
      <c r="H9" s="86">
        <f>E9*0.00001</f>
        <v>1.83</v>
      </c>
      <c r="I9" s="86">
        <f>(F9+G9+H9)*0.07</f>
        <v>26.619180000000004</v>
      </c>
      <c r="J9" s="86">
        <f>E9+F9+I9+G9+H9</f>
        <v>183406.89317999998</v>
      </c>
    </row>
    <row r="10" spans="1:14" ht="12.75">
      <c r="A10" s="82"/>
      <c r="B10" s="87">
        <f>(D9-D8)/D8</f>
        <v>-4.1884816753926739E-2</v>
      </c>
      <c r="C10" s="84">
        <f>SUM(C8:C9)</f>
        <v>40000</v>
      </c>
      <c r="D10" s="85">
        <f>E10/C10</f>
        <v>18.899999999999999</v>
      </c>
      <c r="E10" s="84">
        <f t="shared" ref="E10:J10" si="3">SUM(E8:E9)</f>
        <v>756000</v>
      </c>
      <c r="F10" s="84">
        <f t="shared" si="3"/>
        <v>1512</v>
      </c>
      <c r="G10" s="84">
        <f t="shared" si="3"/>
        <v>50.632000000000005</v>
      </c>
      <c r="H10" s="84">
        <f t="shared" si="3"/>
        <v>7.5600000000000005</v>
      </c>
      <c r="I10" s="84">
        <f t="shared" si="3"/>
        <v>109.91344000000001</v>
      </c>
      <c r="J10" s="84">
        <f t="shared" si="3"/>
        <v>757680.10544000007</v>
      </c>
    </row>
    <row r="11" spans="1:14" ht="12.75">
      <c r="A11" s="77">
        <v>44964</v>
      </c>
      <c r="B11" s="78" t="s">
        <v>1</v>
      </c>
      <c r="C11" s="79">
        <v>10000</v>
      </c>
      <c r="D11" s="80">
        <v>17.899999999999999</v>
      </c>
      <c r="E11" s="94">
        <f>C11*D11</f>
        <v>179000</v>
      </c>
      <c r="F11" s="94">
        <f>E11*0.002</f>
        <v>358</v>
      </c>
      <c r="G11" s="94">
        <f>E11*0.000068</f>
        <v>12.172000000000001</v>
      </c>
      <c r="H11" s="94">
        <f>E11*0.00001</f>
        <v>1.79</v>
      </c>
      <c r="I11" s="94">
        <f>(F11+G11+H11)*0.07</f>
        <v>26.037340000000004</v>
      </c>
      <c r="J11" s="94">
        <f>E11+F11+I11+G11+H11</f>
        <v>179397.99934000001</v>
      </c>
    </row>
    <row r="12" spans="1:14" ht="12.75">
      <c r="A12" s="77"/>
      <c r="B12" s="81">
        <f>(D11-D10)/D10</f>
        <v>-5.2910052910052914E-2</v>
      </c>
      <c r="C12" s="79">
        <f>SUM(C10:C11)</f>
        <v>50000</v>
      </c>
      <c r="D12" s="80">
        <f>E12/C12</f>
        <v>18.7</v>
      </c>
      <c r="E12" s="79">
        <f t="shared" ref="E12:J12" si="4">SUM(E10:E11)</f>
        <v>935000</v>
      </c>
      <c r="F12" s="79">
        <f t="shared" si="4"/>
        <v>1870</v>
      </c>
      <c r="G12" s="79">
        <f t="shared" si="4"/>
        <v>62.804000000000002</v>
      </c>
      <c r="H12" s="79">
        <f t="shared" si="4"/>
        <v>9.3500000000000014</v>
      </c>
      <c r="I12" s="79">
        <f t="shared" si="4"/>
        <v>135.95078000000001</v>
      </c>
      <c r="J12" s="79">
        <f t="shared" si="4"/>
        <v>937078.10478000005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29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22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 ht="12.75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ht="12"/>
    <row r="21" spans="1:13" ht="12"/>
    <row r="22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tabSelected="1" topLeftCell="A2"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30.5</v>
      </c>
      <c r="E7" s="20">
        <f>C7*D7</f>
        <v>36600</v>
      </c>
      <c r="F7" s="20">
        <f>E7*0.002</f>
        <v>73.2</v>
      </c>
      <c r="G7" s="20">
        <f>E7*0.00006</f>
        <v>2.1960000000000002</v>
      </c>
      <c r="H7" s="20">
        <f>E7*0.00001</f>
        <v>0.36600000000000005</v>
      </c>
      <c r="I7" s="20">
        <f>(F7+G7+H7)*0.07</f>
        <v>5.3033400000000004</v>
      </c>
      <c r="J7" s="20">
        <f>E7+F7+I7+G7+H7</f>
        <v>36681.065340000001</v>
      </c>
    </row>
    <row r="8" spans="1:13" s="1" customFormat="1" ht="14.25">
      <c r="A8" s="56"/>
      <c r="B8" s="12">
        <f>(D7-D6)/D6</f>
        <v>-0.22784810126582278</v>
      </c>
      <c r="C8" s="10">
        <f>SUM(C6:C7)</f>
        <v>4800</v>
      </c>
      <c r="D8" s="11">
        <f>E8/C8</f>
        <v>37.25</v>
      </c>
      <c r="E8" s="10">
        <f t="shared" ref="E8:J8" si="0">SUM(E6:E7)</f>
        <v>178800</v>
      </c>
      <c r="F8" s="10">
        <f t="shared" si="0"/>
        <v>357.6</v>
      </c>
      <c r="G8" s="10">
        <f t="shared" si="0"/>
        <v>10.728</v>
      </c>
      <c r="H8" s="10">
        <f t="shared" si="0"/>
        <v>1.7880000000000003</v>
      </c>
      <c r="I8" s="10">
        <f t="shared" si="0"/>
        <v>25.908120000000004</v>
      </c>
      <c r="J8" s="10">
        <f t="shared" si="0"/>
        <v>179196.02411999999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8"/>
  <sheetViews>
    <sheetView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49">
        <v>44970</v>
      </c>
      <c r="B5" s="15" t="s">
        <v>1</v>
      </c>
      <c r="C5" s="16">
        <v>900</v>
      </c>
      <c r="D5" s="41">
        <v>50</v>
      </c>
      <c r="E5" s="69">
        <f>C5*D5</f>
        <v>45000</v>
      </c>
      <c r="F5" s="18">
        <f>E5*0.002</f>
        <v>90</v>
      </c>
      <c r="G5" s="18">
        <f>E5*0.00006</f>
        <v>2.7</v>
      </c>
      <c r="H5" s="18">
        <f>E5*0.00001</f>
        <v>0.45</v>
      </c>
      <c r="I5" s="18">
        <f>(F5+G5+H5)*0.07</f>
        <v>6.5205000000000011</v>
      </c>
      <c r="J5" s="69">
        <f>E5+F5+I5+G5+H5</f>
        <v>45099.670499999993</v>
      </c>
    </row>
    <row r="6" spans="1:13" s="1" customFormat="1">
      <c r="A6" s="49"/>
      <c r="B6" s="30">
        <f>(D5-D4)/D4</f>
        <v>-0.12280701754385964</v>
      </c>
      <c r="C6" s="16">
        <f>SUM(C4:C5)</f>
        <v>4200</v>
      </c>
      <c r="D6" s="17">
        <f>E6/C6</f>
        <v>55.5</v>
      </c>
      <c r="E6" s="69">
        <f t="shared" ref="E6:J6" si="1">SUM(E4:E5)</f>
        <v>233100</v>
      </c>
      <c r="F6" s="16">
        <f t="shared" si="1"/>
        <v>466.20000000000005</v>
      </c>
      <c r="G6" s="16">
        <f t="shared" si="1"/>
        <v>13.986000000000001</v>
      </c>
      <c r="H6" s="16">
        <f t="shared" si="1"/>
        <v>2.3310000000000004</v>
      </c>
      <c r="I6" s="16">
        <f t="shared" si="1"/>
        <v>33.776190000000007</v>
      </c>
      <c r="J6" s="69">
        <f t="shared" si="1"/>
        <v>233616.29319</v>
      </c>
    </row>
    <row r="7" spans="1:13">
      <c r="A7" s="56">
        <v>44970</v>
      </c>
      <c r="B7" s="13" t="s">
        <v>1</v>
      </c>
      <c r="C7" s="10">
        <v>1200</v>
      </c>
      <c r="D7" s="46">
        <v>48.75</v>
      </c>
      <c r="E7" s="62">
        <f>C7*D7</f>
        <v>58500</v>
      </c>
      <c r="F7" s="20">
        <f>E7*0.002</f>
        <v>117</v>
      </c>
      <c r="G7" s="20">
        <f>E7*0.00006</f>
        <v>3.5100000000000002</v>
      </c>
      <c r="H7" s="20">
        <f>E7*0.00001</f>
        <v>0.58500000000000008</v>
      </c>
      <c r="I7" s="20">
        <f>(F7+G7+H7)*0.07</f>
        <v>8.4766500000000011</v>
      </c>
      <c r="J7" s="62">
        <f>E7+F7+I7+G7+H7</f>
        <v>58629.571649999998</v>
      </c>
    </row>
    <row r="8" spans="1:13">
      <c r="A8" s="56"/>
      <c r="B8" s="12">
        <f>(D7-D6)/D6</f>
        <v>-0.12162162162162163</v>
      </c>
      <c r="C8" s="10">
        <f>SUM(C6:C7)</f>
        <v>5400</v>
      </c>
      <c r="D8" s="11">
        <f>E8/C8</f>
        <v>54</v>
      </c>
      <c r="E8" s="62">
        <f t="shared" ref="E8:J8" si="2">SUM(E6:E7)</f>
        <v>291600</v>
      </c>
      <c r="F8" s="10">
        <f t="shared" si="2"/>
        <v>583.20000000000005</v>
      </c>
      <c r="G8" s="10">
        <f t="shared" si="2"/>
        <v>17.496000000000002</v>
      </c>
      <c r="H8" s="10">
        <f t="shared" si="2"/>
        <v>2.9160000000000004</v>
      </c>
      <c r="I8" s="10">
        <f t="shared" si="2"/>
        <v>42.252840000000006</v>
      </c>
      <c r="J8" s="62">
        <f t="shared" si="2"/>
        <v>292245.86483999999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opLeftCell="A25" workbookViewId="0">
      <selection activeCell="D34" sqref="D34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 ht="12.75">
      <c r="A32" s="90"/>
      <c r="B32" s="7">
        <f>(D31-D30)/D30</f>
        <v>-0.24018838304552589</v>
      </c>
      <c r="C32" s="5">
        <f>SUM(C30:C31)</f>
        <v>27000</v>
      </c>
      <c r="D32" s="66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 ht="12.75">
      <c r="A33" s="56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 ht="12.75">
      <c r="B34" s="25">
        <f>(D33-D32)/D32</f>
        <v>-0.25806451612903225</v>
      </c>
      <c r="C34" s="22">
        <f>SUM(C32:C33)</f>
        <v>30000</v>
      </c>
      <c r="D34" s="65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 ht="12.75">
      <c r="A35" s="89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 ht="12.75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 ht="12.75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6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 ht="12.75">
      <c r="A41" s="56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 ht="12.75">
      <c r="A42" s="56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topLeftCell="A11" workbookViewId="0">
      <selection activeCell="E15" sqref="E15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workbookViewId="0">
      <selection activeCell="D12" sqref="D12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21</v>
      </c>
      <c r="E7" s="20">
        <f>C7*D7</f>
        <v>25200</v>
      </c>
      <c r="F7" s="20">
        <f>E7*0.002</f>
        <v>50.4</v>
      </c>
      <c r="G7" s="20">
        <f>E7*0.00006</f>
        <v>1.512</v>
      </c>
      <c r="H7" s="20">
        <f>E7*0.00001</f>
        <v>0.252</v>
      </c>
      <c r="I7" s="20">
        <f>(F7+G7+H7)*0.07</f>
        <v>3.6514800000000003</v>
      </c>
      <c r="J7" s="20">
        <f>E7+F7+I7+G7+H7</f>
        <v>25255.815480000001</v>
      </c>
    </row>
    <row r="8" spans="1:13" s="1" customFormat="1" ht="14.25">
      <c r="A8" s="56"/>
      <c r="B8" s="12">
        <f>(D7-D6)/D6</f>
        <v>-0.25</v>
      </c>
      <c r="C8" s="10">
        <f>SUM(C6:C7)</f>
        <v>4800</v>
      </c>
      <c r="D8" s="11">
        <f>E8/C8</f>
        <v>26.25</v>
      </c>
      <c r="E8" s="10">
        <f t="shared" ref="E8:J8" si="0">SUM(E6:E7)</f>
        <v>126000</v>
      </c>
      <c r="F8" s="10">
        <f t="shared" si="0"/>
        <v>252</v>
      </c>
      <c r="G8" s="10">
        <f t="shared" si="0"/>
        <v>7.5600000000000005</v>
      </c>
      <c r="H8" s="10">
        <f t="shared" si="0"/>
        <v>1.26</v>
      </c>
      <c r="I8" s="10">
        <f t="shared" si="0"/>
        <v>18.257400000000001</v>
      </c>
      <c r="J8" s="10">
        <f t="shared" si="0"/>
        <v>126279.07740000001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20</v>
      </c>
      <c r="E9" s="20">
        <f>C9*D9</f>
        <v>24000</v>
      </c>
      <c r="F9" s="20">
        <f>E9*0.002</f>
        <v>48</v>
      </c>
      <c r="G9" s="20">
        <f>E9*0.00006</f>
        <v>1.44</v>
      </c>
      <c r="H9" s="20">
        <f>E9*0.00001</f>
        <v>0.24000000000000002</v>
      </c>
      <c r="I9" s="20">
        <f>(F9+G9+H9)*0.07</f>
        <v>3.4776000000000002</v>
      </c>
      <c r="J9" s="20">
        <f>E9+F9+I9+G9+H9</f>
        <v>24053.157599999999</v>
      </c>
    </row>
    <row r="10" spans="1:13" s="1" customFormat="1" ht="14.25">
      <c r="A10" s="56"/>
      <c r="B10" s="12">
        <f>(D9-D8)/D8</f>
        <v>-0.23809523809523808</v>
      </c>
      <c r="C10" s="10">
        <f>SUM(C8:C9)</f>
        <v>6000</v>
      </c>
      <c r="D10" s="11">
        <f>E10/C10</f>
        <v>25</v>
      </c>
      <c r="E10" s="10">
        <f t="shared" ref="E10:J10" si="1">SUM(E8:E9)</f>
        <v>150000</v>
      </c>
      <c r="F10" s="10">
        <f t="shared" si="1"/>
        <v>300</v>
      </c>
      <c r="G10" s="10">
        <f t="shared" si="1"/>
        <v>9</v>
      </c>
      <c r="H10" s="10">
        <f t="shared" si="1"/>
        <v>1.5</v>
      </c>
      <c r="I10" s="10">
        <f t="shared" si="1"/>
        <v>21.734999999999999</v>
      </c>
      <c r="J10" s="10">
        <f t="shared" si="1"/>
        <v>150332.23500000002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19</v>
      </c>
      <c r="E11" s="20">
        <f>C11*D11</f>
        <v>22800</v>
      </c>
      <c r="F11" s="20">
        <f>E11*0.002</f>
        <v>45.6</v>
      </c>
      <c r="G11" s="20">
        <f>E11*0.00006</f>
        <v>1.3680000000000001</v>
      </c>
      <c r="H11" s="20">
        <f>E11*0.00001</f>
        <v>0.22800000000000001</v>
      </c>
      <c r="I11" s="20">
        <f>(F11+G11+H11)*0.07</f>
        <v>3.3037200000000007</v>
      </c>
      <c r="J11" s="20">
        <f>E11+F11+I11+G11+H11</f>
        <v>22850.499719999996</v>
      </c>
    </row>
    <row r="12" spans="1:13" s="1" customFormat="1" ht="14.25">
      <c r="A12" s="56"/>
      <c r="B12" s="12">
        <f>(D11-D10)/D10</f>
        <v>-0.24</v>
      </c>
      <c r="C12" s="10">
        <f>SUM(C10:C11)</f>
        <v>7200</v>
      </c>
      <c r="D12" s="11">
        <f>E12/C12</f>
        <v>24</v>
      </c>
      <c r="E12" s="10">
        <f t="shared" ref="E12:J12" si="2">SUM(E10:E11)</f>
        <v>172800</v>
      </c>
      <c r="F12" s="10">
        <f t="shared" si="2"/>
        <v>345.6</v>
      </c>
      <c r="G12" s="10">
        <f t="shared" si="2"/>
        <v>10.368</v>
      </c>
      <c r="H12" s="10">
        <f t="shared" si="2"/>
        <v>1.728</v>
      </c>
      <c r="I12" s="10">
        <f t="shared" si="2"/>
        <v>25.038720000000001</v>
      </c>
      <c r="J12" s="10">
        <f t="shared" si="2"/>
        <v>173182.73472000001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33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 ht="12.75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 ht="12.75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 ht="12.75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5" spans="1:14" ht="12"/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2023-02-14T13:16:00Z</dcterms:modified>
  <cp:category/>
  <cp:contentStatus/>
</cp:coreProperties>
</file>