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02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41A\"/>
    </mc:Choice>
  </mc:AlternateContent>
  <xr:revisionPtr revIDLastSave="11596" documentId="8_{9A02EB98-7EB2-4F6F-BBDA-0A28C0527E53}" xr6:coauthVersionLast="47" xr6:coauthVersionMax="47" xr10:uidLastSave="{19A1F028-A2E9-4090-933D-7131335F7664}"/>
  <bookViews>
    <workbookView xWindow="-120" yWindow="-120" windowWidth="15600" windowHeight="11760" tabRatio="461" firstSheet="7" activeTab="2" xr2:uid="{00000000-000D-0000-FFFF-FFFF00000000}"/>
  </bookViews>
  <sheets>
    <sheet name="KCE" sheetId="206" r:id="rId1"/>
    <sheet name="PTTGC" sheetId="42" r:id="rId2"/>
    <sheet name="STA" sheetId="197" r:id="rId3"/>
    <sheet name="ASP" sheetId="181" r:id="rId4"/>
    <sheet name="BANPU" sheetId="202" r:id="rId5"/>
    <sheet name="BCH" sheetId="150" r:id="rId6"/>
    <sheet name="CPNREIT" sheetId="194" r:id="rId7"/>
    <sheet name="DIF" sheetId="57" r:id="rId8"/>
    <sheet name="DOHOME" sheetId="170" r:id="rId9"/>
    <sheet name="GVREIT" sheetId="195" r:id="rId10"/>
    <sheet name="IVL" sheetId="196" r:id="rId11"/>
    <sheet name="JASIF" sheetId="46" r:id="rId12"/>
    <sheet name="JMART" sheetId="204" r:id="rId13"/>
    <sheet name="JMT" sheetId="205" r:id="rId14"/>
    <sheet name="MCS" sheetId="20" r:id="rId15"/>
    <sheet name="NER" sheetId="117" r:id="rId16"/>
    <sheet name="ORI" sheetId="184" r:id="rId17"/>
    <sheet name="RCL" sheetId="161" r:id="rId18"/>
    <sheet name="SCC" sheetId="152" r:id="rId19"/>
    <sheet name="SCCC" sheetId="177" r:id="rId20"/>
    <sheet name="SENA" sheetId="183" r:id="rId21"/>
    <sheet name="SINGER" sheetId="203" r:id="rId22"/>
    <sheet name="SYNEX" sheetId="199" r:id="rId23"/>
    <sheet name="TFFIF" sheetId="110" r:id="rId24"/>
    <sheet name="TMT" sheetId="145" r:id="rId25"/>
    <sheet name="WHAIR" sheetId="157" r:id="rId26"/>
    <sheet name="WHART" sheetId="171" r:id="rId2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97" l="1"/>
  <c r="B28" i="197"/>
  <c r="E27" i="197"/>
  <c r="E24" i="197"/>
  <c r="E23" i="197"/>
  <c r="C42" i="206"/>
  <c r="B42" i="206"/>
  <c r="E41" i="206"/>
  <c r="B39" i="206"/>
  <c r="C38" i="206"/>
  <c r="E37" i="206"/>
  <c r="B35" i="206"/>
  <c r="C34" i="206"/>
  <c r="E33" i="206"/>
  <c r="C12" i="194"/>
  <c r="B12" i="194"/>
  <c r="E11" i="194"/>
  <c r="C34" i="161"/>
  <c r="B34" i="161"/>
  <c r="E33" i="161"/>
  <c r="B31" i="206"/>
  <c r="C30" i="206"/>
  <c r="E29" i="206"/>
  <c r="C6" i="202"/>
  <c r="B6" i="202"/>
  <c r="E5" i="202"/>
  <c r="E10" i="150"/>
  <c r="B12" i="150"/>
  <c r="A12" i="150"/>
  <c r="C11" i="150"/>
  <c r="E11" i="150" s="1"/>
  <c r="B27" i="206"/>
  <c r="C26" i="206"/>
  <c r="E25" i="206"/>
  <c r="E23" i="206"/>
  <c r="E21" i="206"/>
  <c r="E19" i="206"/>
  <c r="E17" i="206"/>
  <c r="E15" i="206"/>
  <c r="C14" i="206"/>
  <c r="C16" i="206" s="1"/>
  <c r="C18" i="206" s="1"/>
  <c r="C20" i="206" s="1"/>
  <c r="C22" i="206" s="1"/>
  <c r="C24" i="206" s="1"/>
  <c r="B14" i="206"/>
  <c r="E13" i="206"/>
  <c r="E12" i="206"/>
  <c r="E10" i="206"/>
  <c r="C9" i="206"/>
  <c r="C11" i="206" s="1"/>
  <c r="B9" i="206"/>
  <c r="E8" i="206"/>
  <c r="E7" i="206"/>
  <c r="E6" i="206"/>
  <c r="E5" i="206"/>
  <c r="C4" i="206"/>
  <c r="B4" i="206"/>
  <c r="E3" i="206"/>
  <c r="E2" i="206"/>
  <c r="D17" i="157"/>
  <c r="C16" i="157"/>
  <c r="C17" i="157"/>
  <c r="E13" i="157"/>
  <c r="C6" i="205"/>
  <c r="B6" i="205"/>
  <c r="E5" i="205"/>
  <c r="B12" i="196"/>
  <c r="D10" i="196"/>
  <c r="C10" i="196"/>
  <c r="C6" i="196"/>
  <c r="B6" i="196"/>
  <c r="E5" i="196"/>
  <c r="C4" i="205"/>
  <c r="B4" i="205"/>
  <c r="E3" i="205"/>
  <c r="E2" i="205"/>
  <c r="E20" i="197"/>
  <c r="E19" i="197"/>
  <c r="E16" i="197"/>
  <c r="E17" i="197" s="1"/>
  <c r="C10" i="194"/>
  <c r="B10" i="194"/>
  <c r="E9" i="194"/>
  <c r="C12" i="203"/>
  <c r="B12" i="203"/>
  <c r="E11" i="203"/>
  <c r="C10" i="203"/>
  <c r="B10" i="203"/>
  <c r="E9" i="203"/>
  <c r="A6" i="203"/>
  <c r="D6" i="203"/>
  <c r="C8" i="203"/>
  <c r="B8" i="203"/>
  <c r="E7" i="203"/>
  <c r="E6" i="203"/>
  <c r="E6" i="204"/>
  <c r="E7" i="204"/>
  <c r="E8" i="204"/>
  <c r="B4" i="204"/>
  <c r="C3" i="204"/>
  <c r="E3" i="204" s="1"/>
  <c r="E2" i="204"/>
  <c r="C12" i="197"/>
  <c r="E12" i="197" s="1"/>
  <c r="B4" i="203"/>
  <c r="C3" i="203"/>
  <c r="E3" i="203" s="1"/>
  <c r="E2" i="203"/>
  <c r="E9" i="195"/>
  <c r="C28" i="42"/>
  <c r="B28" i="42"/>
  <c r="E27" i="42"/>
  <c r="E7" i="195"/>
  <c r="B25" i="42"/>
  <c r="C24" i="42"/>
  <c r="E24" i="42" s="1"/>
  <c r="C4" i="196"/>
  <c r="B4" i="196"/>
  <c r="E3" i="196"/>
  <c r="C15" i="202"/>
  <c r="E15" i="202" s="1"/>
  <c r="E14" i="202"/>
  <c r="D9" i="202"/>
  <c r="B11" i="202" s="1"/>
  <c r="H8" i="202"/>
  <c r="C8" i="202"/>
  <c r="C4" i="202"/>
  <c r="B4" i="202"/>
  <c r="E3" i="202"/>
  <c r="E2" i="202"/>
  <c r="B21" i="199"/>
  <c r="C21" i="199"/>
  <c r="B18" i="199"/>
  <c r="C17" i="199"/>
  <c r="E17" i="199" s="1"/>
  <c r="C8" i="145"/>
  <c r="B8" i="145"/>
  <c r="E7" i="145"/>
  <c r="C11" i="145"/>
  <c r="E11" i="145" s="1"/>
  <c r="C32" i="197"/>
  <c r="E32" i="197" s="1"/>
  <c r="E20" i="199"/>
  <c r="E21" i="199" s="1"/>
  <c r="E6" i="110"/>
  <c r="C5" i="110"/>
  <c r="B42" i="161"/>
  <c r="A42" i="161"/>
  <c r="C41" i="161"/>
  <c r="E41" i="161" s="1"/>
  <c r="E40" i="161"/>
  <c r="B15" i="170"/>
  <c r="A15" i="170"/>
  <c r="C14" i="170"/>
  <c r="E14" i="170" s="1"/>
  <c r="E13" i="170"/>
  <c r="E10" i="170"/>
  <c r="E31" i="161"/>
  <c r="B19" i="170"/>
  <c r="A19" i="170"/>
  <c r="C18" i="170"/>
  <c r="E18" i="170" s="1"/>
  <c r="E17" i="170"/>
  <c r="C8" i="194"/>
  <c r="B8" i="194"/>
  <c r="E7" i="194"/>
  <c r="E29" i="161"/>
  <c r="E23" i="199"/>
  <c r="B35" i="199"/>
  <c r="C34" i="199"/>
  <c r="E34" i="199" s="1"/>
  <c r="E33" i="199"/>
  <c r="B32" i="199"/>
  <c r="C31" i="199"/>
  <c r="E31" i="199" s="1"/>
  <c r="E30" i="199"/>
  <c r="B29" i="199"/>
  <c r="C28" i="199"/>
  <c r="E28" i="199" s="1"/>
  <c r="E27" i="199"/>
  <c r="B25" i="199"/>
  <c r="C24" i="199"/>
  <c r="E24" i="199" s="1"/>
  <c r="E16" i="199"/>
  <c r="E14" i="199"/>
  <c r="E12" i="199"/>
  <c r="C11" i="199"/>
  <c r="C13" i="199" s="1"/>
  <c r="C15" i="199" s="1"/>
  <c r="B11" i="199"/>
  <c r="E10" i="199"/>
  <c r="E9" i="199"/>
  <c r="E8" i="199"/>
  <c r="E7" i="199"/>
  <c r="E6" i="199"/>
  <c r="E5" i="199"/>
  <c r="C4" i="199"/>
  <c r="B4" i="199"/>
  <c r="E3" i="199"/>
  <c r="E2" i="199"/>
  <c r="E35" i="197"/>
  <c r="C36" i="197"/>
  <c r="E36" i="197" s="1"/>
  <c r="C71" i="197"/>
  <c r="E70" i="197"/>
  <c r="C68" i="197"/>
  <c r="E67" i="197"/>
  <c r="C65" i="197"/>
  <c r="E64" i="197"/>
  <c r="C62" i="197"/>
  <c r="E61" i="197"/>
  <c r="C59" i="197"/>
  <c r="E58" i="197"/>
  <c r="C56" i="197"/>
  <c r="E55" i="197"/>
  <c r="C53" i="197"/>
  <c r="E52" i="197"/>
  <c r="D50" i="197"/>
  <c r="C50" i="197"/>
  <c r="E50" i="197" s="1"/>
  <c r="E49" i="197"/>
  <c r="B48" i="197"/>
  <c r="C47" i="197"/>
  <c r="A47" i="197"/>
  <c r="A50" i="197" s="1"/>
  <c r="A53" i="197" s="1"/>
  <c r="A56" i="197" s="1"/>
  <c r="A59" i="197" s="1"/>
  <c r="A62" i="197" s="1"/>
  <c r="A65" i="197" s="1"/>
  <c r="A68" i="197" s="1"/>
  <c r="A71" i="197" s="1"/>
  <c r="E46" i="197"/>
  <c r="B44" i="197"/>
  <c r="C43" i="197"/>
  <c r="E43" i="197" s="1"/>
  <c r="E42" i="197"/>
  <c r="C40" i="197"/>
  <c r="E40" i="197" s="1"/>
  <c r="E39" i="197"/>
  <c r="E31" i="197"/>
  <c r="E11" i="197"/>
  <c r="E9" i="197"/>
  <c r="E7" i="197"/>
  <c r="E5" i="197"/>
  <c r="C4" i="197"/>
  <c r="C6" i="197" s="1"/>
  <c r="C8" i="197" s="1"/>
  <c r="C10" i="197" s="1"/>
  <c r="B4" i="197"/>
  <c r="E3" i="197"/>
  <c r="E2" i="197"/>
  <c r="E31" i="42"/>
  <c r="B33" i="42"/>
  <c r="C32" i="42"/>
  <c r="E32" i="42" s="1"/>
  <c r="E9" i="170"/>
  <c r="E5" i="195"/>
  <c r="E16" i="150"/>
  <c r="B18" i="150"/>
  <c r="A18" i="150"/>
  <c r="C17" i="150"/>
  <c r="E17" i="150" s="1"/>
  <c r="B16" i="184"/>
  <c r="A16" i="184"/>
  <c r="C15" i="184"/>
  <c r="E15" i="184" s="1"/>
  <c r="E14" i="184"/>
  <c r="E10" i="184"/>
  <c r="B12" i="184"/>
  <c r="A12" i="184"/>
  <c r="C11" i="184"/>
  <c r="E11" i="184" s="1"/>
  <c r="E27" i="161"/>
  <c r="C4" i="195"/>
  <c r="C12" i="195" s="1"/>
  <c r="B4" i="195"/>
  <c r="E3" i="195"/>
  <c r="B38" i="161"/>
  <c r="E36" i="161"/>
  <c r="A38" i="161"/>
  <c r="C37" i="161"/>
  <c r="E37" i="161" s="1"/>
  <c r="E5" i="194"/>
  <c r="E25" i="46"/>
  <c r="I12" i="171"/>
  <c r="J12" i="171" s="1"/>
  <c r="D13" i="171"/>
  <c r="C12" i="171"/>
  <c r="E13" i="150"/>
  <c r="H9" i="196"/>
  <c r="C9" i="196"/>
  <c r="E2" i="196"/>
  <c r="E4" i="196" s="1"/>
  <c r="D4" i="196" s="1"/>
  <c r="H12" i="195"/>
  <c r="J12" i="195"/>
  <c r="E2" i="195"/>
  <c r="E56" i="20"/>
  <c r="F56" i="20"/>
  <c r="G56" i="20"/>
  <c r="H56" i="20"/>
  <c r="I56" i="20"/>
  <c r="J56" i="20"/>
  <c r="C4" i="194"/>
  <c r="C6" i="194" s="1"/>
  <c r="B4" i="194"/>
  <c r="E3" i="194"/>
  <c r="E2" i="194"/>
  <c r="E23" i="46"/>
  <c r="E25" i="161"/>
  <c r="E21" i="46"/>
  <c r="D62" i="20"/>
  <c r="C62" i="20"/>
  <c r="E19" i="46"/>
  <c r="C40" i="57"/>
  <c r="C38" i="57"/>
  <c r="E38" i="57"/>
  <c r="E37" i="57"/>
  <c r="E10" i="145"/>
  <c r="C4" i="181"/>
  <c r="B4" i="181"/>
  <c r="E3" i="181"/>
  <c r="C8" i="184"/>
  <c r="B8" i="184"/>
  <c r="E7" i="184"/>
  <c r="C18" i="46"/>
  <c r="E17" i="46"/>
  <c r="C9" i="171"/>
  <c r="E7" i="171"/>
  <c r="E11" i="157"/>
  <c r="E5" i="171"/>
  <c r="C14" i="183"/>
  <c r="B14" i="183"/>
  <c r="E13" i="183"/>
  <c r="C12" i="183"/>
  <c r="B12" i="183"/>
  <c r="E11" i="183"/>
  <c r="E8" i="170"/>
  <c r="B64" i="20"/>
  <c r="A64" i="20"/>
  <c r="C63" i="20"/>
  <c r="E63" i="20"/>
  <c r="E62" i="20"/>
  <c r="E7" i="150"/>
  <c r="E9" i="183"/>
  <c r="E59" i="20"/>
  <c r="C6" i="184"/>
  <c r="B6" i="184"/>
  <c r="E5" i="184"/>
  <c r="E6" i="170"/>
  <c r="B23" i="170"/>
  <c r="A23" i="170"/>
  <c r="C22" i="170"/>
  <c r="E22" i="170"/>
  <c r="E7" i="183"/>
  <c r="B55" i="20"/>
  <c r="E13" i="161"/>
  <c r="E9" i="161"/>
  <c r="B4" i="184"/>
  <c r="C4" i="184"/>
  <c r="E3" i="184"/>
  <c r="E2" i="184"/>
  <c r="E5" i="183"/>
  <c r="E5" i="150"/>
  <c r="C4" i="183"/>
  <c r="C6" i="183"/>
  <c r="C8" i="183"/>
  <c r="C10" i="183"/>
  <c r="B4" i="183"/>
  <c r="E3" i="183"/>
  <c r="E2" i="183"/>
  <c r="E21" i="170"/>
  <c r="B24" i="161"/>
  <c r="E23" i="161"/>
  <c r="B61" i="20"/>
  <c r="A61" i="20"/>
  <c r="C60" i="20"/>
  <c r="E60" i="20"/>
  <c r="C55" i="20"/>
  <c r="C57" i="20" s="1"/>
  <c r="E54" i="20"/>
  <c r="E12" i="181"/>
  <c r="C6" i="181"/>
  <c r="C13" i="181"/>
  <c r="E13" i="181"/>
  <c r="D7" i="181"/>
  <c r="H6" i="181"/>
  <c r="E2" i="181"/>
  <c r="C4" i="171"/>
  <c r="B4" i="171"/>
  <c r="E3" i="171"/>
  <c r="A30" i="46"/>
  <c r="C29" i="46"/>
  <c r="E29" i="46"/>
  <c r="E9" i="157"/>
  <c r="B22" i="161"/>
  <c r="E21" i="161"/>
  <c r="B20" i="161"/>
  <c r="E19" i="161"/>
  <c r="B18" i="161"/>
  <c r="E17" i="161"/>
  <c r="C6" i="177"/>
  <c r="B6" i="177"/>
  <c r="E5" i="177"/>
  <c r="C4" i="177"/>
  <c r="B4" i="177"/>
  <c r="E3" i="177"/>
  <c r="E2" i="177"/>
  <c r="E4" i="177"/>
  <c r="B38" i="42"/>
  <c r="C37" i="42"/>
  <c r="E37" i="42"/>
  <c r="E36" i="42"/>
  <c r="D49" i="42"/>
  <c r="B50" i="42"/>
  <c r="C49" i="42"/>
  <c r="E49" i="42"/>
  <c r="E48" i="42"/>
  <c r="D46" i="42"/>
  <c r="B47" i="42"/>
  <c r="C46" i="42"/>
  <c r="E46" i="42"/>
  <c r="E45" i="42"/>
  <c r="D43" i="42"/>
  <c r="B44" i="42"/>
  <c r="C43" i="42"/>
  <c r="E43" i="42"/>
  <c r="E42" i="42"/>
  <c r="B41" i="42"/>
  <c r="C40" i="42"/>
  <c r="E40" i="42"/>
  <c r="E39" i="42"/>
  <c r="B40" i="57"/>
  <c r="E39" i="57"/>
  <c r="E40" i="57" s="1"/>
  <c r="E53" i="20"/>
  <c r="E9" i="117"/>
  <c r="E52" i="20"/>
  <c r="C8" i="152"/>
  <c r="B8" i="152"/>
  <c r="E7" i="152"/>
  <c r="E15" i="161"/>
  <c r="E23" i="42"/>
  <c r="C22" i="42"/>
  <c r="B22" i="42"/>
  <c r="E21" i="42"/>
  <c r="C6" i="152"/>
  <c r="B6" i="152"/>
  <c r="E5" i="152"/>
  <c r="B12" i="161"/>
  <c r="E11" i="161"/>
  <c r="A13" i="117"/>
  <c r="C12" i="117"/>
  <c r="E12" i="117"/>
  <c r="E11" i="117"/>
  <c r="A15" i="150"/>
  <c r="C14" i="150"/>
  <c r="A26" i="170"/>
  <c r="E2" i="171"/>
  <c r="B4" i="170"/>
  <c r="E20" i="42"/>
  <c r="E19" i="42"/>
  <c r="E51" i="20"/>
  <c r="E7" i="157"/>
  <c r="C36" i="57"/>
  <c r="E35" i="57"/>
  <c r="B8" i="161"/>
  <c r="E7" i="161"/>
  <c r="E5" i="157"/>
  <c r="B4" i="157"/>
  <c r="E5" i="161"/>
  <c r="C4" i="170"/>
  <c r="C5" i="170"/>
  <c r="C24" i="170"/>
  <c r="E3" i="170"/>
  <c r="E2" i="170"/>
  <c r="E18" i="42"/>
  <c r="C4" i="157"/>
  <c r="C6" i="157"/>
  <c r="C8" i="157"/>
  <c r="E3" i="157"/>
  <c r="C4" i="161"/>
  <c r="C6" i="161"/>
  <c r="B4" i="161"/>
  <c r="E3" i="161"/>
  <c r="E2" i="161"/>
  <c r="E5" i="145"/>
  <c r="E16" i="46"/>
  <c r="E2" i="157"/>
  <c r="E7" i="117"/>
  <c r="E5" i="117"/>
  <c r="E15" i="46"/>
  <c r="C4" i="117"/>
  <c r="C6" i="117"/>
  <c r="C8" i="117"/>
  <c r="E3" i="117"/>
  <c r="E14" i="46"/>
  <c r="C4" i="150"/>
  <c r="C6" i="150" s="1"/>
  <c r="C8" i="150" s="1"/>
  <c r="B4" i="150"/>
  <c r="E3" i="150"/>
  <c r="C4" i="152"/>
  <c r="B4" i="152"/>
  <c r="E3" i="152"/>
  <c r="E4" i="152"/>
  <c r="D4" i="152"/>
  <c r="E2" i="152"/>
  <c r="E2" i="150"/>
  <c r="B4" i="145"/>
  <c r="C4" i="145"/>
  <c r="C6" i="145"/>
  <c r="E3" i="145"/>
  <c r="E2" i="145"/>
  <c r="E4" i="145"/>
  <c r="D4" i="145"/>
  <c r="B6" i="145"/>
  <c r="E34" i="57"/>
  <c r="E33" i="57"/>
  <c r="E50" i="20"/>
  <c r="E32" i="57"/>
  <c r="E2" i="117"/>
  <c r="E4" i="117"/>
  <c r="D4" i="117"/>
  <c r="E16" i="42"/>
  <c r="E14" i="42"/>
  <c r="H5" i="110"/>
  <c r="E2" i="110"/>
  <c r="E12" i="42"/>
  <c r="C11" i="42"/>
  <c r="C13" i="42"/>
  <c r="C15" i="42"/>
  <c r="C17" i="42"/>
  <c r="C46" i="57"/>
  <c r="E46" i="57"/>
  <c r="E45" i="57"/>
  <c r="E30" i="57"/>
  <c r="C49" i="20"/>
  <c r="E48" i="20"/>
  <c r="E47" i="20"/>
  <c r="E28" i="57"/>
  <c r="E26" i="57"/>
  <c r="E14" i="150"/>
  <c r="C25" i="170"/>
  <c r="E25" i="170"/>
  <c r="H2" i="171"/>
  <c r="G2" i="171"/>
  <c r="F2" i="171"/>
  <c r="H20" i="42"/>
  <c r="G20" i="42"/>
  <c r="F20" i="42"/>
  <c r="H19" i="42"/>
  <c r="G19" i="42"/>
  <c r="F19" i="42"/>
  <c r="H51" i="20"/>
  <c r="G51" i="20"/>
  <c r="F51" i="20"/>
  <c r="H7" i="157"/>
  <c r="G7" i="157"/>
  <c r="F7" i="157"/>
  <c r="H35" i="57"/>
  <c r="G35" i="57"/>
  <c r="F35" i="57"/>
  <c r="H7" i="161"/>
  <c r="G7" i="161"/>
  <c r="F7" i="161"/>
  <c r="H5" i="157"/>
  <c r="G5" i="157"/>
  <c r="F5" i="157"/>
  <c r="H5" i="161"/>
  <c r="G5" i="161"/>
  <c r="F5" i="161"/>
  <c r="E4" i="170"/>
  <c r="D4" i="170"/>
  <c r="H2" i="170"/>
  <c r="G2" i="170"/>
  <c r="F2" i="170"/>
  <c r="H3" i="170"/>
  <c r="G3" i="170"/>
  <c r="F3" i="170"/>
  <c r="H18" i="42"/>
  <c r="G18" i="42"/>
  <c r="F18" i="42"/>
  <c r="E4" i="157"/>
  <c r="E6" i="157"/>
  <c r="D4" i="157"/>
  <c r="B6" i="157"/>
  <c r="H3" i="157"/>
  <c r="G3" i="157"/>
  <c r="F3" i="157"/>
  <c r="E4" i="161"/>
  <c r="H2" i="161"/>
  <c r="G2" i="161"/>
  <c r="F2" i="161"/>
  <c r="H3" i="161"/>
  <c r="G3" i="161"/>
  <c r="F3" i="161"/>
  <c r="E6" i="145"/>
  <c r="D6" i="145"/>
  <c r="H5" i="145"/>
  <c r="G5" i="145"/>
  <c r="F5" i="145"/>
  <c r="H16" i="46"/>
  <c r="G16" i="46"/>
  <c r="F16" i="46"/>
  <c r="H2" i="157"/>
  <c r="H4" i="157"/>
  <c r="H6" i="157"/>
  <c r="H8" i="157"/>
  <c r="G2" i="157"/>
  <c r="G4" i="157"/>
  <c r="G6" i="157"/>
  <c r="G8" i="157"/>
  <c r="F2" i="157"/>
  <c r="H7" i="117"/>
  <c r="G7" i="117"/>
  <c r="F7" i="117"/>
  <c r="E6" i="117"/>
  <c r="E8" i="117"/>
  <c r="D6" i="117"/>
  <c r="B8" i="117"/>
  <c r="H5" i="117"/>
  <c r="G5" i="117"/>
  <c r="F5" i="117"/>
  <c r="H15" i="46"/>
  <c r="G15" i="46"/>
  <c r="F15" i="46"/>
  <c r="H3" i="117"/>
  <c r="G3" i="117"/>
  <c r="F3" i="117"/>
  <c r="H14" i="46"/>
  <c r="G14" i="46"/>
  <c r="F14" i="46"/>
  <c r="E4" i="150"/>
  <c r="E6" i="150" s="1"/>
  <c r="D4" i="150"/>
  <c r="B6" i="150" s="1"/>
  <c r="H3" i="150"/>
  <c r="G3" i="150"/>
  <c r="F3" i="150"/>
  <c r="H3" i="152"/>
  <c r="H4" i="152"/>
  <c r="G3" i="152"/>
  <c r="G4" i="152"/>
  <c r="F3" i="152"/>
  <c r="F4" i="152"/>
  <c r="H2" i="152"/>
  <c r="G2" i="152"/>
  <c r="F2" i="152"/>
  <c r="H2" i="150"/>
  <c r="H4" i="150"/>
  <c r="G2" i="150"/>
  <c r="G4" i="150"/>
  <c r="F2" i="150"/>
  <c r="H3" i="145"/>
  <c r="G3" i="145"/>
  <c r="F3" i="145"/>
  <c r="H2" i="145"/>
  <c r="H4" i="145"/>
  <c r="H6" i="145"/>
  <c r="G2" i="145"/>
  <c r="G4" i="145"/>
  <c r="G6" i="145"/>
  <c r="F2" i="145"/>
  <c r="F4" i="145"/>
  <c r="H34" i="57"/>
  <c r="G34" i="57"/>
  <c r="F34" i="57"/>
  <c r="H33" i="57"/>
  <c r="G33" i="57"/>
  <c r="F33" i="57"/>
  <c r="H50" i="20"/>
  <c r="G50" i="20"/>
  <c r="F50" i="20"/>
  <c r="H32" i="57"/>
  <c r="G32" i="57"/>
  <c r="F32" i="57"/>
  <c r="H2" i="117"/>
  <c r="H4" i="117"/>
  <c r="H6" i="117"/>
  <c r="H8" i="117"/>
  <c r="G2" i="117"/>
  <c r="G4" i="117"/>
  <c r="G6" i="117"/>
  <c r="G8" i="117"/>
  <c r="F2" i="117"/>
  <c r="F4" i="117"/>
  <c r="H16" i="42"/>
  <c r="G16" i="42"/>
  <c r="F16" i="42"/>
  <c r="H14" i="42"/>
  <c r="G14" i="42"/>
  <c r="F14" i="42"/>
  <c r="H2" i="110"/>
  <c r="G2" i="110"/>
  <c r="F2" i="110"/>
  <c r="H12" i="42"/>
  <c r="G12" i="42"/>
  <c r="F12" i="42"/>
  <c r="H45" i="57"/>
  <c r="G45" i="57"/>
  <c r="F45" i="57"/>
  <c r="E47" i="57"/>
  <c r="H46" i="57"/>
  <c r="G46" i="57"/>
  <c r="F46" i="57"/>
  <c r="H30" i="57"/>
  <c r="G30" i="57"/>
  <c r="F30" i="57"/>
  <c r="E49" i="20"/>
  <c r="H48" i="20"/>
  <c r="G48" i="20"/>
  <c r="F48" i="20"/>
  <c r="H47" i="20"/>
  <c r="G47" i="20"/>
  <c r="F47" i="20"/>
  <c r="H28" i="57"/>
  <c r="G28" i="57"/>
  <c r="F28" i="57"/>
  <c r="H26" i="57"/>
  <c r="G26" i="57"/>
  <c r="F26" i="57"/>
  <c r="H14" i="150"/>
  <c r="G14" i="150"/>
  <c r="F14" i="150"/>
  <c r="H25" i="170"/>
  <c r="G25" i="170"/>
  <c r="F25" i="170"/>
  <c r="I2" i="171"/>
  <c r="J2" i="171"/>
  <c r="I20" i="42"/>
  <c r="J20" i="42"/>
  <c r="I19" i="42"/>
  <c r="J19" i="42"/>
  <c r="I51" i="20"/>
  <c r="J51" i="20"/>
  <c r="I7" i="157"/>
  <c r="J7" i="157"/>
  <c r="I35" i="57"/>
  <c r="J35" i="57"/>
  <c r="I7" i="161"/>
  <c r="J7" i="161"/>
  <c r="I5" i="157"/>
  <c r="J5" i="157"/>
  <c r="I5" i="161"/>
  <c r="J5" i="161"/>
  <c r="I3" i="170"/>
  <c r="J3" i="170"/>
  <c r="F4" i="170"/>
  <c r="I2" i="170"/>
  <c r="I4" i="170"/>
  <c r="J2" i="170"/>
  <c r="J4" i="170"/>
  <c r="G4" i="170"/>
  <c r="H4" i="170"/>
  <c r="I18" i="42"/>
  <c r="J18" i="42"/>
  <c r="F4" i="157"/>
  <c r="F6" i="157"/>
  <c r="F8" i="157"/>
  <c r="I3" i="157"/>
  <c r="J3" i="157"/>
  <c r="I3" i="161"/>
  <c r="J3" i="161"/>
  <c r="F4" i="161"/>
  <c r="I2" i="161"/>
  <c r="I4" i="161"/>
  <c r="J2" i="161"/>
  <c r="J4" i="161"/>
  <c r="G4" i="161"/>
  <c r="H4" i="161"/>
  <c r="D4" i="161"/>
  <c r="F6" i="145"/>
  <c r="I5" i="145"/>
  <c r="J5" i="145"/>
  <c r="I16" i="46"/>
  <c r="J16" i="46"/>
  <c r="I2" i="157"/>
  <c r="I4" i="157"/>
  <c r="I6" i="157"/>
  <c r="I8" i="157"/>
  <c r="J2" i="157"/>
  <c r="J4" i="157"/>
  <c r="J6" i="157"/>
  <c r="J8" i="157"/>
  <c r="I7" i="117"/>
  <c r="J7" i="117"/>
  <c r="F6" i="117"/>
  <c r="F8" i="117"/>
  <c r="I5" i="117"/>
  <c r="J5" i="117"/>
  <c r="I15" i="46"/>
  <c r="J15" i="46"/>
  <c r="I3" i="117"/>
  <c r="J3" i="117"/>
  <c r="I14" i="46"/>
  <c r="J14" i="46"/>
  <c r="F4" i="150"/>
  <c r="I3" i="150"/>
  <c r="J3" i="150"/>
  <c r="I3" i="152"/>
  <c r="I4" i="152"/>
  <c r="J3" i="152"/>
  <c r="J4" i="152"/>
  <c r="I2" i="152"/>
  <c r="J2" i="152"/>
  <c r="I2" i="150"/>
  <c r="I4" i="150"/>
  <c r="J2" i="150"/>
  <c r="J4" i="150"/>
  <c r="I3" i="145"/>
  <c r="J3" i="145"/>
  <c r="I2" i="145"/>
  <c r="I4" i="145"/>
  <c r="I6" i="145"/>
  <c r="J2" i="145"/>
  <c r="J4" i="145"/>
  <c r="J6" i="145"/>
  <c r="I34" i="57"/>
  <c r="J34" i="57"/>
  <c r="I33" i="57"/>
  <c r="J33" i="57"/>
  <c r="I50" i="20"/>
  <c r="J50" i="20"/>
  <c r="I32" i="57"/>
  <c r="J32" i="57"/>
  <c r="G49" i="20"/>
  <c r="H49" i="20"/>
  <c r="I2" i="117"/>
  <c r="I4" i="117"/>
  <c r="I6" i="117"/>
  <c r="I8" i="117"/>
  <c r="J2" i="117"/>
  <c r="J4" i="117"/>
  <c r="J6" i="117"/>
  <c r="J8" i="117"/>
  <c r="I16" i="42"/>
  <c r="J16" i="42"/>
  <c r="I14" i="42"/>
  <c r="J14" i="42"/>
  <c r="J5" i="110"/>
  <c r="I2" i="110"/>
  <c r="J2" i="110"/>
  <c r="I12" i="42"/>
  <c r="J12" i="42"/>
  <c r="I46" i="57"/>
  <c r="J46" i="57"/>
  <c r="I45" i="57"/>
  <c r="J45" i="57"/>
  <c r="I30" i="57"/>
  <c r="J30" i="57"/>
  <c r="D49" i="20"/>
  <c r="F49" i="20"/>
  <c r="I48" i="20"/>
  <c r="J48" i="20"/>
  <c r="I47" i="20"/>
  <c r="J47" i="20"/>
  <c r="I28" i="57"/>
  <c r="J28" i="57"/>
  <c r="I26" i="57"/>
  <c r="J26" i="57"/>
  <c r="I14" i="150"/>
  <c r="J14" i="150"/>
  <c r="I25" i="170"/>
  <c r="J25" i="170"/>
  <c r="J49" i="20"/>
  <c r="I49" i="20"/>
  <c r="C7" i="110"/>
  <c r="E7" i="110"/>
  <c r="J47" i="57"/>
  <c r="E24" i="57"/>
  <c r="E8" i="110"/>
  <c r="H7" i="110"/>
  <c r="G7" i="110"/>
  <c r="F7" i="110"/>
  <c r="H24" i="57"/>
  <c r="G24" i="57"/>
  <c r="F24" i="57"/>
  <c r="I7" i="110"/>
  <c r="J7" i="110"/>
  <c r="I24" i="57"/>
  <c r="J24" i="57"/>
  <c r="C23" i="57"/>
  <c r="C25" i="57"/>
  <c r="C27" i="57"/>
  <c r="C29" i="57"/>
  <c r="C31" i="57"/>
  <c r="E22" i="57"/>
  <c r="I21" i="57"/>
  <c r="E21" i="57"/>
  <c r="J21" i="57"/>
  <c r="E23" i="57"/>
  <c r="H22" i="57"/>
  <c r="H23" i="57"/>
  <c r="H25" i="57"/>
  <c r="H27" i="57"/>
  <c r="H29" i="57"/>
  <c r="H31" i="57"/>
  <c r="G22" i="57"/>
  <c r="G23" i="57"/>
  <c r="G25" i="57"/>
  <c r="G27" i="57"/>
  <c r="G29" i="57"/>
  <c r="G31" i="57"/>
  <c r="F22" i="57"/>
  <c r="D23" i="57"/>
  <c r="E25" i="57"/>
  <c r="F23" i="57"/>
  <c r="F25" i="57"/>
  <c r="F27" i="57"/>
  <c r="F29" i="57"/>
  <c r="F31" i="57"/>
  <c r="I22" i="57"/>
  <c r="I23" i="57"/>
  <c r="I25" i="57"/>
  <c r="I27" i="57"/>
  <c r="I29" i="57"/>
  <c r="I31" i="57"/>
  <c r="J22" i="57"/>
  <c r="J23" i="57"/>
  <c r="J25" i="57"/>
  <c r="J27" i="57"/>
  <c r="J29" i="57"/>
  <c r="J31" i="57"/>
  <c r="D25" i="57"/>
  <c r="E27" i="57"/>
  <c r="D27" i="57"/>
  <c r="E29" i="57"/>
  <c r="D29" i="57"/>
  <c r="E31" i="57"/>
  <c r="D31" i="57"/>
  <c r="E12" i="46"/>
  <c r="E10" i="46"/>
  <c r="H12" i="46"/>
  <c r="G12" i="46"/>
  <c r="F12" i="46"/>
  <c r="H10" i="46"/>
  <c r="G10" i="46"/>
  <c r="F10" i="46"/>
  <c r="I12" i="46"/>
  <c r="J12" i="46"/>
  <c r="I10" i="46"/>
  <c r="J10" i="46"/>
  <c r="C9" i="46"/>
  <c r="C11" i="46"/>
  <c r="C13" i="46"/>
  <c r="E8" i="46"/>
  <c r="E7" i="46"/>
  <c r="E9" i="46"/>
  <c r="H8" i="46"/>
  <c r="G8" i="46"/>
  <c r="F8" i="46"/>
  <c r="H7" i="46"/>
  <c r="G7" i="46"/>
  <c r="F7" i="46"/>
  <c r="G9" i="46"/>
  <c r="G11" i="46"/>
  <c r="G13" i="46"/>
  <c r="H9" i="46"/>
  <c r="H11" i="46"/>
  <c r="H13" i="46"/>
  <c r="D9" i="46"/>
  <c r="E11" i="46"/>
  <c r="F9" i="46"/>
  <c r="F11" i="46"/>
  <c r="F13" i="46"/>
  <c r="I8" i="46"/>
  <c r="J8" i="46"/>
  <c r="I7" i="46"/>
  <c r="J7" i="46"/>
  <c r="J9" i="46"/>
  <c r="J11" i="46"/>
  <c r="J13" i="46"/>
  <c r="I9" i="46"/>
  <c r="I11" i="46"/>
  <c r="I13" i="46"/>
  <c r="D11" i="46"/>
  <c r="E13" i="46"/>
  <c r="D13" i="46"/>
  <c r="E5" i="46"/>
  <c r="I19" i="57"/>
  <c r="E19" i="57"/>
  <c r="E17" i="57"/>
  <c r="E10" i="42"/>
  <c r="C16" i="57"/>
  <c r="C18" i="57"/>
  <c r="C20" i="57"/>
  <c r="E14" i="57"/>
  <c r="G14" i="57"/>
  <c r="E9" i="42"/>
  <c r="C43" i="57"/>
  <c r="E43" i="57"/>
  <c r="E42" i="57"/>
  <c r="F42" i="57"/>
  <c r="E15" i="57"/>
  <c r="G15" i="57"/>
  <c r="G16" i="57"/>
  <c r="C4" i="46"/>
  <c r="C6" i="46"/>
  <c r="E3" i="46"/>
  <c r="C13" i="57"/>
  <c r="E12" i="57"/>
  <c r="H12" i="57"/>
  <c r="E11" i="57"/>
  <c r="G11" i="57"/>
  <c r="A10" i="57"/>
  <c r="E2" i="42"/>
  <c r="F2" i="42"/>
  <c r="G2" i="42"/>
  <c r="H2" i="42"/>
  <c r="I2" i="42"/>
  <c r="J2" i="42"/>
  <c r="E3" i="42"/>
  <c r="F3" i="42"/>
  <c r="G3" i="42"/>
  <c r="H3" i="42"/>
  <c r="I3" i="42"/>
  <c r="J3" i="42"/>
  <c r="C4" i="42"/>
  <c r="E4" i="42"/>
  <c r="D4" i="42"/>
  <c r="F4" i="42"/>
  <c r="G4" i="42"/>
  <c r="H4" i="42"/>
  <c r="I4" i="42"/>
  <c r="J4" i="42"/>
  <c r="E5" i="42"/>
  <c r="F5" i="42"/>
  <c r="G5" i="42"/>
  <c r="H5" i="42"/>
  <c r="I5" i="42"/>
  <c r="J5" i="42"/>
  <c r="C6" i="42"/>
  <c r="E6" i="42"/>
  <c r="D6" i="42"/>
  <c r="F6" i="42"/>
  <c r="G6" i="42"/>
  <c r="H6" i="42"/>
  <c r="I6" i="42"/>
  <c r="J6" i="42"/>
  <c r="E7" i="42"/>
  <c r="H7" i="42"/>
  <c r="H8" i="42"/>
  <c r="E8" i="42"/>
  <c r="C8" i="42"/>
  <c r="E2" i="20"/>
  <c r="F2" i="20"/>
  <c r="G2" i="20"/>
  <c r="H2" i="20"/>
  <c r="I2" i="20"/>
  <c r="J2" i="20"/>
  <c r="E3" i="20"/>
  <c r="F3" i="20"/>
  <c r="G3" i="20"/>
  <c r="H3" i="20"/>
  <c r="I3" i="20"/>
  <c r="J3" i="20"/>
  <c r="C4" i="20"/>
  <c r="E4" i="20"/>
  <c r="D4" i="20"/>
  <c r="F4" i="20"/>
  <c r="G4" i="20"/>
  <c r="H4" i="20"/>
  <c r="I4" i="20"/>
  <c r="J4" i="20"/>
  <c r="E5" i="20"/>
  <c r="F5" i="20"/>
  <c r="G5" i="20"/>
  <c r="H5" i="20"/>
  <c r="I5" i="20"/>
  <c r="J5" i="20"/>
  <c r="C6" i="20"/>
  <c r="E6" i="20"/>
  <c r="D6" i="20"/>
  <c r="F6" i="20"/>
  <c r="G6" i="20"/>
  <c r="H6" i="20"/>
  <c r="I6" i="20"/>
  <c r="J6" i="20"/>
  <c r="E7" i="20"/>
  <c r="F7" i="20"/>
  <c r="G7" i="20"/>
  <c r="H7" i="20"/>
  <c r="I7" i="20"/>
  <c r="J7" i="20"/>
  <c r="E8" i="20"/>
  <c r="J8" i="20"/>
  <c r="E9" i="20"/>
  <c r="F9" i="20"/>
  <c r="G9" i="20"/>
  <c r="H9" i="20"/>
  <c r="I9" i="20"/>
  <c r="J9" i="20"/>
  <c r="C10" i="20"/>
  <c r="E10" i="20"/>
  <c r="F10" i="20"/>
  <c r="G10" i="20"/>
  <c r="H10" i="20"/>
  <c r="I10" i="20"/>
  <c r="J10" i="20"/>
  <c r="A11" i="20"/>
  <c r="E11" i="20"/>
  <c r="J11" i="20"/>
  <c r="E12" i="20"/>
  <c r="F12" i="20"/>
  <c r="G12" i="20"/>
  <c r="H12" i="20"/>
  <c r="I12" i="20"/>
  <c r="J12" i="20"/>
  <c r="C13" i="20"/>
  <c r="E13" i="20"/>
  <c r="F13" i="20"/>
  <c r="G13" i="20"/>
  <c r="H13" i="20"/>
  <c r="I13" i="20"/>
  <c r="J13" i="20"/>
  <c r="A14" i="20"/>
  <c r="E14" i="20"/>
  <c r="J14" i="20"/>
  <c r="E15" i="20"/>
  <c r="F15" i="20"/>
  <c r="G15" i="20"/>
  <c r="H15" i="20"/>
  <c r="I15" i="20"/>
  <c r="J15" i="20"/>
  <c r="C16" i="20"/>
  <c r="E16" i="20"/>
  <c r="F16" i="20"/>
  <c r="G16" i="20"/>
  <c r="H16" i="20"/>
  <c r="I16" i="20"/>
  <c r="J16" i="20"/>
  <c r="A17" i="20"/>
  <c r="E17" i="20"/>
  <c r="J17" i="20"/>
  <c r="E18" i="20"/>
  <c r="F18" i="20"/>
  <c r="G18" i="20"/>
  <c r="H18" i="20"/>
  <c r="I18" i="20"/>
  <c r="J18" i="20"/>
  <c r="C19" i="20"/>
  <c r="E19" i="20"/>
  <c r="F19" i="20"/>
  <c r="G19" i="20"/>
  <c r="H19" i="20"/>
  <c r="I19" i="20"/>
  <c r="J19" i="20"/>
  <c r="A20" i="20"/>
  <c r="E20" i="20"/>
  <c r="J20" i="20"/>
  <c r="E21" i="20"/>
  <c r="F21" i="20"/>
  <c r="G21" i="20"/>
  <c r="H21" i="20"/>
  <c r="I21" i="20"/>
  <c r="J21" i="20"/>
  <c r="E22" i="20"/>
  <c r="F22" i="20"/>
  <c r="G22" i="20"/>
  <c r="H22" i="20"/>
  <c r="I22" i="20"/>
  <c r="J22" i="20"/>
  <c r="A23" i="20"/>
  <c r="E23" i="20"/>
  <c r="J23" i="20"/>
  <c r="E24" i="20"/>
  <c r="F24" i="20"/>
  <c r="G24" i="20"/>
  <c r="H24" i="20"/>
  <c r="I24" i="20"/>
  <c r="J24" i="20"/>
  <c r="E25" i="20"/>
  <c r="F25" i="20"/>
  <c r="G25" i="20"/>
  <c r="H25" i="20"/>
  <c r="I25" i="20"/>
  <c r="J25" i="20"/>
  <c r="C26" i="20"/>
  <c r="E26" i="20"/>
  <c r="D26" i="20"/>
  <c r="F26" i="20"/>
  <c r="G26" i="20"/>
  <c r="H26" i="20"/>
  <c r="I26" i="20"/>
  <c r="J26" i="20"/>
  <c r="E27" i="20"/>
  <c r="F27" i="20"/>
  <c r="G27" i="20"/>
  <c r="H27" i="20"/>
  <c r="I27" i="20"/>
  <c r="J27" i="20"/>
  <c r="C28" i="20"/>
  <c r="E28" i="20"/>
  <c r="D28" i="20"/>
  <c r="F28" i="20"/>
  <c r="G28" i="20"/>
  <c r="H28" i="20"/>
  <c r="I28" i="20"/>
  <c r="J28" i="20"/>
  <c r="E29" i="20"/>
  <c r="F29" i="20"/>
  <c r="G29" i="20"/>
  <c r="H29" i="20"/>
  <c r="I29" i="20"/>
  <c r="J29" i="20"/>
  <c r="C30" i="20"/>
  <c r="E30" i="20"/>
  <c r="D30" i="20"/>
  <c r="F30" i="20"/>
  <c r="G30" i="20"/>
  <c r="H30" i="20"/>
  <c r="I30" i="20"/>
  <c r="J30" i="20"/>
  <c r="E31" i="20"/>
  <c r="F31" i="20"/>
  <c r="G31" i="20"/>
  <c r="H31" i="20"/>
  <c r="I31" i="20"/>
  <c r="J31" i="20"/>
  <c r="C32" i="20"/>
  <c r="E32" i="20"/>
  <c r="D32" i="20"/>
  <c r="F32" i="20"/>
  <c r="G32" i="20"/>
  <c r="H32" i="20"/>
  <c r="I32" i="20"/>
  <c r="J32" i="20"/>
  <c r="E33" i="20"/>
  <c r="F33" i="20"/>
  <c r="G33" i="20"/>
  <c r="H33" i="20"/>
  <c r="I33" i="20"/>
  <c r="J33" i="20"/>
  <c r="C34" i="20"/>
  <c r="E34" i="20"/>
  <c r="D34" i="20"/>
  <c r="F34" i="20"/>
  <c r="G34" i="20"/>
  <c r="H34" i="20"/>
  <c r="I34" i="20"/>
  <c r="J34" i="20"/>
  <c r="E35" i="20"/>
  <c r="F35" i="20"/>
  <c r="G35" i="20"/>
  <c r="H35" i="20"/>
  <c r="I35" i="20"/>
  <c r="J35" i="20"/>
  <c r="C36" i="20"/>
  <c r="E36" i="20"/>
  <c r="D36" i="20"/>
  <c r="F36" i="20"/>
  <c r="G36" i="20"/>
  <c r="H36" i="20"/>
  <c r="I36" i="20"/>
  <c r="J36" i="20"/>
  <c r="E38" i="20"/>
  <c r="F38" i="20"/>
  <c r="G38" i="20"/>
  <c r="H38" i="20"/>
  <c r="I38" i="20"/>
  <c r="J38" i="20"/>
  <c r="E39" i="20"/>
  <c r="F39" i="20"/>
  <c r="G39" i="20"/>
  <c r="H39" i="20"/>
  <c r="I39" i="20"/>
  <c r="J39" i="20"/>
  <c r="E40" i="20"/>
  <c r="F40" i="20"/>
  <c r="G40" i="20"/>
  <c r="H40" i="20"/>
  <c r="I40" i="20"/>
  <c r="J40" i="20"/>
  <c r="E41" i="20"/>
  <c r="F41" i="20"/>
  <c r="G41" i="20"/>
  <c r="H41" i="20"/>
  <c r="I41" i="20"/>
  <c r="J41" i="20"/>
  <c r="E42" i="20"/>
  <c r="F42" i="20"/>
  <c r="G42" i="20"/>
  <c r="H42" i="20"/>
  <c r="I42" i="20"/>
  <c r="J42" i="20"/>
  <c r="E43" i="20"/>
  <c r="F43" i="20"/>
  <c r="G43" i="20"/>
  <c r="H43" i="20"/>
  <c r="I43" i="20"/>
  <c r="J43" i="20"/>
  <c r="E44" i="20"/>
  <c r="F44" i="20"/>
  <c r="G44" i="20"/>
  <c r="H44" i="20"/>
  <c r="I44" i="20"/>
  <c r="J44" i="20"/>
  <c r="C45" i="20"/>
  <c r="E45" i="20"/>
  <c r="D45" i="20"/>
  <c r="F45" i="20"/>
  <c r="G45" i="20"/>
  <c r="H45" i="20"/>
  <c r="I45" i="20"/>
  <c r="J45" i="20"/>
  <c r="E2" i="46"/>
  <c r="E4" i="46"/>
  <c r="H2" i="46"/>
  <c r="E2" i="57"/>
  <c r="F2" i="57"/>
  <c r="G2" i="57"/>
  <c r="H2" i="57"/>
  <c r="I2" i="57"/>
  <c r="J2" i="57"/>
  <c r="E3" i="57"/>
  <c r="F3" i="57"/>
  <c r="G3" i="57"/>
  <c r="H3" i="57"/>
  <c r="I3" i="57"/>
  <c r="J3" i="57"/>
  <c r="C4" i="57"/>
  <c r="E4" i="57"/>
  <c r="D4" i="57"/>
  <c r="F4" i="57"/>
  <c r="G4" i="57"/>
  <c r="H4" i="57"/>
  <c r="I4" i="57"/>
  <c r="J4" i="57"/>
  <c r="E5" i="57"/>
  <c r="F5" i="57"/>
  <c r="G5" i="57"/>
  <c r="H5" i="57"/>
  <c r="I5" i="57"/>
  <c r="J5" i="57"/>
  <c r="C6" i="57"/>
  <c r="E6" i="57"/>
  <c r="D6" i="57"/>
  <c r="F6" i="57"/>
  <c r="G6" i="57"/>
  <c r="H6" i="57"/>
  <c r="I6" i="57"/>
  <c r="J6" i="57"/>
  <c r="E7" i="57"/>
  <c r="H7" i="57"/>
  <c r="H8" i="57"/>
  <c r="C8" i="57"/>
  <c r="C9" i="57"/>
  <c r="E9" i="57"/>
  <c r="E8" i="57"/>
  <c r="D8" i="57"/>
  <c r="F7" i="57"/>
  <c r="F8" i="57"/>
  <c r="G7" i="57"/>
  <c r="G8" i="57"/>
  <c r="I7" i="57"/>
  <c r="I8" i="57"/>
  <c r="J7" i="57"/>
  <c r="J8" i="57"/>
  <c r="G7" i="42"/>
  <c r="G8" i="42"/>
  <c r="F7" i="42"/>
  <c r="F2" i="46"/>
  <c r="G2" i="46"/>
  <c r="I2" i="46"/>
  <c r="J2" i="46"/>
  <c r="F9" i="57"/>
  <c r="G9" i="57"/>
  <c r="E10" i="57"/>
  <c r="H9" i="57"/>
  <c r="I9" i="57"/>
  <c r="J9" i="57"/>
  <c r="J10" i="57"/>
  <c r="G12" i="57"/>
  <c r="G13" i="57"/>
  <c r="E13" i="57"/>
  <c r="D13" i="57"/>
  <c r="F12" i="57"/>
  <c r="I12" i="57"/>
  <c r="J12" i="57"/>
  <c r="H9" i="42"/>
  <c r="G9" i="42"/>
  <c r="F9" i="42"/>
  <c r="I7" i="42"/>
  <c r="I8" i="42"/>
  <c r="F8" i="42"/>
  <c r="F43" i="57"/>
  <c r="E44" i="57"/>
  <c r="G43" i="57"/>
  <c r="H43" i="57"/>
  <c r="H42" i="57"/>
  <c r="G42" i="57"/>
  <c r="I42" i="57"/>
  <c r="J42" i="57"/>
  <c r="J7" i="42"/>
  <c r="J8" i="42"/>
  <c r="I43" i="57"/>
  <c r="J43" i="57"/>
  <c r="J44" i="57"/>
  <c r="F14" i="57"/>
  <c r="H14" i="57"/>
  <c r="I14" i="57"/>
  <c r="J14" i="57"/>
  <c r="I9" i="42"/>
  <c r="J9" i="42"/>
  <c r="H10" i="42"/>
  <c r="H11" i="42"/>
  <c r="H13" i="42"/>
  <c r="H15" i="42"/>
  <c r="H17" i="42"/>
  <c r="G10" i="42"/>
  <c r="G11" i="42"/>
  <c r="G13" i="42"/>
  <c r="G15" i="42"/>
  <c r="G17" i="42"/>
  <c r="F10" i="42"/>
  <c r="F11" i="42"/>
  <c r="F13" i="42"/>
  <c r="F15" i="42"/>
  <c r="F17" i="42"/>
  <c r="H15" i="57"/>
  <c r="H16" i="57"/>
  <c r="E16" i="57"/>
  <c r="E18" i="57"/>
  <c r="E20" i="57"/>
  <c r="D20" i="57"/>
  <c r="D16" i="57"/>
  <c r="F15" i="57"/>
  <c r="I15" i="57"/>
  <c r="F16" i="57"/>
  <c r="I16" i="57"/>
  <c r="J15" i="57"/>
  <c r="J16" i="57"/>
  <c r="G18" i="57"/>
  <c r="G20" i="57"/>
  <c r="D18" i="57"/>
  <c r="H18" i="57"/>
  <c r="H20" i="57"/>
  <c r="I17" i="57"/>
  <c r="I18" i="57"/>
  <c r="I20" i="57"/>
  <c r="F18" i="57"/>
  <c r="F20" i="57"/>
  <c r="I10" i="42"/>
  <c r="I11" i="42"/>
  <c r="I13" i="42"/>
  <c r="I15" i="42"/>
  <c r="I17" i="42"/>
  <c r="J10" i="42"/>
  <c r="J11" i="42"/>
  <c r="J13" i="42"/>
  <c r="J15" i="42"/>
  <c r="J17" i="42"/>
  <c r="J17" i="57"/>
  <c r="J18" i="57"/>
  <c r="J19" i="57"/>
  <c r="J20" i="57"/>
  <c r="G5" i="46"/>
  <c r="H5" i="46"/>
  <c r="F5" i="46"/>
  <c r="G3" i="46"/>
  <c r="G4" i="46"/>
  <c r="G6" i="46"/>
  <c r="F3" i="46"/>
  <c r="H3" i="46"/>
  <c r="H4" i="46"/>
  <c r="H6" i="46"/>
  <c r="I5" i="46"/>
  <c r="F4" i="46"/>
  <c r="F6" i="46"/>
  <c r="I3" i="46"/>
  <c r="J5" i="46"/>
  <c r="I4" i="46"/>
  <c r="I6" i="46"/>
  <c r="J3" i="46"/>
  <c r="J4" i="46"/>
  <c r="J6" i="46"/>
  <c r="E11" i="42"/>
  <c r="E13" i="42"/>
  <c r="E15" i="42"/>
  <c r="D13" i="42"/>
  <c r="E6" i="46"/>
  <c r="D4" i="46"/>
  <c r="D8" i="42"/>
  <c r="D11" i="42"/>
  <c r="H11" i="57"/>
  <c r="H13" i="57"/>
  <c r="F11" i="57"/>
  <c r="D15" i="42"/>
  <c r="E17" i="42"/>
  <c r="I11" i="57"/>
  <c r="I13" i="57"/>
  <c r="J11" i="57"/>
  <c r="J13" i="57"/>
  <c r="F13" i="57"/>
  <c r="D6" i="46"/>
  <c r="D17" i="42"/>
  <c r="H38" i="57"/>
  <c r="G38" i="57"/>
  <c r="F38" i="57"/>
  <c r="H37" i="57"/>
  <c r="G37" i="57"/>
  <c r="F37" i="57"/>
  <c r="E36" i="57"/>
  <c r="H10" i="145"/>
  <c r="G10" i="145"/>
  <c r="F10" i="145"/>
  <c r="E4" i="181"/>
  <c r="D4" i="181"/>
  <c r="H3" i="181"/>
  <c r="H4" i="181"/>
  <c r="G3" i="181"/>
  <c r="G4" i="181"/>
  <c r="F3" i="181"/>
  <c r="E8" i="184"/>
  <c r="D8" i="184"/>
  <c r="H7" i="184"/>
  <c r="H8" i="184"/>
  <c r="G7" i="184"/>
  <c r="G8" i="184"/>
  <c r="F7" i="184"/>
  <c r="H17" i="46"/>
  <c r="G17" i="46"/>
  <c r="F17" i="46"/>
  <c r="H7" i="171"/>
  <c r="G7" i="171"/>
  <c r="F7" i="171"/>
  <c r="H11" i="157"/>
  <c r="G11" i="157"/>
  <c r="F11" i="157"/>
  <c r="C6" i="171"/>
  <c r="H5" i="171"/>
  <c r="G5" i="171"/>
  <c r="F5" i="171"/>
  <c r="E14" i="183"/>
  <c r="D14" i="183"/>
  <c r="H13" i="183"/>
  <c r="H14" i="183"/>
  <c r="G13" i="183"/>
  <c r="G14" i="183"/>
  <c r="F13" i="183"/>
  <c r="E12" i="183"/>
  <c r="D12" i="183"/>
  <c r="H11" i="183"/>
  <c r="H12" i="183"/>
  <c r="G11" i="183"/>
  <c r="G12" i="183"/>
  <c r="F11" i="183"/>
  <c r="H8" i="170"/>
  <c r="G8" i="170"/>
  <c r="F8" i="170"/>
  <c r="H62" i="20"/>
  <c r="G62" i="20"/>
  <c r="F62" i="20"/>
  <c r="E64" i="20"/>
  <c r="H63" i="20"/>
  <c r="G63" i="20"/>
  <c r="F63" i="20"/>
  <c r="H7" i="150"/>
  <c r="G7" i="150"/>
  <c r="F7" i="150"/>
  <c r="H9" i="183"/>
  <c r="G9" i="183"/>
  <c r="F9" i="183"/>
  <c r="H59" i="20"/>
  <c r="G59" i="20"/>
  <c r="F59" i="20"/>
  <c r="E6" i="184"/>
  <c r="D6" i="184"/>
  <c r="H5" i="184"/>
  <c r="H6" i="184"/>
  <c r="G5" i="184"/>
  <c r="G6" i="184"/>
  <c r="F5" i="184"/>
  <c r="H6" i="170"/>
  <c r="G6" i="170"/>
  <c r="F6" i="170"/>
  <c r="E23" i="170"/>
  <c r="H22" i="170"/>
  <c r="G22" i="170"/>
  <c r="F22" i="170"/>
  <c r="H7" i="183"/>
  <c r="G7" i="183"/>
  <c r="F7" i="183"/>
  <c r="H13" i="161"/>
  <c r="G13" i="161"/>
  <c r="F13" i="161"/>
  <c r="H9" i="161"/>
  <c r="G9" i="161"/>
  <c r="F9" i="161"/>
  <c r="E4" i="184"/>
  <c r="H2" i="184"/>
  <c r="G2" i="184"/>
  <c r="F2" i="184"/>
  <c r="H3" i="184"/>
  <c r="G3" i="184"/>
  <c r="F3" i="184"/>
  <c r="H5" i="183"/>
  <c r="G5" i="183"/>
  <c r="F5" i="183"/>
  <c r="H5" i="150"/>
  <c r="G5" i="150"/>
  <c r="F5" i="150"/>
  <c r="E4" i="183"/>
  <c r="E6" i="183"/>
  <c r="H2" i="183"/>
  <c r="G2" i="183"/>
  <c r="F2" i="183"/>
  <c r="H3" i="183"/>
  <c r="G3" i="183"/>
  <c r="F3" i="183"/>
  <c r="H21" i="170"/>
  <c r="G21" i="170"/>
  <c r="F21" i="170"/>
  <c r="H23" i="161"/>
  <c r="G23" i="161"/>
  <c r="F23" i="161"/>
  <c r="E61" i="20"/>
  <c r="H60" i="20"/>
  <c r="G60" i="20"/>
  <c r="F60" i="20"/>
  <c r="E55" i="20"/>
  <c r="E57" i="20" s="1"/>
  <c r="D57" i="20" s="1"/>
  <c r="H54" i="20"/>
  <c r="G54" i="20"/>
  <c r="F54" i="20"/>
  <c r="H12" i="181"/>
  <c r="G12" i="181"/>
  <c r="F12" i="181"/>
  <c r="H2" i="181"/>
  <c r="G2" i="181"/>
  <c r="F2" i="181"/>
  <c r="C7" i="181"/>
  <c r="J6" i="181"/>
  <c r="E14" i="181"/>
  <c r="H13" i="181"/>
  <c r="G13" i="181"/>
  <c r="F13" i="181"/>
  <c r="E4" i="171"/>
  <c r="E6" i="171"/>
  <c r="H3" i="171"/>
  <c r="H4" i="171"/>
  <c r="H6" i="171"/>
  <c r="H8" i="171"/>
  <c r="G3" i="171"/>
  <c r="G4" i="171"/>
  <c r="G6" i="171"/>
  <c r="G8" i="171"/>
  <c r="F3" i="171"/>
  <c r="E8" i="157"/>
  <c r="D8" i="157"/>
  <c r="D6" i="157"/>
  <c r="B8" i="157"/>
  <c r="C10" i="157"/>
  <c r="B30" i="46"/>
  <c r="E28" i="46"/>
  <c r="E30" i="46"/>
  <c r="H29" i="46"/>
  <c r="G29" i="46"/>
  <c r="F29" i="46"/>
  <c r="E10" i="157"/>
  <c r="E12" i="157"/>
  <c r="H9" i="157"/>
  <c r="H10" i="157"/>
  <c r="G9" i="157"/>
  <c r="G10" i="157"/>
  <c r="F9" i="157"/>
  <c r="H21" i="161"/>
  <c r="G21" i="161"/>
  <c r="F21" i="161"/>
  <c r="H19" i="161"/>
  <c r="G19" i="161"/>
  <c r="F19" i="161"/>
  <c r="H17" i="161"/>
  <c r="G17" i="161"/>
  <c r="F17" i="161"/>
  <c r="E6" i="177"/>
  <c r="D6" i="177"/>
  <c r="H5" i="177"/>
  <c r="H6" i="177"/>
  <c r="G5" i="177"/>
  <c r="G6" i="177"/>
  <c r="F5" i="177"/>
  <c r="H2" i="177"/>
  <c r="G2" i="177"/>
  <c r="F2" i="177"/>
  <c r="H3" i="177"/>
  <c r="G3" i="177"/>
  <c r="F3" i="177"/>
  <c r="H36" i="42"/>
  <c r="G36" i="42"/>
  <c r="F36" i="42"/>
  <c r="E38" i="42"/>
  <c r="H37" i="42"/>
  <c r="G37" i="42"/>
  <c r="F37" i="42"/>
  <c r="H39" i="42"/>
  <c r="G39" i="42"/>
  <c r="F39" i="42"/>
  <c r="E41" i="42"/>
  <c r="H40" i="42"/>
  <c r="G40" i="42"/>
  <c r="F40" i="42"/>
  <c r="H42" i="42"/>
  <c r="G42" i="42"/>
  <c r="F42" i="42"/>
  <c r="E44" i="42"/>
  <c r="H43" i="42"/>
  <c r="G43" i="42"/>
  <c r="F43" i="42"/>
  <c r="H45" i="42"/>
  <c r="G45" i="42"/>
  <c r="F45" i="42"/>
  <c r="E47" i="42"/>
  <c r="H46" i="42"/>
  <c r="G46" i="42"/>
  <c r="F46" i="42"/>
  <c r="H48" i="42"/>
  <c r="G48" i="42"/>
  <c r="F48" i="42"/>
  <c r="E50" i="42"/>
  <c r="H49" i="42"/>
  <c r="G49" i="42"/>
  <c r="F49" i="42"/>
  <c r="D40" i="57"/>
  <c r="H39" i="57"/>
  <c r="H40" i="57" s="1"/>
  <c r="G39" i="57"/>
  <c r="G40" i="57" s="1"/>
  <c r="F39" i="57"/>
  <c r="F40" i="57" s="1"/>
  <c r="H36" i="57"/>
  <c r="G36" i="57"/>
  <c r="F36" i="57"/>
  <c r="H53" i="20"/>
  <c r="G53" i="20"/>
  <c r="F53" i="20"/>
  <c r="H9" i="117"/>
  <c r="G9" i="117"/>
  <c r="F9" i="117"/>
  <c r="H52" i="20"/>
  <c r="G52" i="20"/>
  <c r="F52" i="20"/>
  <c r="C8" i="161"/>
  <c r="C10" i="161"/>
  <c r="E6" i="161"/>
  <c r="E8" i="152"/>
  <c r="D8" i="152"/>
  <c r="H7" i="152"/>
  <c r="H8" i="152"/>
  <c r="G7" i="152"/>
  <c r="G8" i="152"/>
  <c r="F7" i="152"/>
  <c r="H15" i="161"/>
  <c r="G15" i="161"/>
  <c r="F15" i="161"/>
  <c r="H23" i="42"/>
  <c r="G23" i="42"/>
  <c r="F23" i="42"/>
  <c r="E22" i="42"/>
  <c r="H21" i="42"/>
  <c r="H22" i="42"/>
  <c r="G21" i="42"/>
  <c r="G22" i="42"/>
  <c r="F21" i="42"/>
  <c r="E6" i="152"/>
  <c r="D6" i="152"/>
  <c r="H5" i="152"/>
  <c r="H6" i="152"/>
  <c r="G5" i="152"/>
  <c r="G6" i="152"/>
  <c r="F5" i="152"/>
  <c r="H11" i="161"/>
  <c r="G11" i="161"/>
  <c r="F11" i="161"/>
  <c r="D8" i="117"/>
  <c r="H11" i="117"/>
  <c r="G11" i="117"/>
  <c r="F11" i="117"/>
  <c r="E13" i="117"/>
  <c r="H12" i="117"/>
  <c r="G12" i="117"/>
  <c r="F12" i="117"/>
  <c r="I38" i="57"/>
  <c r="J38" i="57"/>
  <c r="I37" i="57"/>
  <c r="J37" i="57"/>
  <c r="I10" i="145"/>
  <c r="J10" i="145"/>
  <c r="F4" i="181"/>
  <c r="I3" i="181"/>
  <c r="I4" i="181"/>
  <c r="J3" i="181"/>
  <c r="J4" i="181"/>
  <c r="C12" i="157"/>
  <c r="C14" i="157" s="1"/>
  <c r="D12" i="157"/>
  <c r="B14" i="157" s="1"/>
  <c r="G12" i="157"/>
  <c r="H12" i="157"/>
  <c r="F8" i="184"/>
  <c r="I7" i="184"/>
  <c r="I8" i="184"/>
  <c r="J7" i="184"/>
  <c r="J8" i="184"/>
  <c r="I17" i="46"/>
  <c r="J17" i="46"/>
  <c r="D6" i="171"/>
  <c r="E8" i="171"/>
  <c r="C8" i="171"/>
  <c r="I7" i="171"/>
  <c r="J7" i="171"/>
  <c r="I11" i="157"/>
  <c r="J11" i="157"/>
  <c r="I5" i="171"/>
  <c r="J5" i="171"/>
  <c r="F14" i="183"/>
  <c r="I13" i="183"/>
  <c r="I14" i="183"/>
  <c r="J13" i="183"/>
  <c r="J14" i="183"/>
  <c r="F12" i="183"/>
  <c r="I11" i="183"/>
  <c r="I12" i="183"/>
  <c r="J11" i="183"/>
  <c r="J12" i="183"/>
  <c r="I8" i="170"/>
  <c r="J8" i="170"/>
  <c r="I63" i="20"/>
  <c r="J63" i="20"/>
  <c r="I62" i="20"/>
  <c r="J62" i="20"/>
  <c r="D6" i="150"/>
  <c r="B8" i="150"/>
  <c r="I7" i="150"/>
  <c r="J7" i="150"/>
  <c r="I9" i="183"/>
  <c r="J9" i="183"/>
  <c r="I59" i="20"/>
  <c r="J59" i="20"/>
  <c r="F6" i="184"/>
  <c r="I5" i="184"/>
  <c r="I6" i="184"/>
  <c r="J5" i="184"/>
  <c r="J6" i="184"/>
  <c r="I6" i="170"/>
  <c r="J6" i="170"/>
  <c r="I22" i="170"/>
  <c r="J22" i="170"/>
  <c r="D6" i="183"/>
  <c r="B8" i="183"/>
  <c r="E8" i="183"/>
  <c r="I7" i="183"/>
  <c r="J7" i="183"/>
  <c r="G55" i="20"/>
  <c r="G57" i="20" s="1"/>
  <c r="H55" i="20"/>
  <c r="H57" i="20" s="1"/>
  <c r="D55" i="20"/>
  <c r="B57" i="20" s="1"/>
  <c r="C12" i="161"/>
  <c r="C14" i="161" s="1"/>
  <c r="E10" i="161"/>
  <c r="I13" i="161"/>
  <c r="J13" i="161"/>
  <c r="I9" i="161"/>
  <c r="J9" i="161"/>
  <c r="I3" i="184"/>
  <c r="J3" i="184"/>
  <c r="F4" i="184"/>
  <c r="I2" i="184"/>
  <c r="I4" i="184"/>
  <c r="J2" i="184"/>
  <c r="J4" i="184"/>
  <c r="G4" i="184"/>
  <c r="H4" i="184"/>
  <c r="D4" i="184"/>
  <c r="I5" i="183"/>
  <c r="J5" i="183"/>
  <c r="I5" i="150"/>
  <c r="J5" i="150"/>
  <c r="I3" i="183"/>
  <c r="J3" i="183"/>
  <c r="F4" i="183"/>
  <c r="F6" i="183"/>
  <c r="F8" i="183"/>
  <c r="F10" i="183"/>
  <c r="I2" i="183"/>
  <c r="I4" i="183"/>
  <c r="J2" i="183"/>
  <c r="J4" i="183"/>
  <c r="G4" i="183"/>
  <c r="G6" i="183"/>
  <c r="G8" i="183"/>
  <c r="G10" i="183"/>
  <c r="H4" i="183"/>
  <c r="H6" i="183"/>
  <c r="H8" i="183"/>
  <c r="H10" i="183"/>
  <c r="D4" i="183"/>
  <c r="B6" i="183"/>
  <c r="I21" i="170"/>
  <c r="J21" i="170"/>
  <c r="I23" i="161"/>
  <c r="J23" i="161"/>
  <c r="I60" i="20"/>
  <c r="J60" i="20"/>
  <c r="F55" i="20"/>
  <c r="F57" i="20" s="1"/>
  <c r="I54" i="20"/>
  <c r="J54" i="20"/>
  <c r="I12" i="181"/>
  <c r="J12" i="181"/>
  <c r="I13" i="181"/>
  <c r="J13" i="181"/>
  <c r="C8" i="181"/>
  <c r="E8" i="181"/>
  <c r="E7" i="181"/>
  <c r="I2" i="181"/>
  <c r="J2" i="181"/>
  <c r="D4" i="171"/>
  <c r="F4" i="171"/>
  <c r="F6" i="171"/>
  <c r="F8" i="171"/>
  <c r="I3" i="171"/>
  <c r="I4" i="171"/>
  <c r="I6" i="171"/>
  <c r="I8" i="171"/>
  <c r="J3" i="171"/>
  <c r="J4" i="171"/>
  <c r="D10" i="157"/>
  <c r="B12" i="157"/>
  <c r="B10" i="157"/>
  <c r="I29" i="46"/>
  <c r="J29" i="46"/>
  <c r="H28" i="46"/>
  <c r="G28" i="46"/>
  <c r="F28" i="46"/>
  <c r="F10" i="157"/>
  <c r="F12" i="157"/>
  <c r="I9" i="157"/>
  <c r="I10" i="157"/>
  <c r="J9" i="157"/>
  <c r="J10" i="157"/>
  <c r="I21" i="161"/>
  <c r="J21" i="161"/>
  <c r="I19" i="161"/>
  <c r="J19" i="161"/>
  <c r="I17" i="161"/>
  <c r="J17" i="161"/>
  <c r="F6" i="177"/>
  <c r="I5" i="177"/>
  <c r="I6" i="177"/>
  <c r="J5" i="177"/>
  <c r="J6" i="177"/>
  <c r="F4" i="177"/>
  <c r="G4" i="177"/>
  <c r="H4" i="177"/>
  <c r="I3" i="177"/>
  <c r="J3" i="177"/>
  <c r="I2" i="177"/>
  <c r="I4" i="177"/>
  <c r="J2" i="177"/>
  <c r="J4" i="177"/>
  <c r="I37" i="42"/>
  <c r="J37" i="42"/>
  <c r="I36" i="42"/>
  <c r="J36" i="42"/>
  <c r="I49" i="42"/>
  <c r="J49" i="42"/>
  <c r="I48" i="42"/>
  <c r="J48" i="42"/>
  <c r="I46" i="42"/>
  <c r="J46" i="42"/>
  <c r="I45" i="42"/>
  <c r="J45" i="42"/>
  <c r="I43" i="42"/>
  <c r="J43" i="42"/>
  <c r="I42" i="42"/>
  <c r="J42" i="42"/>
  <c r="I40" i="42"/>
  <c r="J40" i="42"/>
  <c r="I39" i="42"/>
  <c r="J39" i="42"/>
  <c r="D22" i="42"/>
  <c r="I39" i="57"/>
  <c r="I40" i="57" s="1"/>
  <c r="J39" i="57"/>
  <c r="J40" i="57" s="1"/>
  <c r="I36" i="57"/>
  <c r="J36" i="57"/>
  <c r="I53" i="20"/>
  <c r="J53" i="20"/>
  <c r="I9" i="117"/>
  <c r="J9" i="117"/>
  <c r="I52" i="20"/>
  <c r="J52" i="20"/>
  <c r="E8" i="161"/>
  <c r="D8" i="161"/>
  <c r="H6" i="161"/>
  <c r="H8" i="161"/>
  <c r="G6" i="161"/>
  <c r="G8" i="161"/>
  <c r="F6" i="161"/>
  <c r="F8" i="152"/>
  <c r="I7" i="152"/>
  <c r="I8" i="152"/>
  <c r="J7" i="152"/>
  <c r="J8" i="152"/>
  <c r="I15" i="161"/>
  <c r="J15" i="161"/>
  <c r="I23" i="42"/>
  <c r="J23" i="42"/>
  <c r="F22" i="42"/>
  <c r="I21" i="42"/>
  <c r="I22" i="42"/>
  <c r="J21" i="42"/>
  <c r="J22" i="42"/>
  <c r="F6" i="152"/>
  <c r="I5" i="152"/>
  <c r="I6" i="152"/>
  <c r="J5" i="152"/>
  <c r="J6" i="152"/>
  <c r="I11" i="161"/>
  <c r="J11" i="161"/>
  <c r="I12" i="117"/>
  <c r="J12" i="117"/>
  <c r="I11" i="117"/>
  <c r="J11" i="117"/>
  <c r="J12" i="157"/>
  <c r="I12" i="157"/>
  <c r="E9" i="171"/>
  <c r="E10" i="171"/>
  <c r="D8" i="171"/>
  <c r="B8" i="171"/>
  <c r="J6" i="171"/>
  <c r="J8" i="171"/>
  <c r="B6" i="171"/>
  <c r="J64" i="20"/>
  <c r="J6" i="183"/>
  <c r="I6" i="183"/>
  <c r="D8" i="183"/>
  <c r="B10" i="183"/>
  <c r="E10" i="183"/>
  <c r="D10" i="183"/>
  <c r="J23" i="170"/>
  <c r="J8" i="183"/>
  <c r="J10" i="183"/>
  <c r="I8" i="183"/>
  <c r="I10" i="183"/>
  <c r="J55" i="20"/>
  <c r="J57" i="20" s="1"/>
  <c r="I55" i="20"/>
  <c r="I57" i="20" s="1"/>
  <c r="H10" i="161"/>
  <c r="H12" i="161"/>
  <c r="G10" i="161"/>
  <c r="G12" i="161"/>
  <c r="F10" i="161"/>
  <c r="E12" i="161"/>
  <c r="D12" i="161"/>
  <c r="B16" i="161"/>
  <c r="B15" i="150"/>
  <c r="J61" i="20"/>
  <c r="H7" i="181"/>
  <c r="G7" i="181"/>
  <c r="F7" i="181"/>
  <c r="E9" i="181"/>
  <c r="H8" i="181"/>
  <c r="G8" i="181"/>
  <c r="F8" i="181"/>
  <c r="J14" i="181"/>
  <c r="I28" i="46"/>
  <c r="J28" i="46"/>
  <c r="J30" i="46"/>
  <c r="D4" i="177"/>
  <c r="J38" i="42"/>
  <c r="J41" i="42"/>
  <c r="J44" i="42"/>
  <c r="J47" i="42"/>
  <c r="J50" i="42"/>
  <c r="F8" i="161"/>
  <c r="I6" i="161"/>
  <c r="J13" i="117"/>
  <c r="H9" i="171"/>
  <c r="G9" i="171"/>
  <c r="F9" i="171"/>
  <c r="I9" i="171"/>
  <c r="J9" i="171"/>
  <c r="J10" i="171"/>
  <c r="C13" i="171"/>
  <c r="I10" i="161"/>
  <c r="F12" i="161"/>
  <c r="E15" i="150"/>
  <c r="I8" i="181"/>
  <c r="J8" i="181"/>
  <c r="I7" i="181"/>
  <c r="J7" i="181"/>
  <c r="K41" i="42"/>
  <c r="K44" i="42"/>
  <c r="K47" i="42"/>
  <c r="K50" i="42"/>
  <c r="I8" i="161"/>
  <c r="J6" i="161"/>
  <c r="J8" i="161"/>
  <c r="C14" i="171"/>
  <c r="E14" i="171"/>
  <c r="E13" i="171"/>
  <c r="I12" i="161"/>
  <c r="J10" i="161"/>
  <c r="J12" i="161"/>
  <c r="J9" i="181"/>
  <c r="J10" i="181"/>
  <c r="H13" i="171"/>
  <c r="G13" i="171"/>
  <c r="F13" i="171"/>
  <c r="I13" i="171"/>
  <c r="J13" i="171"/>
  <c r="H14" i="171"/>
  <c r="G14" i="171"/>
  <c r="F14" i="171"/>
  <c r="I14" i="171"/>
  <c r="J14" i="171"/>
  <c r="E15" i="171"/>
  <c r="D5" i="170"/>
  <c r="J15" i="171"/>
  <c r="J16" i="171"/>
  <c r="D24" i="170"/>
  <c r="D7" i="170"/>
  <c r="E24" i="170"/>
  <c r="B26" i="170"/>
  <c r="E7" i="170"/>
  <c r="H7" i="170"/>
  <c r="G7" i="170"/>
  <c r="F7" i="170"/>
  <c r="E26" i="170"/>
  <c r="F24" i="170"/>
  <c r="G24" i="170"/>
  <c r="H24" i="170"/>
  <c r="I7" i="170"/>
  <c r="I24" i="170"/>
  <c r="J24" i="170"/>
  <c r="J26" i="170"/>
  <c r="J7" i="170"/>
  <c r="E28" i="197" l="1"/>
  <c r="D28" i="197" s="1"/>
  <c r="H27" i="197"/>
  <c r="H28" i="197" s="1"/>
  <c r="G27" i="197"/>
  <c r="G28" i="197" s="1"/>
  <c r="F27" i="197"/>
  <c r="E25" i="197"/>
  <c r="H24" i="197"/>
  <c r="G24" i="197"/>
  <c r="F24" i="197"/>
  <c r="H23" i="197"/>
  <c r="G23" i="197"/>
  <c r="F23" i="197"/>
  <c r="E42" i="206"/>
  <c r="D42" i="206" s="1"/>
  <c r="H41" i="206"/>
  <c r="H42" i="206" s="1"/>
  <c r="G41" i="206"/>
  <c r="G42" i="206" s="1"/>
  <c r="F41" i="206"/>
  <c r="K38" i="206"/>
  <c r="E38" i="206"/>
  <c r="H37" i="206"/>
  <c r="G37" i="206"/>
  <c r="F37" i="206"/>
  <c r="K34" i="206"/>
  <c r="E34" i="206"/>
  <c r="H33" i="206"/>
  <c r="G33" i="206"/>
  <c r="F33" i="206"/>
  <c r="E12" i="194"/>
  <c r="D12" i="194" s="1"/>
  <c r="H11" i="194"/>
  <c r="H12" i="194" s="1"/>
  <c r="G11" i="194"/>
  <c r="G12" i="194" s="1"/>
  <c r="F11" i="194"/>
  <c r="E34" i="161"/>
  <c r="D34" i="161" s="1"/>
  <c r="H33" i="161"/>
  <c r="H34" i="161" s="1"/>
  <c r="G33" i="161"/>
  <c r="G34" i="161" s="1"/>
  <c r="F33" i="161"/>
  <c r="K30" i="206"/>
  <c r="E30" i="206"/>
  <c r="H29" i="206"/>
  <c r="G29" i="206"/>
  <c r="F29" i="206"/>
  <c r="E6" i="202"/>
  <c r="D6" i="202" s="1"/>
  <c r="H5" i="202"/>
  <c r="H6" i="202" s="1"/>
  <c r="G5" i="202"/>
  <c r="G6" i="202" s="1"/>
  <c r="F5" i="202"/>
  <c r="H10" i="150"/>
  <c r="G10" i="150"/>
  <c r="F10" i="150"/>
  <c r="E12" i="150"/>
  <c r="H11" i="150"/>
  <c r="G11" i="150"/>
  <c r="F11" i="150"/>
  <c r="E8" i="150"/>
  <c r="D8" i="150" s="1"/>
  <c r="K26" i="206"/>
  <c r="E26" i="206"/>
  <c r="E4" i="206"/>
  <c r="D4" i="206" s="1"/>
  <c r="H2" i="206"/>
  <c r="G2" i="206"/>
  <c r="F2" i="206"/>
  <c r="H3" i="206"/>
  <c r="G3" i="206"/>
  <c r="F3" i="206"/>
  <c r="H5" i="206"/>
  <c r="G5" i="206"/>
  <c r="F5" i="206"/>
  <c r="H6" i="206"/>
  <c r="G6" i="206"/>
  <c r="F6" i="206"/>
  <c r="E9" i="206"/>
  <c r="H7" i="206"/>
  <c r="G7" i="206"/>
  <c r="F7" i="206"/>
  <c r="H8" i="206"/>
  <c r="G8" i="206"/>
  <c r="F8" i="206"/>
  <c r="H10" i="206"/>
  <c r="G10" i="206"/>
  <c r="F10" i="206"/>
  <c r="E14" i="206"/>
  <c r="H12" i="206"/>
  <c r="G12" i="206"/>
  <c r="F12" i="206"/>
  <c r="H13" i="206"/>
  <c r="G13" i="206"/>
  <c r="F13" i="206"/>
  <c r="H15" i="206"/>
  <c r="G15" i="206"/>
  <c r="F15" i="206"/>
  <c r="H17" i="206"/>
  <c r="G17" i="206"/>
  <c r="F17" i="206"/>
  <c r="H19" i="206"/>
  <c r="G19" i="206"/>
  <c r="F19" i="206"/>
  <c r="H21" i="206"/>
  <c r="G21" i="206"/>
  <c r="F21" i="206"/>
  <c r="H23" i="206"/>
  <c r="G23" i="206"/>
  <c r="F23" i="206"/>
  <c r="H25" i="206"/>
  <c r="G25" i="206"/>
  <c r="F25" i="206"/>
  <c r="E14" i="157"/>
  <c r="D14" i="157" s="1"/>
  <c r="H13" i="157"/>
  <c r="H14" i="157" s="1"/>
  <c r="G13" i="157"/>
  <c r="G14" i="157" s="1"/>
  <c r="F13" i="157"/>
  <c r="I16" i="157"/>
  <c r="J16" i="157" s="1"/>
  <c r="E6" i="205"/>
  <c r="D6" i="205" s="1"/>
  <c r="H5" i="205"/>
  <c r="H6" i="205" s="1"/>
  <c r="G5" i="205"/>
  <c r="G6" i="205" s="1"/>
  <c r="F5" i="205"/>
  <c r="E6" i="196"/>
  <c r="D6" i="196" s="1"/>
  <c r="H5" i="196"/>
  <c r="H6" i="196" s="1"/>
  <c r="G5" i="196"/>
  <c r="G6" i="196" s="1"/>
  <c r="F5" i="196"/>
  <c r="E4" i="205"/>
  <c r="D4" i="205" s="1"/>
  <c r="H2" i="205"/>
  <c r="G2" i="205"/>
  <c r="F2" i="205"/>
  <c r="H3" i="205"/>
  <c r="G3" i="205"/>
  <c r="F3" i="205"/>
  <c r="E21" i="197"/>
  <c r="H20" i="197"/>
  <c r="G20" i="197"/>
  <c r="F20" i="197"/>
  <c r="H19" i="197"/>
  <c r="G19" i="197"/>
  <c r="F19" i="197"/>
  <c r="H16" i="197"/>
  <c r="G16" i="197"/>
  <c r="F16" i="197"/>
  <c r="E10" i="194"/>
  <c r="D10" i="194" s="1"/>
  <c r="H9" i="194"/>
  <c r="H10" i="194" s="1"/>
  <c r="G9" i="194"/>
  <c r="G10" i="194" s="1"/>
  <c r="F9" i="194"/>
  <c r="E12" i="203"/>
  <c r="D12" i="203" s="1"/>
  <c r="H11" i="203"/>
  <c r="H12" i="203" s="1"/>
  <c r="G11" i="203"/>
  <c r="G12" i="203" s="1"/>
  <c r="F11" i="203"/>
  <c r="E10" i="203"/>
  <c r="D10" i="203" s="1"/>
  <c r="H9" i="203"/>
  <c r="H10" i="203" s="1"/>
  <c r="G9" i="203"/>
  <c r="G10" i="203" s="1"/>
  <c r="F9" i="203"/>
  <c r="E8" i="203"/>
  <c r="D8" i="203" s="1"/>
  <c r="H6" i="203"/>
  <c r="G6" i="203"/>
  <c r="F6" i="203"/>
  <c r="H7" i="203"/>
  <c r="G7" i="203"/>
  <c r="F7" i="203"/>
  <c r="H6" i="204"/>
  <c r="G6" i="204"/>
  <c r="F6" i="204"/>
  <c r="C8" i="204"/>
  <c r="B8" i="204"/>
  <c r="D8" i="204"/>
  <c r="H7" i="204"/>
  <c r="H8" i="204" s="1"/>
  <c r="G7" i="204"/>
  <c r="G8" i="204" s="1"/>
  <c r="F7" i="204"/>
  <c r="H2" i="204"/>
  <c r="G2" i="204"/>
  <c r="F2" i="204"/>
  <c r="E4" i="204"/>
  <c r="H3" i="204"/>
  <c r="G3" i="204"/>
  <c r="F3" i="204"/>
  <c r="E13" i="197"/>
  <c r="H12" i="197"/>
  <c r="G12" i="197"/>
  <c r="F12" i="197"/>
  <c r="E4" i="203"/>
  <c r="H3" i="203"/>
  <c r="G3" i="203"/>
  <c r="F3" i="203"/>
  <c r="H2" i="203"/>
  <c r="G2" i="203"/>
  <c r="F2" i="203"/>
  <c r="H9" i="195"/>
  <c r="G9" i="195"/>
  <c r="F9" i="195"/>
  <c r="E28" i="42"/>
  <c r="D28" i="42" s="1"/>
  <c r="H27" i="42"/>
  <c r="H28" i="42" s="1"/>
  <c r="G27" i="42"/>
  <c r="G28" i="42" s="1"/>
  <c r="F27" i="42"/>
  <c r="H7" i="195"/>
  <c r="G7" i="195"/>
  <c r="F7" i="195"/>
  <c r="E25" i="42"/>
  <c r="H24" i="42"/>
  <c r="G24" i="42"/>
  <c r="F24" i="42"/>
  <c r="H3" i="196"/>
  <c r="G3" i="196"/>
  <c r="F3" i="196"/>
  <c r="E4" i="202"/>
  <c r="D4" i="202" s="1"/>
  <c r="H2" i="202"/>
  <c r="G2" i="202"/>
  <c r="F2" i="202"/>
  <c r="H3" i="202"/>
  <c r="G3" i="202"/>
  <c r="F3" i="202"/>
  <c r="C9" i="202"/>
  <c r="J8" i="202"/>
  <c r="H14" i="202"/>
  <c r="G14" i="202"/>
  <c r="F14" i="202"/>
  <c r="E16" i="202"/>
  <c r="H15" i="202"/>
  <c r="G15" i="202"/>
  <c r="F15" i="202"/>
  <c r="E18" i="199"/>
  <c r="H17" i="199"/>
  <c r="G17" i="199"/>
  <c r="F17" i="199"/>
  <c r="E8" i="145"/>
  <c r="D8" i="145" s="1"/>
  <c r="H7" i="145"/>
  <c r="H8" i="145" s="1"/>
  <c r="G7" i="145"/>
  <c r="G8" i="145" s="1"/>
  <c r="F7" i="145"/>
  <c r="E12" i="145"/>
  <c r="H11" i="145"/>
  <c r="G11" i="145"/>
  <c r="F11" i="145"/>
  <c r="E33" i="197"/>
  <c r="H32" i="197"/>
  <c r="G32" i="197"/>
  <c r="F32" i="197"/>
  <c r="H20" i="199"/>
  <c r="H21" i="199" s="1"/>
  <c r="G20" i="199"/>
  <c r="G21" i="199" s="1"/>
  <c r="F20" i="199"/>
  <c r="F21" i="199" s="1"/>
  <c r="H6" i="110"/>
  <c r="G6" i="110"/>
  <c r="F6" i="110"/>
  <c r="H40" i="161"/>
  <c r="G40" i="161"/>
  <c r="F40" i="161"/>
  <c r="E42" i="161"/>
  <c r="H41" i="161"/>
  <c r="G41" i="161"/>
  <c r="F41" i="161"/>
  <c r="H13" i="170"/>
  <c r="G13" i="170"/>
  <c r="F13" i="170"/>
  <c r="E15" i="170"/>
  <c r="H14" i="170"/>
  <c r="G14" i="170"/>
  <c r="F14" i="170"/>
  <c r="H10" i="170"/>
  <c r="G10" i="170"/>
  <c r="F10" i="170"/>
  <c r="H31" i="161"/>
  <c r="G31" i="161"/>
  <c r="F31" i="161"/>
  <c r="H17" i="170"/>
  <c r="G17" i="170"/>
  <c r="F17" i="170"/>
  <c r="E19" i="170"/>
  <c r="H18" i="170"/>
  <c r="G18" i="170"/>
  <c r="F18" i="170"/>
  <c r="E8" i="194"/>
  <c r="D8" i="194" s="1"/>
  <c r="H7" i="194"/>
  <c r="H8" i="194" s="1"/>
  <c r="G7" i="194"/>
  <c r="G8" i="194" s="1"/>
  <c r="F7" i="194"/>
  <c r="H29" i="161"/>
  <c r="G29" i="161"/>
  <c r="F29" i="161"/>
  <c r="H23" i="199"/>
  <c r="G23" i="199"/>
  <c r="F23" i="199"/>
  <c r="E4" i="199"/>
  <c r="D4" i="199" s="1"/>
  <c r="H2" i="199"/>
  <c r="G2" i="199"/>
  <c r="F2" i="199"/>
  <c r="H3" i="199"/>
  <c r="G3" i="199"/>
  <c r="F3" i="199"/>
  <c r="H5" i="199"/>
  <c r="G5" i="199"/>
  <c r="F5" i="199"/>
  <c r="H6" i="199"/>
  <c r="G6" i="199"/>
  <c r="F6" i="199"/>
  <c r="H7" i="199"/>
  <c r="G7" i="199"/>
  <c r="F7" i="199"/>
  <c r="H8" i="199"/>
  <c r="G8" i="199"/>
  <c r="F8" i="199"/>
  <c r="E11" i="199"/>
  <c r="H9" i="199"/>
  <c r="G9" i="199"/>
  <c r="F9" i="199"/>
  <c r="H10" i="199"/>
  <c r="G10" i="199"/>
  <c r="F10" i="199"/>
  <c r="H12" i="199"/>
  <c r="G12" i="199"/>
  <c r="F12" i="199"/>
  <c r="H14" i="199"/>
  <c r="G14" i="199"/>
  <c r="F14" i="199"/>
  <c r="H16" i="199"/>
  <c r="G16" i="199"/>
  <c r="F16" i="199"/>
  <c r="E25" i="199"/>
  <c r="H24" i="199"/>
  <c r="G24" i="199"/>
  <c r="F24" i="199"/>
  <c r="H27" i="199"/>
  <c r="G27" i="199"/>
  <c r="F27" i="199"/>
  <c r="E29" i="199"/>
  <c r="H28" i="199"/>
  <c r="G28" i="199"/>
  <c r="F28" i="199"/>
  <c r="H30" i="199"/>
  <c r="G30" i="199"/>
  <c r="F30" i="199"/>
  <c r="E32" i="199"/>
  <c r="H31" i="199"/>
  <c r="G31" i="199"/>
  <c r="F31" i="199"/>
  <c r="H33" i="199"/>
  <c r="G33" i="199"/>
  <c r="F33" i="199"/>
  <c r="E35" i="199"/>
  <c r="H34" i="199"/>
  <c r="G34" i="199"/>
  <c r="F34" i="199"/>
  <c r="H35" i="197"/>
  <c r="G35" i="197"/>
  <c r="F35" i="197"/>
  <c r="E37" i="197"/>
  <c r="H36" i="197"/>
  <c r="G36" i="197"/>
  <c r="F36" i="197"/>
  <c r="E4" i="197"/>
  <c r="H2" i="197"/>
  <c r="G2" i="197"/>
  <c r="F2" i="197"/>
  <c r="H3" i="197"/>
  <c r="G3" i="197"/>
  <c r="F3" i="197"/>
  <c r="H5" i="197"/>
  <c r="G5" i="197"/>
  <c r="F5" i="197"/>
  <c r="H7" i="197"/>
  <c r="G7" i="197"/>
  <c r="F7" i="197"/>
  <c r="H9" i="197"/>
  <c r="G9" i="197"/>
  <c r="F9" i="197"/>
  <c r="H11" i="197"/>
  <c r="G11" i="197"/>
  <c r="F11" i="197"/>
  <c r="H31" i="197"/>
  <c r="G31" i="197"/>
  <c r="F31" i="197"/>
  <c r="H39" i="197"/>
  <c r="G39" i="197"/>
  <c r="F39" i="197"/>
  <c r="E41" i="197"/>
  <c r="H40" i="197"/>
  <c r="G40" i="197"/>
  <c r="F40" i="197"/>
  <c r="H42" i="197"/>
  <c r="G42" i="197"/>
  <c r="F42" i="197"/>
  <c r="E44" i="197"/>
  <c r="H43" i="197"/>
  <c r="G43" i="197"/>
  <c r="F43" i="197"/>
  <c r="H46" i="197"/>
  <c r="G46" i="197"/>
  <c r="F46" i="197"/>
  <c r="K47" i="197"/>
  <c r="K50" i="197" s="1"/>
  <c r="K53" i="197" s="1"/>
  <c r="K56" i="197" s="1"/>
  <c r="K59" i="197" s="1"/>
  <c r="K62" i="197" s="1"/>
  <c r="K65" i="197" s="1"/>
  <c r="K68" i="197" s="1"/>
  <c r="K71" i="197" s="1"/>
  <c r="E47" i="197"/>
  <c r="H49" i="197"/>
  <c r="G49" i="197"/>
  <c r="F49" i="197"/>
  <c r="E51" i="197"/>
  <c r="H50" i="197"/>
  <c r="G50" i="197"/>
  <c r="F50" i="197"/>
  <c r="D65" i="197"/>
  <c r="B66" i="197" s="1"/>
  <c r="D62" i="197"/>
  <c r="B63" i="197" s="1"/>
  <c r="D59" i="197"/>
  <c r="B60" i="197" s="1"/>
  <c r="D56" i="197"/>
  <c r="D53" i="197"/>
  <c r="B51" i="197"/>
  <c r="H52" i="197"/>
  <c r="G52" i="197"/>
  <c r="F52" i="197"/>
  <c r="E53" i="197"/>
  <c r="H55" i="197"/>
  <c r="G55" i="197"/>
  <c r="F55" i="197"/>
  <c r="E56" i="197"/>
  <c r="H58" i="197"/>
  <c r="G58" i="197"/>
  <c r="F58" i="197"/>
  <c r="E59" i="197"/>
  <c r="H61" i="197"/>
  <c r="G61" i="197"/>
  <c r="F61" i="197"/>
  <c r="E62" i="197"/>
  <c r="H64" i="197"/>
  <c r="G64" i="197"/>
  <c r="F64" i="197"/>
  <c r="E65" i="197"/>
  <c r="H67" i="197"/>
  <c r="G67" i="197"/>
  <c r="F67" i="197"/>
  <c r="H70" i="197"/>
  <c r="G70" i="197"/>
  <c r="F70" i="197"/>
  <c r="H31" i="42"/>
  <c r="G31" i="42"/>
  <c r="F31" i="42"/>
  <c r="E33" i="42"/>
  <c r="H32" i="42"/>
  <c r="G32" i="42"/>
  <c r="F32" i="42"/>
  <c r="H9" i="170"/>
  <c r="G9" i="170"/>
  <c r="F9" i="170"/>
  <c r="C13" i="195"/>
  <c r="C6" i="195"/>
  <c r="C8" i="195" s="1"/>
  <c r="C10" i="195" s="1"/>
  <c r="H5" i="195"/>
  <c r="G5" i="195"/>
  <c r="F5" i="195"/>
  <c r="J6" i="150"/>
  <c r="J8" i="150" s="1"/>
  <c r="I6" i="150"/>
  <c r="I8" i="150" s="1"/>
  <c r="F6" i="150"/>
  <c r="F8" i="150" s="1"/>
  <c r="G6" i="150"/>
  <c r="G8" i="150" s="1"/>
  <c r="H6" i="150"/>
  <c r="H8" i="150" s="1"/>
  <c r="H16" i="150"/>
  <c r="G16" i="150"/>
  <c r="F16" i="150"/>
  <c r="E18" i="150"/>
  <c r="H17" i="150"/>
  <c r="G17" i="150"/>
  <c r="F17" i="150"/>
  <c r="H14" i="184"/>
  <c r="G14" i="184"/>
  <c r="F14" i="184"/>
  <c r="E16" i="184"/>
  <c r="H15" i="184"/>
  <c r="G15" i="184"/>
  <c r="F15" i="184"/>
  <c r="H10" i="184"/>
  <c r="G10" i="184"/>
  <c r="F10" i="184"/>
  <c r="E12" i="184"/>
  <c r="H11" i="184"/>
  <c r="G11" i="184"/>
  <c r="F11" i="184"/>
  <c r="H27" i="161"/>
  <c r="G27" i="161"/>
  <c r="F27" i="161"/>
  <c r="E4" i="195"/>
  <c r="H3" i="195"/>
  <c r="G3" i="195"/>
  <c r="F3" i="195"/>
  <c r="C16" i="161"/>
  <c r="C18" i="161" s="1"/>
  <c r="C20" i="161" s="1"/>
  <c r="C22" i="161" s="1"/>
  <c r="C24" i="161" s="1"/>
  <c r="C26" i="161" s="1"/>
  <c r="C28" i="161" s="1"/>
  <c r="C30" i="161" s="1"/>
  <c r="C32" i="161" s="1"/>
  <c r="E14" i="161"/>
  <c r="H36" i="161"/>
  <c r="G36" i="161"/>
  <c r="F36" i="161"/>
  <c r="E38" i="161"/>
  <c r="H37" i="161"/>
  <c r="G37" i="161"/>
  <c r="F37" i="161"/>
  <c r="H5" i="194"/>
  <c r="G5" i="194"/>
  <c r="F5" i="194"/>
  <c r="H25" i="46"/>
  <c r="G25" i="46"/>
  <c r="F25" i="46"/>
  <c r="H13" i="150"/>
  <c r="G13" i="150"/>
  <c r="F13" i="150"/>
  <c r="H2" i="196"/>
  <c r="H4" i="196" s="1"/>
  <c r="G2" i="196"/>
  <c r="G4" i="196" s="1"/>
  <c r="F2" i="196"/>
  <c r="F4" i="196" s="1"/>
  <c r="J9" i="196"/>
  <c r="H2" i="195"/>
  <c r="G2" i="195"/>
  <c r="F2" i="195"/>
  <c r="E4" i="194"/>
  <c r="H2" i="194"/>
  <c r="G2" i="194"/>
  <c r="F2" i="194"/>
  <c r="H3" i="194"/>
  <c r="G3" i="194"/>
  <c r="F3" i="194"/>
  <c r="H23" i="46"/>
  <c r="G23" i="46"/>
  <c r="F23" i="46"/>
  <c r="H25" i="161"/>
  <c r="G25" i="161"/>
  <c r="F25" i="161"/>
  <c r="H21" i="46"/>
  <c r="G21" i="46"/>
  <c r="F21" i="46"/>
  <c r="E18" i="46"/>
  <c r="C20" i="46"/>
  <c r="C22" i="46" s="1"/>
  <c r="C24" i="46" s="1"/>
  <c r="C26" i="46" s="1"/>
  <c r="H18" i="46"/>
  <c r="G18" i="46"/>
  <c r="F18" i="46"/>
  <c r="E20" i="46"/>
  <c r="H19" i="46"/>
  <c r="H20" i="46" s="1"/>
  <c r="G19" i="46"/>
  <c r="G20" i="46" s="1"/>
  <c r="F19" i="46"/>
  <c r="F28" i="197" l="1"/>
  <c r="I27" i="197"/>
  <c r="I28" i="197" s="1"/>
  <c r="J27" i="197"/>
  <c r="J28" i="197" s="1"/>
  <c r="I24" i="197"/>
  <c r="J24" i="197"/>
  <c r="I23" i="197"/>
  <c r="J23" i="197"/>
  <c r="F42" i="206"/>
  <c r="I41" i="206"/>
  <c r="I42" i="206" s="1"/>
  <c r="J41" i="206"/>
  <c r="J42" i="206" s="1"/>
  <c r="E39" i="206"/>
  <c r="H38" i="206"/>
  <c r="G38" i="206"/>
  <c r="F38" i="206"/>
  <c r="I37" i="206"/>
  <c r="J37" i="206"/>
  <c r="E35" i="206"/>
  <c r="H34" i="206"/>
  <c r="G34" i="206"/>
  <c r="F34" i="206"/>
  <c r="I33" i="206"/>
  <c r="J33" i="206"/>
  <c r="F12" i="194"/>
  <c r="I11" i="194"/>
  <c r="I12" i="194" s="1"/>
  <c r="J11" i="194"/>
  <c r="J12" i="194" s="1"/>
  <c r="F34" i="161"/>
  <c r="I33" i="161"/>
  <c r="I34" i="161" s="1"/>
  <c r="J33" i="161"/>
  <c r="J34" i="161" s="1"/>
  <c r="E31" i="206"/>
  <c r="H30" i="206"/>
  <c r="G30" i="206"/>
  <c r="F30" i="206"/>
  <c r="I29" i="206"/>
  <c r="J29" i="206"/>
  <c r="F6" i="202"/>
  <c r="I5" i="202"/>
  <c r="I6" i="202" s="1"/>
  <c r="J5" i="202"/>
  <c r="J6" i="202" s="1"/>
  <c r="I10" i="150"/>
  <c r="J10" i="150"/>
  <c r="I11" i="150"/>
  <c r="J11" i="150"/>
  <c r="E27" i="206"/>
  <c r="H26" i="206"/>
  <c r="G26" i="206"/>
  <c r="F26" i="206"/>
  <c r="I25" i="206"/>
  <c r="J25" i="206"/>
  <c r="I23" i="206"/>
  <c r="J23" i="206"/>
  <c r="I21" i="206"/>
  <c r="J21" i="206"/>
  <c r="I19" i="206"/>
  <c r="J19" i="206"/>
  <c r="I17" i="206"/>
  <c r="J17" i="206"/>
  <c r="I15" i="206"/>
  <c r="J15" i="206"/>
  <c r="I13" i="206"/>
  <c r="J13" i="206"/>
  <c r="F14" i="206"/>
  <c r="F16" i="206" s="1"/>
  <c r="F18" i="206" s="1"/>
  <c r="F20" i="206" s="1"/>
  <c r="F22" i="206" s="1"/>
  <c r="F24" i="206" s="1"/>
  <c r="I12" i="206"/>
  <c r="I14" i="206" s="1"/>
  <c r="I16" i="206" s="1"/>
  <c r="I18" i="206" s="1"/>
  <c r="I20" i="206" s="1"/>
  <c r="I22" i="206" s="1"/>
  <c r="I24" i="206" s="1"/>
  <c r="J12" i="206"/>
  <c r="J14" i="206" s="1"/>
  <c r="J16" i="206" s="1"/>
  <c r="J18" i="206" s="1"/>
  <c r="J20" i="206" s="1"/>
  <c r="J22" i="206" s="1"/>
  <c r="J24" i="206" s="1"/>
  <c r="G14" i="206"/>
  <c r="G16" i="206" s="1"/>
  <c r="G18" i="206" s="1"/>
  <c r="G20" i="206" s="1"/>
  <c r="G22" i="206" s="1"/>
  <c r="G24" i="206" s="1"/>
  <c r="H14" i="206"/>
  <c r="H16" i="206" s="1"/>
  <c r="H18" i="206" s="1"/>
  <c r="H20" i="206" s="1"/>
  <c r="H22" i="206" s="1"/>
  <c r="H24" i="206" s="1"/>
  <c r="E16" i="206"/>
  <c r="D14" i="206"/>
  <c r="B16" i="206" s="1"/>
  <c r="I10" i="206"/>
  <c r="J10" i="206"/>
  <c r="I8" i="206"/>
  <c r="J8" i="206"/>
  <c r="F9" i="206"/>
  <c r="F11" i="206" s="1"/>
  <c r="I7" i="206"/>
  <c r="I9" i="206" s="1"/>
  <c r="I11" i="206" s="1"/>
  <c r="J7" i="206"/>
  <c r="J9" i="206" s="1"/>
  <c r="J11" i="206" s="1"/>
  <c r="G9" i="206"/>
  <c r="G11" i="206" s="1"/>
  <c r="H9" i="206"/>
  <c r="H11" i="206" s="1"/>
  <c r="E11" i="206"/>
  <c r="D11" i="206" s="1"/>
  <c r="D9" i="206"/>
  <c r="B11" i="206" s="1"/>
  <c r="I6" i="206"/>
  <c r="J6" i="206"/>
  <c r="I5" i="206"/>
  <c r="J5" i="206"/>
  <c r="I3" i="206"/>
  <c r="J3" i="206"/>
  <c r="F4" i="206"/>
  <c r="I2" i="206"/>
  <c r="I4" i="206" s="1"/>
  <c r="J2" i="206"/>
  <c r="J4" i="206" s="1"/>
  <c r="G4" i="206"/>
  <c r="H4" i="206"/>
  <c r="F14" i="157"/>
  <c r="I13" i="157"/>
  <c r="I14" i="157" s="1"/>
  <c r="J13" i="157"/>
  <c r="J14" i="157" s="1"/>
  <c r="C18" i="157"/>
  <c r="E18" i="157" s="1"/>
  <c r="E17" i="157"/>
  <c r="F6" i="205"/>
  <c r="I5" i="205"/>
  <c r="I6" i="205" s="1"/>
  <c r="J5" i="205"/>
  <c r="J6" i="205" s="1"/>
  <c r="F6" i="196"/>
  <c r="I5" i="196"/>
  <c r="I6" i="196" s="1"/>
  <c r="J5" i="196"/>
  <c r="J6" i="196" s="1"/>
  <c r="I3" i="205"/>
  <c r="J3" i="205"/>
  <c r="F4" i="205"/>
  <c r="I2" i="205"/>
  <c r="I4" i="205" s="1"/>
  <c r="J2" i="205"/>
  <c r="J4" i="205" s="1"/>
  <c r="G4" i="205"/>
  <c r="H4" i="205"/>
  <c r="I20" i="197"/>
  <c r="J20" i="197"/>
  <c r="I19" i="197"/>
  <c r="J19" i="197"/>
  <c r="I16" i="197"/>
  <c r="J16" i="197"/>
  <c r="J17" i="197" s="1"/>
  <c r="F10" i="194"/>
  <c r="I9" i="194"/>
  <c r="I10" i="194" s="1"/>
  <c r="J9" i="194"/>
  <c r="J10" i="194" s="1"/>
  <c r="F12" i="203"/>
  <c r="I11" i="203"/>
  <c r="I12" i="203" s="1"/>
  <c r="J11" i="203"/>
  <c r="J12" i="203" s="1"/>
  <c r="F10" i="203"/>
  <c r="I9" i="203"/>
  <c r="I10" i="203" s="1"/>
  <c r="J9" i="203"/>
  <c r="J10" i="203" s="1"/>
  <c r="I7" i="203"/>
  <c r="J7" i="203"/>
  <c r="F8" i="203"/>
  <c r="I6" i="203"/>
  <c r="I8" i="203" s="1"/>
  <c r="J6" i="203"/>
  <c r="J8" i="203" s="1"/>
  <c r="G8" i="203"/>
  <c r="H8" i="203"/>
  <c r="I6" i="204"/>
  <c r="J6" i="204"/>
  <c r="I7" i="204"/>
  <c r="I8" i="204" s="1"/>
  <c r="F8" i="204"/>
  <c r="J7" i="204"/>
  <c r="J8" i="204" s="1"/>
  <c r="I3" i="204"/>
  <c r="J3" i="204"/>
  <c r="I2" i="204"/>
  <c r="J2" i="204"/>
  <c r="I12" i="197"/>
  <c r="J12" i="197"/>
  <c r="I3" i="203"/>
  <c r="J3" i="203"/>
  <c r="J4" i="203" s="1"/>
  <c r="J5" i="203" s="1"/>
  <c r="I2" i="203"/>
  <c r="J2" i="203"/>
  <c r="I9" i="195"/>
  <c r="J9" i="195"/>
  <c r="F28" i="42"/>
  <c r="I27" i="42"/>
  <c r="I28" i="42" s="1"/>
  <c r="J27" i="42"/>
  <c r="J28" i="42" s="1"/>
  <c r="I7" i="195"/>
  <c r="J7" i="195"/>
  <c r="I24" i="42"/>
  <c r="J24" i="42"/>
  <c r="I3" i="196"/>
  <c r="J3" i="196"/>
  <c r="I15" i="202"/>
  <c r="J15" i="202"/>
  <c r="I14" i="202"/>
  <c r="J14" i="202"/>
  <c r="C10" i="202"/>
  <c r="E10" i="202" s="1"/>
  <c r="E9" i="202"/>
  <c r="I3" i="202"/>
  <c r="J3" i="202"/>
  <c r="F4" i="202"/>
  <c r="I2" i="202"/>
  <c r="I4" i="202" s="1"/>
  <c r="J2" i="202"/>
  <c r="J4" i="202" s="1"/>
  <c r="G4" i="202"/>
  <c r="H4" i="202"/>
  <c r="I17" i="199"/>
  <c r="J17" i="199"/>
  <c r="F8" i="145"/>
  <c r="I7" i="145"/>
  <c r="I8" i="145" s="1"/>
  <c r="J7" i="145"/>
  <c r="J8" i="145" s="1"/>
  <c r="I11" i="145"/>
  <c r="J11" i="145"/>
  <c r="J12" i="145" s="1"/>
  <c r="I32" i="197"/>
  <c r="J32" i="197"/>
  <c r="I20" i="199"/>
  <c r="I21" i="199" s="1"/>
  <c r="J20" i="199"/>
  <c r="J21" i="199" s="1"/>
  <c r="I6" i="110"/>
  <c r="J6" i="110"/>
  <c r="J8" i="110" s="1"/>
  <c r="J9" i="110" s="1"/>
  <c r="I41" i="161"/>
  <c r="J41" i="161"/>
  <c r="I40" i="161"/>
  <c r="J40" i="161"/>
  <c r="I14" i="170"/>
  <c r="J14" i="170"/>
  <c r="I13" i="170"/>
  <c r="J13" i="170"/>
  <c r="I10" i="170"/>
  <c r="J10" i="170"/>
  <c r="I31" i="161"/>
  <c r="J31" i="161"/>
  <c r="I18" i="170"/>
  <c r="J18" i="170"/>
  <c r="I17" i="170"/>
  <c r="J17" i="170"/>
  <c r="F8" i="194"/>
  <c r="I7" i="194"/>
  <c r="I8" i="194" s="1"/>
  <c r="J7" i="194"/>
  <c r="J8" i="194" s="1"/>
  <c r="I29" i="161"/>
  <c r="J29" i="161"/>
  <c r="I23" i="199"/>
  <c r="J23" i="199"/>
  <c r="I34" i="199"/>
  <c r="J34" i="199"/>
  <c r="I33" i="199"/>
  <c r="J33" i="199"/>
  <c r="I31" i="199"/>
  <c r="J31" i="199"/>
  <c r="I30" i="199"/>
  <c r="J30" i="199"/>
  <c r="I28" i="199"/>
  <c r="J28" i="199"/>
  <c r="I27" i="199"/>
  <c r="J27" i="199"/>
  <c r="I24" i="199"/>
  <c r="J24" i="199"/>
  <c r="I16" i="199"/>
  <c r="J16" i="199"/>
  <c r="I14" i="199"/>
  <c r="J14" i="199"/>
  <c r="I12" i="199"/>
  <c r="J12" i="199"/>
  <c r="I10" i="199"/>
  <c r="J10" i="199"/>
  <c r="F11" i="199"/>
  <c r="F13" i="199" s="1"/>
  <c r="F15" i="199" s="1"/>
  <c r="I9" i="199"/>
  <c r="I11" i="199" s="1"/>
  <c r="I13" i="199" s="1"/>
  <c r="I15" i="199" s="1"/>
  <c r="J9" i="199"/>
  <c r="J11" i="199" s="1"/>
  <c r="J13" i="199" s="1"/>
  <c r="J15" i="199" s="1"/>
  <c r="G11" i="199"/>
  <c r="G13" i="199" s="1"/>
  <c r="G15" i="199" s="1"/>
  <c r="H11" i="199"/>
  <c r="H13" i="199" s="1"/>
  <c r="H15" i="199" s="1"/>
  <c r="E13" i="199"/>
  <c r="D11" i="199"/>
  <c r="B13" i="199" s="1"/>
  <c r="I8" i="199"/>
  <c r="J8" i="199"/>
  <c r="I7" i="199"/>
  <c r="J7" i="199"/>
  <c r="I6" i="199"/>
  <c r="J6" i="199"/>
  <c r="I5" i="199"/>
  <c r="J5" i="199"/>
  <c r="I3" i="199"/>
  <c r="J3" i="199"/>
  <c r="F4" i="199"/>
  <c r="I2" i="199"/>
  <c r="I4" i="199" s="1"/>
  <c r="J2" i="199"/>
  <c r="J4" i="199" s="1"/>
  <c r="G4" i="199"/>
  <c r="H4" i="199"/>
  <c r="I35" i="197"/>
  <c r="J35" i="197"/>
  <c r="I36" i="197"/>
  <c r="J36" i="197"/>
  <c r="I70" i="197"/>
  <c r="J70" i="197"/>
  <c r="I67" i="197"/>
  <c r="J67" i="197"/>
  <c r="E66" i="197"/>
  <c r="H65" i="197"/>
  <c r="G65" i="197"/>
  <c r="F65" i="197"/>
  <c r="I64" i="197"/>
  <c r="J64" i="197"/>
  <c r="E63" i="197"/>
  <c r="H62" i="197"/>
  <c r="G62" i="197"/>
  <c r="F62" i="197"/>
  <c r="I61" i="197"/>
  <c r="J61" i="197"/>
  <c r="E60" i="197"/>
  <c r="H59" i="197"/>
  <c r="G59" i="197"/>
  <c r="F59" i="197"/>
  <c r="I58" i="197"/>
  <c r="J58" i="197"/>
  <c r="E57" i="197"/>
  <c r="H56" i="197"/>
  <c r="G56" i="197"/>
  <c r="F56" i="197"/>
  <c r="I55" i="197"/>
  <c r="J55" i="197"/>
  <c r="E54" i="197"/>
  <c r="H53" i="197"/>
  <c r="G53" i="197"/>
  <c r="F53" i="197"/>
  <c r="I52" i="197"/>
  <c r="J52" i="197"/>
  <c r="D68" i="197"/>
  <c r="B54" i="197"/>
  <c r="D71" i="197"/>
  <c r="B57" i="197"/>
  <c r="I50" i="197"/>
  <c r="J50" i="197"/>
  <c r="I49" i="197"/>
  <c r="J49" i="197"/>
  <c r="E48" i="197"/>
  <c r="H47" i="197"/>
  <c r="G47" i="197"/>
  <c r="F47" i="197"/>
  <c r="I46" i="197"/>
  <c r="J46" i="197"/>
  <c r="I43" i="197"/>
  <c r="J43" i="197"/>
  <c r="I42" i="197"/>
  <c r="J42" i="197"/>
  <c r="I40" i="197"/>
  <c r="J40" i="197"/>
  <c r="I39" i="197"/>
  <c r="J39" i="197"/>
  <c r="I31" i="197"/>
  <c r="J31" i="197"/>
  <c r="I11" i="197"/>
  <c r="J11" i="197"/>
  <c r="I9" i="197"/>
  <c r="J9" i="197"/>
  <c r="I7" i="197"/>
  <c r="J7" i="197"/>
  <c r="I5" i="197"/>
  <c r="J5" i="197"/>
  <c r="I3" i="197"/>
  <c r="J3" i="197"/>
  <c r="F4" i="197"/>
  <c r="F6" i="197" s="1"/>
  <c r="F8" i="197" s="1"/>
  <c r="F10" i="197" s="1"/>
  <c r="I2" i="197"/>
  <c r="I4" i="197" s="1"/>
  <c r="I6" i="197" s="1"/>
  <c r="I8" i="197" s="1"/>
  <c r="I10" i="197" s="1"/>
  <c r="J2" i="197"/>
  <c r="J4" i="197" s="1"/>
  <c r="J6" i="197" s="1"/>
  <c r="J8" i="197" s="1"/>
  <c r="J10" i="197" s="1"/>
  <c r="G4" i="197"/>
  <c r="G6" i="197" s="1"/>
  <c r="G8" i="197" s="1"/>
  <c r="G10" i="197" s="1"/>
  <c r="H4" i="197"/>
  <c r="H6" i="197" s="1"/>
  <c r="H8" i="197" s="1"/>
  <c r="H10" i="197" s="1"/>
  <c r="E6" i="197"/>
  <c r="D4" i="197"/>
  <c r="B6" i="197" s="1"/>
  <c r="I31" i="42"/>
  <c r="J31" i="42"/>
  <c r="I32" i="42"/>
  <c r="J32" i="42"/>
  <c r="I9" i="170"/>
  <c r="J9" i="170"/>
  <c r="D4" i="195"/>
  <c r="E6" i="195"/>
  <c r="I5" i="195"/>
  <c r="J5" i="195"/>
  <c r="I16" i="150"/>
  <c r="J16" i="150"/>
  <c r="I17" i="150"/>
  <c r="J17" i="150"/>
  <c r="I15" i="184"/>
  <c r="J15" i="184"/>
  <c r="I14" i="184"/>
  <c r="J14" i="184"/>
  <c r="I10" i="184"/>
  <c r="J10" i="184"/>
  <c r="I11" i="184"/>
  <c r="J11" i="184"/>
  <c r="I27" i="161"/>
  <c r="J27" i="161"/>
  <c r="G4" i="195"/>
  <c r="G6" i="195" s="1"/>
  <c r="G8" i="195" s="1"/>
  <c r="G10" i="195" s="1"/>
  <c r="H4" i="195"/>
  <c r="H6" i="195" s="1"/>
  <c r="H8" i="195" s="1"/>
  <c r="H10" i="195" s="1"/>
  <c r="F4" i="195"/>
  <c r="F6" i="195" s="1"/>
  <c r="F8" i="195" s="1"/>
  <c r="F10" i="195" s="1"/>
  <c r="I3" i="195"/>
  <c r="J3" i="195"/>
  <c r="E16" i="161"/>
  <c r="H14" i="161"/>
  <c r="H16" i="161" s="1"/>
  <c r="H18" i="161" s="1"/>
  <c r="H20" i="161" s="1"/>
  <c r="H22" i="161" s="1"/>
  <c r="H24" i="161" s="1"/>
  <c r="H26" i="161" s="1"/>
  <c r="H28" i="161" s="1"/>
  <c r="H30" i="161" s="1"/>
  <c r="H32" i="161" s="1"/>
  <c r="G14" i="161"/>
  <c r="G16" i="161" s="1"/>
  <c r="G18" i="161" s="1"/>
  <c r="G20" i="161" s="1"/>
  <c r="G22" i="161" s="1"/>
  <c r="G24" i="161" s="1"/>
  <c r="G26" i="161" s="1"/>
  <c r="G28" i="161" s="1"/>
  <c r="G30" i="161" s="1"/>
  <c r="G32" i="161" s="1"/>
  <c r="F14" i="161"/>
  <c r="I36" i="161"/>
  <c r="J36" i="161"/>
  <c r="I37" i="161"/>
  <c r="J37" i="161"/>
  <c r="D4" i="194"/>
  <c r="B6" i="194" s="1"/>
  <c r="E6" i="194"/>
  <c r="D6" i="194" s="1"/>
  <c r="I5" i="194"/>
  <c r="J5" i="194"/>
  <c r="I25" i="46"/>
  <c r="J25" i="46"/>
  <c r="I13" i="150"/>
  <c r="J13" i="150"/>
  <c r="J15" i="150" s="1"/>
  <c r="C11" i="196"/>
  <c r="E11" i="196" s="1"/>
  <c r="E10" i="196"/>
  <c r="I2" i="196"/>
  <c r="I4" i="196" s="1"/>
  <c r="J2" i="196"/>
  <c r="J4" i="196" s="1"/>
  <c r="C14" i="195"/>
  <c r="E14" i="195" s="1"/>
  <c r="I2" i="195"/>
  <c r="J2" i="195"/>
  <c r="I3" i="194"/>
  <c r="J3" i="194"/>
  <c r="F4" i="194"/>
  <c r="F6" i="194" s="1"/>
  <c r="I2" i="194"/>
  <c r="I4" i="194" s="1"/>
  <c r="I6" i="194" s="1"/>
  <c r="J2" i="194"/>
  <c r="J4" i="194" s="1"/>
  <c r="J6" i="194" s="1"/>
  <c r="G4" i="194"/>
  <c r="G6" i="194" s="1"/>
  <c r="H4" i="194"/>
  <c r="H6" i="194" s="1"/>
  <c r="I23" i="46"/>
  <c r="J23" i="46"/>
  <c r="D20" i="46"/>
  <c r="B22" i="46" s="1"/>
  <c r="E22" i="46"/>
  <c r="G22" i="46"/>
  <c r="G24" i="46" s="1"/>
  <c r="G26" i="46" s="1"/>
  <c r="H22" i="46"/>
  <c r="H24" i="46" s="1"/>
  <c r="H26" i="46" s="1"/>
  <c r="I25" i="161"/>
  <c r="J25" i="161"/>
  <c r="I21" i="46"/>
  <c r="J21" i="46"/>
  <c r="I18" i="46"/>
  <c r="J18" i="46"/>
  <c r="F20" i="46"/>
  <c r="F22" i="46" s="1"/>
  <c r="F24" i="46" s="1"/>
  <c r="F26" i="46" s="1"/>
  <c r="I19" i="46"/>
  <c r="I20" i="46" s="1"/>
  <c r="J19" i="46"/>
  <c r="J20" i="46" s="1"/>
  <c r="J25" i="197" l="1"/>
  <c r="I38" i="206"/>
  <c r="J38" i="206"/>
  <c r="J39" i="206" s="1"/>
  <c r="K39" i="206" s="1"/>
  <c r="I34" i="206"/>
  <c r="J34" i="206"/>
  <c r="J35" i="206" s="1"/>
  <c r="K35" i="206" s="1"/>
  <c r="I30" i="206"/>
  <c r="J30" i="206"/>
  <c r="J31" i="206" s="1"/>
  <c r="J12" i="150"/>
  <c r="I26" i="206"/>
  <c r="J26" i="206"/>
  <c r="E18" i="206"/>
  <c r="D16" i="206"/>
  <c r="B18" i="206" s="1"/>
  <c r="H17" i="157"/>
  <c r="G17" i="157"/>
  <c r="F17" i="157"/>
  <c r="E19" i="157"/>
  <c r="H18" i="157"/>
  <c r="G18" i="157"/>
  <c r="F18" i="157"/>
  <c r="J21" i="197"/>
  <c r="J4" i="204"/>
  <c r="J5" i="204" s="1"/>
  <c r="J13" i="197"/>
  <c r="D6" i="195"/>
  <c r="B8" i="195" s="1"/>
  <c r="E8" i="195"/>
  <c r="J25" i="42"/>
  <c r="H9" i="202"/>
  <c r="G9" i="202"/>
  <c r="F9" i="202"/>
  <c r="E11" i="202"/>
  <c r="H10" i="202"/>
  <c r="G10" i="202"/>
  <c r="F10" i="202"/>
  <c r="J16" i="202"/>
  <c r="J18" i="199"/>
  <c r="J33" i="197"/>
  <c r="J42" i="161"/>
  <c r="J15" i="170"/>
  <c r="J19" i="170"/>
  <c r="E15" i="199"/>
  <c r="D21" i="199" s="1"/>
  <c r="D13" i="199"/>
  <c r="B15" i="199" s="1"/>
  <c r="J25" i="199"/>
  <c r="J29" i="199"/>
  <c r="J32" i="199"/>
  <c r="J35" i="199"/>
  <c r="J37" i="197"/>
  <c r="E8" i="197"/>
  <c r="D6" i="197"/>
  <c r="B8" i="197" s="1"/>
  <c r="J41" i="197"/>
  <c r="J44" i="197"/>
  <c r="I47" i="197"/>
  <c r="J47" i="197"/>
  <c r="J48" i="197" s="1"/>
  <c r="K48" i="197" s="1"/>
  <c r="J51" i="197"/>
  <c r="B72" i="197"/>
  <c r="E71" i="197"/>
  <c r="B69" i="197"/>
  <c r="E68" i="197"/>
  <c r="I53" i="197"/>
  <c r="J53" i="197"/>
  <c r="J54" i="197" s="1"/>
  <c r="I56" i="197"/>
  <c r="J56" i="197"/>
  <c r="J57" i="197" s="1"/>
  <c r="I59" i="197"/>
  <c r="J59" i="197"/>
  <c r="J60" i="197" s="1"/>
  <c r="I62" i="197"/>
  <c r="J62" i="197"/>
  <c r="J63" i="197" s="1"/>
  <c r="I65" i="197"/>
  <c r="J65" i="197"/>
  <c r="J66" i="197" s="1"/>
  <c r="J33" i="42"/>
  <c r="D13" i="195"/>
  <c r="B6" i="195"/>
  <c r="J18" i="150"/>
  <c r="J16" i="184"/>
  <c r="J12" i="184"/>
  <c r="J4" i="195"/>
  <c r="J6" i="195" s="1"/>
  <c r="J8" i="195" s="1"/>
  <c r="J10" i="195" s="1"/>
  <c r="I4" i="195"/>
  <c r="I6" i="195" s="1"/>
  <c r="I8" i="195" s="1"/>
  <c r="I10" i="195" s="1"/>
  <c r="F16" i="161"/>
  <c r="F18" i="161" s="1"/>
  <c r="F20" i="161" s="1"/>
  <c r="F22" i="161" s="1"/>
  <c r="F24" i="161" s="1"/>
  <c r="F26" i="161" s="1"/>
  <c r="F28" i="161" s="1"/>
  <c r="F30" i="161" s="1"/>
  <c r="F32" i="161" s="1"/>
  <c r="I14" i="161"/>
  <c r="E18" i="161"/>
  <c r="D16" i="161"/>
  <c r="J38" i="161"/>
  <c r="D22" i="46"/>
  <c r="B24" i="46" s="1"/>
  <c r="E24" i="46"/>
  <c r="H10" i="196"/>
  <c r="G10" i="196"/>
  <c r="F10" i="196"/>
  <c r="E12" i="196"/>
  <c r="H11" i="196"/>
  <c r="G11" i="196"/>
  <c r="F11" i="196"/>
  <c r="H14" i="195"/>
  <c r="G14" i="195"/>
  <c r="F14" i="195"/>
  <c r="J22" i="46"/>
  <c r="J24" i="46" s="1"/>
  <c r="J26" i="46" s="1"/>
  <c r="I22" i="46"/>
  <c r="I24" i="46" s="1"/>
  <c r="I26" i="46" s="1"/>
  <c r="K31" i="206" l="1"/>
  <c r="J27" i="206"/>
  <c r="K27" i="206" s="1"/>
  <c r="E20" i="206"/>
  <c r="D18" i="206"/>
  <c r="B20" i="206" s="1"/>
  <c r="I18" i="157"/>
  <c r="J18" i="157"/>
  <c r="I17" i="157"/>
  <c r="J17" i="157"/>
  <c r="D8" i="195"/>
  <c r="B10" i="195" s="1"/>
  <c r="E10" i="195"/>
  <c r="D10" i="195" s="1"/>
  <c r="I10" i="202"/>
  <c r="J10" i="202"/>
  <c r="I9" i="202"/>
  <c r="J9" i="202"/>
  <c r="D15" i="199"/>
  <c r="E69" i="197"/>
  <c r="H68" i="197"/>
  <c r="G68" i="197"/>
  <c r="F68" i="197"/>
  <c r="E72" i="197"/>
  <c r="H71" i="197"/>
  <c r="G71" i="197"/>
  <c r="F71" i="197"/>
  <c r="K51" i="197"/>
  <c r="K54" i="197" s="1"/>
  <c r="K57" i="197" s="1"/>
  <c r="K60" i="197" s="1"/>
  <c r="K63" i="197" s="1"/>
  <c r="K66" i="197" s="1"/>
  <c r="E10" i="197"/>
  <c r="D8" i="197"/>
  <c r="B10" i="197" s="1"/>
  <c r="B15" i="195"/>
  <c r="E13" i="195"/>
  <c r="D18" i="161"/>
  <c r="E20" i="161"/>
  <c r="I16" i="161"/>
  <c r="I18" i="161" s="1"/>
  <c r="I20" i="161" s="1"/>
  <c r="I22" i="161" s="1"/>
  <c r="I24" i="161" s="1"/>
  <c r="I26" i="161" s="1"/>
  <c r="I28" i="161" s="1"/>
  <c r="I30" i="161" s="1"/>
  <c r="I32" i="161" s="1"/>
  <c r="J14" i="161"/>
  <c r="J16" i="161" s="1"/>
  <c r="J18" i="161" s="1"/>
  <c r="J20" i="161" s="1"/>
  <c r="J22" i="161" s="1"/>
  <c r="J24" i="161" s="1"/>
  <c r="J26" i="161" s="1"/>
  <c r="J28" i="161" s="1"/>
  <c r="J30" i="161" s="1"/>
  <c r="J32" i="161" s="1"/>
  <c r="D24" i="46"/>
  <c r="B26" i="46" s="1"/>
  <c r="E26" i="46"/>
  <c r="D26" i="46" s="1"/>
  <c r="I11" i="196"/>
  <c r="J11" i="196"/>
  <c r="I10" i="196"/>
  <c r="J10" i="196"/>
  <c r="I14" i="195"/>
  <c r="J14" i="195"/>
  <c r="E22" i="206" l="1"/>
  <c r="D20" i="206"/>
  <c r="J19" i="157"/>
  <c r="J20" i="157" s="1"/>
  <c r="J11" i="202"/>
  <c r="J12" i="202" s="1"/>
  <c r="D10" i="197"/>
  <c r="I71" i="197"/>
  <c r="J71" i="197"/>
  <c r="J72" i="197" s="1"/>
  <c r="I68" i="197"/>
  <c r="J68" i="197"/>
  <c r="J69" i="197" s="1"/>
  <c r="K69" i="197" s="1"/>
  <c r="K72" i="197" s="1"/>
  <c r="H13" i="195"/>
  <c r="G13" i="195"/>
  <c r="F13" i="195"/>
  <c r="E15" i="195"/>
  <c r="D20" i="161"/>
  <c r="E22" i="161"/>
  <c r="J12" i="196"/>
  <c r="J13" i="196" s="1"/>
  <c r="E24" i="206" l="1"/>
  <c r="D22" i="206"/>
  <c r="B24" i="206" s="1"/>
  <c r="I13" i="195"/>
  <c r="J13" i="195"/>
  <c r="J15" i="195" s="1"/>
  <c r="J16" i="195" s="1"/>
  <c r="D22" i="161"/>
  <c r="E24" i="161"/>
  <c r="D24" i="206" l="1"/>
  <c r="D24" i="161"/>
  <c r="B26" i="161" s="1"/>
  <c r="E26" i="161"/>
  <c r="E28" i="161" s="1"/>
  <c r="B22" i="206" l="1"/>
  <c r="D28" i="161"/>
  <c r="B30" i="161" s="1"/>
  <c r="E30" i="161"/>
  <c r="D26" i="161"/>
  <c r="B28" i="161" s="1"/>
  <c r="D30" i="161" l="1"/>
  <c r="B32" i="161" s="1"/>
  <c r="E32" i="161"/>
  <c r="D32" i="161" s="1"/>
</calcChain>
</file>

<file path=xl/sharedStrings.xml><?xml version="1.0" encoding="utf-8"?>
<sst xmlns="http://schemas.openxmlformats.org/spreadsheetml/2006/main" count="436" uniqueCount="36">
  <si>
    <t>KCE</t>
  </si>
  <si>
    <t>BUY</t>
  </si>
  <si>
    <t>BALANCE</t>
  </si>
  <si>
    <t>SELL</t>
  </si>
  <si>
    <t xml:space="preserve"> </t>
  </si>
  <si>
    <t>PTTGC</t>
  </si>
  <si>
    <t>Balance</t>
  </si>
  <si>
    <t>XD</t>
  </si>
  <si>
    <t>STA</t>
  </si>
  <si>
    <t>ASP</t>
  </si>
  <si>
    <t>BANPU</t>
  </si>
  <si>
    <t>BCH</t>
  </si>
  <si>
    <t>CPNREIT</t>
  </si>
  <si>
    <t>DIF</t>
  </si>
  <si>
    <t>BAL</t>
  </si>
  <si>
    <t>DOHOME</t>
  </si>
  <si>
    <t>Div 5:1</t>
  </si>
  <si>
    <t>GVREIT</t>
  </si>
  <si>
    <t>IVL</t>
  </si>
  <si>
    <t>JASIF</t>
  </si>
  <si>
    <t>JMART</t>
  </si>
  <si>
    <t>JMT</t>
  </si>
  <si>
    <t>MCS</t>
  </si>
  <si>
    <t>balance</t>
  </si>
  <si>
    <t>NER</t>
  </si>
  <si>
    <t>ORI</t>
  </si>
  <si>
    <t>RCL</t>
  </si>
  <si>
    <t>SCC</t>
  </si>
  <si>
    <t>SCCC</t>
  </si>
  <si>
    <t>SENA</t>
  </si>
  <si>
    <t>SINGER</t>
  </si>
  <si>
    <t>SYNEX</t>
  </si>
  <si>
    <t>TFFIF</t>
  </si>
  <si>
    <t>TMT</t>
  </si>
  <si>
    <t>HREIT</t>
  </si>
  <si>
    <t>WHART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</si>
</sst>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87" formatCode="yyyy\-mm\-dd"/>
    <numFmt numFmtId="188" formatCode="\฿#,##0.00"/>
    <numFmt numFmtId="189" formatCode="[$฿-41E]#,##0.00"/>
    <numFmt numFmtId="190" formatCode="\฿#,##0.000"/>
    <numFmt numFmtId="191" formatCode="#,##0.0000"/>
    <numFmt numFmtId="192" formatCode="0.0000"/>
    <numFmt numFmtId="193" formatCode="yyyy\-mm\-dd;@"/>
    <numFmt numFmtId="194" formatCode="&quot;฿&quot;#,##0.00"/>
  </numFmts>
  <fonts count="20">
    <font>
      <sz val="11"/>
      <color indexed="8"/>
      <name val="Calibri"/>
      <family val="2"/>
      <charset val="222"/>
    </font>
    <font>
      <sz val="10"/>
      <color indexed="8"/>
      <name val="Calibri"/>
      <family val="2"/>
      <charset val="222"/>
    </font>
    <font>
      <b/>
      <sz val="10"/>
      <color indexed="8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ordia New"/>
      <family val="2"/>
    </font>
    <font>
      <sz val="10"/>
      <color indexed="8"/>
      <name val="Calibri"/>
      <family val="2"/>
    </font>
    <font>
      <sz val="12"/>
      <name val="Cordia New"/>
      <family val="2"/>
    </font>
    <font>
      <b/>
      <sz val="10"/>
      <color indexed="8"/>
      <name val="Calibri"/>
      <family val="2"/>
      <charset val="222"/>
    </font>
    <font>
      <sz val="10"/>
      <name val="Calibri"/>
    </font>
    <font>
      <sz val="10"/>
      <color indexed="8"/>
      <name val="Calibri"/>
    </font>
    <font>
      <sz val="8"/>
      <color rgb="FF333333"/>
      <name val="Verdana"/>
      <family val="2"/>
    </font>
    <font>
      <sz val="14"/>
      <name val="Cordia New"/>
      <family val="2"/>
    </font>
    <font>
      <b/>
      <sz val="14"/>
      <name val="Cordia New"/>
      <family val="2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</font>
    <font>
      <b/>
      <sz val="10"/>
      <name val="Cordia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0" fontId="2" fillId="0" borderId="0" xfId="0" applyFont="1"/>
    <xf numFmtId="3" fontId="2" fillId="0" borderId="0" xfId="0" applyNumberFormat="1" applyFont="1"/>
    <xf numFmtId="188" fontId="2" fillId="0" borderId="0" xfId="0" applyNumberFormat="1" applyFont="1"/>
    <xf numFmtId="10" fontId="2" fillId="0" borderId="0" xfId="0" applyNumberFormat="1" applyFont="1"/>
    <xf numFmtId="14" fontId="3" fillId="0" borderId="0" xfId="0" applyNumberFormat="1" applyFont="1"/>
    <xf numFmtId="1" fontId="3" fillId="0" borderId="0" xfId="0" applyNumberFormat="1" applyFont="1"/>
    <xf numFmtId="3" fontId="3" fillId="0" borderId="0" xfId="0" applyNumberFormat="1" applyFont="1"/>
    <xf numFmtId="188" fontId="3" fillId="0" borderId="0" xfId="0" applyNumberFormat="1" applyFont="1"/>
    <xf numFmtId="10" fontId="3" fillId="0" borderId="0" xfId="0" applyNumberFormat="1" applyFont="1"/>
    <xf numFmtId="0" fontId="3" fillId="0" borderId="0" xfId="0" applyFont="1"/>
    <xf numFmtId="14" fontId="4" fillId="0" borderId="0" xfId="0" applyNumberFormat="1" applyFont="1"/>
    <xf numFmtId="0" fontId="4" fillId="0" borderId="0" xfId="0" applyFont="1"/>
    <xf numFmtId="3" fontId="4" fillId="0" borderId="0" xfId="0" applyNumberFormat="1" applyFont="1"/>
    <xf numFmtId="188" fontId="4" fillId="0" borderId="0" xfId="0" applyNumberFormat="1" applyFont="1"/>
    <xf numFmtId="189" fontId="4" fillId="0" borderId="0" xfId="0" applyNumberFormat="1" applyFont="1"/>
    <xf numFmtId="0" fontId="5" fillId="0" borderId="0" xfId="0" applyFont="1"/>
    <xf numFmtId="189" fontId="3" fillId="0" borderId="0" xfId="0" applyNumberFormat="1" applyFont="1"/>
    <xf numFmtId="0" fontId="6" fillId="0" borderId="0" xfId="0" applyFont="1"/>
    <xf numFmtId="3" fontId="6" fillId="0" borderId="0" xfId="0" applyNumberFormat="1" applyFont="1"/>
    <xf numFmtId="188" fontId="6" fillId="0" borderId="0" xfId="0" applyNumberFormat="1" applyFont="1"/>
    <xf numFmtId="189" fontId="6" fillId="0" borderId="0" xfId="0" applyNumberFormat="1" applyFont="1"/>
    <xf numFmtId="10" fontId="6" fillId="0" borderId="0" xfId="0" applyNumberFormat="1" applyFont="1"/>
    <xf numFmtId="4" fontId="4" fillId="0" borderId="0" xfId="0" applyNumberFormat="1" applyFont="1"/>
    <xf numFmtId="190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0" fontId="7" fillId="0" borderId="0" xfId="0" applyFont="1"/>
    <xf numFmtId="2" fontId="3" fillId="0" borderId="0" xfId="0" applyNumberFormat="1" applyFont="1"/>
    <xf numFmtId="191" fontId="6" fillId="0" borderId="0" xfId="0" applyNumberFormat="1" applyFont="1"/>
    <xf numFmtId="4" fontId="3" fillId="0" borderId="0" xfId="0" applyNumberFormat="1" applyFont="1"/>
    <xf numFmtId="190" fontId="3" fillId="0" borderId="0" xfId="0" applyNumberFormat="1" applyFont="1"/>
    <xf numFmtId="191" fontId="2" fillId="0" borderId="0" xfId="0" applyNumberFormat="1" applyFont="1"/>
    <xf numFmtId="189" fontId="2" fillId="0" borderId="0" xfId="0" applyNumberFormat="1" applyFont="1"/>
    <xf numFmtId="187" fontId="6" fillId="0" borderId="0" xfId="0" applyNumberFormat="1" applyFont="1"/>
    <xf numFmtId="187" fontId="4" fillId="0" borderId="0" xfId="0" applyNumberFormat="1" applyFont="1"/>
    <xf numFmtId="192" fontId="4" fillId="0" borderId="0" xfId="0" applyNumberFormat="1" applyFont="1"/>
    <xf numFmtId="191" fontId="4" fillId="0" borderId="0" xfId="0" applyNumberFormat="1" applyFont="1"/>
    <xf numFmtId="14" fontId="2" fillId="0" borderId="0" xfId="0" applyNumberFormat="1" applyFont="1"/>
    <xf numFmtId="14" fontId="1" fillId="0" borderId="0" xfId="0" applyNumberFormat="1" applyFont="1"/>
    <xf numFmtId="14" fontId="6" fillId="0" borderId="0" xfId="0" applyNumberFormat="1" applyFont="1"/>
    <xf numFmtId="192" fontId="1" fillId="0" borderId="0" xfId="0" applyNumberFormat="1" applyFont="1"/>
    <xf numFmtId="191" fontId="3" fillId="0" borderId="0" xfId="0" applyNumberFormat="1" applyFont="1"/>
    <xf numFmtId="191" fontId="1" fillId="0" borderId="0" xfId="0" applyNumberFormat="1" applyFont="1"/>
    <xf numFmtId="4" fontId="2" fillId="0" borderId="0" xfId="0" applyNumberFormat="1" applyFont="1"/>
    <xf numFmtId="193" fontId="4" fillId="0" borderId="0" xfId="0" applyNumberFormat="1" applyFont="1"/>
    <xf numFmtId="193" fontId="1" fillId="0" borderId="0" xfId="0" applyNumberFormat="1" applyFont="1"/>
    <xf numFmtId="3" fontId="8" fillId="0" borderId="0" xfId="0" applyNumberFormat="1" applyFont="1"/>
    <xf numFmtId="191" fontId="8" fillId="0" borderId="0" xfId="0" applyNumberFormat="1" applyFont="1"/>
    <xf numFmtId="189" fontId="1" fillId="0" borderId="0" xfId="0" applyNumberFormat="1" applyFont="1"/>
    <xf numFmtId="193" fontId="8" fillId="0" borderId="0" xfId="0" applyNumberFormat="1" applyFont="1"/>
    <xf numFmtId="0" fontId="8" fillId="0" borderId="0" xfId="0" applyFont="1"/>
    <xf numFmtId="193" fontId="3" fillId="0" borderId="0" xfId="0" applyNumberFormat="1" applyFont="1"/>
    <xf numFmtId="188" fontId="9" fillId="0" borderId="0" xfId="0" applyNumberFormat="1" applyFont="1"/>
    <xf numFmtId="0" fontId="9" fillId="0" borderId="0" xfId="0" applyFont="1"/>
    <xf numFmtId="0" fontId="10" fillId="0" borderId="0" xfId="0" applyFont="1"/>
    <xf numFmtId="4" fontId="11" fillId="0" borderId="0" xfId="0" applyNumberFormat="1" applyFont="1"/>
    <xf numFmtId="188" fontId="12" fillId="0" borderId="0" xfId="0" applyNumberFormat="1" applyFont="1"/>
    <xf numFmtId="194" fontId="3" fillId="0" borderId="0" xfId="0" applyNumberFormat="1" applyFont="1"/>
    <xf numFmtId="0" fontId="12" fillId="0" borderId="0" xfId="0" applyFont="1"/>
    <xf numFmtId="192" fontId="3" fillId="0" borderId="0" xfId="0" applyNumberFormat="1" applyFont="1"/>
    <xf numFmtId="192" fontId="6" fillId="0" borderId="0" xfId="0" applyNumberFormat="1" applyFont="1"/>
    <xf numFmtId="192" fontId="2" fillId="0" borderId="0" xfId="0" applyNumberFormat="1" applyFont="1"/>
    <xf numFmtId="187" fontId="3" fillId="0" borderId="0" xfId="0" applyNumberFormat="1" applyFont="1"/>
    <xf numFmtId="194" fontId="6" fillId="0" borderId="0" xfId="0" applyNumberFormat="1" applyFont="1"/>
    <xf numFmtId="194" fontId="4" fillId="0" borderId="0" xfId="0" applyNumberFormat="1" applyFont="1"/>
    <xf numFmtId="187" fontId="2" fillId="0" borderId="0" xfId="0" applyNumberFormat="1" applyFont="1"/>
    <xf numFmtId="194" fontId="2" fillId="0" borderId="0" xfId="0" applyNumberFormat="1" applyFont="1"/>
    <xf numFmtId="3" fontId="14" fillId="0" borderId="0" xfId="0" applyNumberFormat="1" applyFont="1"/>
    <xf numFmtId="3" fontId="15" fillId="0" borderId="0" xfId="0" applyNumberFormat="1" applyFont="1"/>
    <xf numFmtId="10" fontId="8" fillId="0" borderId="0" xfId="0" applyNumberFormat="1" applyFont="1"/>
    <xf numFmtId="10" fontId="13" fillId="0" borderId="0" xfId="0" applyNumberFormat="1" applyFont="1"/>
    <xf numFmtId="10" fontId="12" fillId="0" borderId="0" xfId="0" applyNumberFormat="1" applyFont="1"/>
    <xf numFmtId="14" fontId="16" fillId="0" borderId="0" xfId="0" applyNumberFormat="1" applyFont="1"/>
    <xf numFmtId="0" fontId="16" fillId="0" borderId="0" xfId="0" applyFont="1"/>
    <xf numFmtId="3" fontId="16" fillId="0" borderId="0" xfId="0" applyNumberFormat="1" applyFont="1"/>
    <xf numFmtId="188" fontId="16" fillId="0" borderId="0" xfId="0" applyNumberFormat="1" applyFont="1"/>
    <xf numFmtId="10" fontId="16" fillId="0" borderId="0" xfId="0" applyNumberFormat="1" applyFont="1"/>
    <xf numFmtId="14" fontId="17" fillId="0" borderId="0" xfId="0" applyNumberFormat="1" applyFont="1"/>
    <xf numFmtId="0" fontId="17" fillId="0" borderId="0" xfId="0" applyFont="1"/>
    <xf numFmtId="3" fontId="17" fillId="0" borderId="0" xfId="0" applyNumberFormat="1" applyFont="1"/>
    <xf numFmtId="188" fontId="17" fillId="0" borderId="0" xfId="0" applyNumberFormat="1" applyFont="1"/>
    <xf numFmtId="189" fontId="17" fillId="0" borderId="0" xfId="0" applyNumberFormat="1" applyFont="1"/>
    <xf numFmtId="10" fontId="17" fillId="0" borderId="0" xfId="0" applyNumberFormat="1" applyFont="1"/>
    <xf numFmtId="3" fontId="4" fillId="2" borderId="0" xfId="0" applyNumberFormat="1" applyFont="1" applyFill="1"/>
    <xf numFmtId="193" fontId="6" fillId="0" borderId="0" xfId="0" applyNumberFormat="1" applyFont="1"/>
    <xf numFmtId="193" fontId="2" fillId="0" borderId="0" xfId="0" applyNumberFormat="1" applyFont="1"/>
    <xf numFmtId="3" fontId="3" fillId="2" borderId="0" xfId="0" applyNumberFormat="1" applyFont="1" applyFill="1"/>
    <xf numFmtId="189" fontId="3" fillId="2" borderId="0" xfId="0" applyNumberFormat="1" applyFont="1" applyFill="1"/>
    <xf numFmtId="0" fontId="15" fillId="0" borderId="0" xfId="0" applyFont="1"/>
    <xf numFmtId="189" fontId="16" fillId="0" borderId="0" xfId="0" applyNumberFormat="1" applyFont="1"/>
    <xf numFmtId="4" fontId="6" fillId="0" borderId="0" xfId="0" applyNumberFormat="1" applyFont="1"/>
    <xf numFmtId="193" fontId="8" fillId="2" borderId="0" xfId="0" applyNumberFormat="1" applyFont="1" applyFill="1"/>
    <xf numFmtId="10" fontId="8" fillId="2" borderId="0" xfId="0" applyNumberFormat="1" applyFont="1" applyFill="1"/>
    <xf numFmtId="3" fontId="8" fillId="2" borderId="0" xfId="0" applyNumberFormat="1" applyFont="1" applyFill="1"/>
    <xf numFmtId="191" fontId="8" fillId="2" borderId="0" xfId="0" applyNumberFormat="1" applyFont="1" applyFill="1"/>
    <xf numFmtId="188" fontId="18" fillId="0" borderId="0" xfId="0" applyNumberFormat="1" applyFont="1"/>
    <xf numFmtId="0" fontId="18" fillId="0" borderId="0" xfId="0" applyFont="1"/>
    <xf numFmtId="0" fontId="1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8731-EA12-46A9-9EE8-467ABC8DD3F6}">
  <sheetPr>
    <tabColor rgb="FFC00000"/>
  </sheetPr>
  <dimension ref="A1:S61"/>
  <sheetViews>
    <sheetView topLeftCell="A34" workbookViewId="0">
      <selection activeCell="D42" sqref="D42"/>
    </sheetView>
  </sheetViews>
  <sheetFormatPr defaultColWidth="8.875" defaultRowHeight="12"/>
  <cols>
    <col min="1" max="1" width="10.125" style="50" customWidth="1"/>
    <col min="2" max="2" width="7.125" style="1" customWidth="1"/>
    <col min="3" max="3" width="6.625" style="1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1" width="9.625" style="1" bestFit="1" customWidth="1"/>
    <col min="12" max="16384" width="8.875" style="1"/>
  </cols>
  <sheetData>
    <row r="1" spans="1:19">
      <c r="B1" s="1" t="s">
        <v>0</v>
      </c>
    </row>
    <row r="2" spans="1:19" s="19" customFormat="1" ht="15">
      <c r="A2" s="49">
        <v>44419</v>
      </c>
      <c r="B2" s="15" t="s">
        <v>1</v>
      </c>
      <c r="C2" s="16">
        <v>3600</v>
      </c>
      <c r="D2" s="41">
        <v>81</v>
      </c>
      <c r="E2" s="18">
        <f>C2*D2</f>
        <v>291600</v>
      </c>
      <c r="F2" s="18">
        <f>E2*0.002</f>
        <v>583.20000000000005</v>
      </c>
      <c r="G2" s="18">
        <f>E2*0.00006</f>
        <v>17.496000000000002</v>
      </c>
      <c r="H2" s="18">
        <f>E2*0.00001</f>
        <v>2.9160000000000004</v>
      </c>
      <c r="I2" s="18">
        <f>(F2+G2+H2)*0.07</f>
        <v>42.252840000000006</v>
      </c>
      <c r="J2" s="18">
        <f>E2+F2+I2+G2+H2</f>
        <v>292245.86483999999</v>
      </c>
    </row>
    <row r="3" spans="1:19" s="13" customFormat="1" ht="12.75">
      <c r="A3" s="39">
        <v>44476</v>
      </c>
      <c r="B3" s="15" t="s">
        <v>1</v>
      </c>
      <c r="C3" s="88">
        <v>2400</v>
      </c>
      <c r="D3" s="69">
        <v>78.5</v>
      </c>
      <c r="E3" s="18">
        <f>C3*D3</f>
        <v>188400</v>
      </c>
      <c r="F3" s="18">
        <f>E3*0.002</f>
        <v>376.8</v>
      </c>
      <c r="G3" s="18">
        <f>E3*0.00006</f>
        <v>11.304</v>
      </c>
      <c r="H3" s="18">
        <f>E3*0.00001</f>
        <v>1.8840000000000001</v>
      </c>
      <c r="I3" s="18">
        <f>(F3+G3+H3)*0.07</f>
        <v>27.299160000000004</v>
      </c>
      <c r="J3" s="18">
        <f>E3+F3+I3+G3+H3</f>
        <v>188817.28715999998</v>
      </c>
      <c r="K3" s="11"/>
      <c r="L3" s="12"/>
    </row>
    <row r="4" spans="1:19" s="21" customFormat="1" ht="12.75">
      <c r="A4" s="70"/>
      <c r="B4" s="7">
        <f>(D3-D2)/D2</f>
        <v>-3.0864197530864196E-2</v>
      </c>
      <c r="C4" s="5">
        <f>SUM(C2:C3)</f>
        <v>6000</v>
      </c>
      <c r="D4" s="71">
        <f>E4/C4</f>
        <v>80</v>
      </c>
      <c r="E4" s="5">
        <f t="shared" ref="E4:J4" si="0">SUM(E2:E3)</f>
        <v>480000</v>
      </c>
      <c r="F4" s="5">
        <f t="shared" si="0"/>
        <v>960</v>
      </c>
      <c r="G4" s="5">
        <f t="shared" si="0"/>
        <v>28.800000000000004</v>
      </c>
      <c r="H4" s="5">
        <f t="shared" si="0"/>
        <v>4.8000000000000007</v>
      </c>
      <c r="I4" s="5">
        <f t="shared" si="0"/>
        <v>69.552000000000007</v>
      </c>
      <c r="J4" s="5">
        <f t="shared" si="0"/>
        <v>481063.152</v>
      </c>
      <c r="L4" s="25"/>
    </row>
    <row r="5" spans="1:19" s="13" customFormat="1" ht="12.75">
      <c r="A5" s="39">
        <v>44502</v>
      </c>
      <c r="B5" s="15" t="s">
        <v>2</v>
      </c>
      <c r="C5" s="16">
        <v>4000</v>
      </c>
      <c r="D5" s="69">
        <v>80</v>
      </c>
      <c r="E5" s="18">
        <f>C5*D5</f>
        <v>320000</v>
      </c>
      <c r="F5" s="18">
        <f>E5*0.002</f>
        <v>640</v>
      </c>
      <c r="G5" s="18">
        <f>E5*0.00006</f>
        <v>19.2</v>
      </c>
      <c r="H5" s="18">
        <f>E5*0.00001</f>
        <v>3.2</v>
      </c>
      <c r="I5" s="18">
        <f>(F5+G5+H5)*0.07</f>
        <v>46.368000000000009</v>
      </c>
      <c r="J5" s="18">
        <f>E5+F5+I5+G5+H5</f>
        <v>320708.76800000004</v>
      </c>
      <c r="K5" s="11"/>
      <c r="L5" s="12"/>
    </row>
    <row r="6" spans="1:19" s="13" customFormat="1" ht="12.75">
      <c r="A6" s="39">
        <v>44529</v>
      </c>
      <c r="B6" s="15" t="s">
        <v>2</v>
      </c>
      <c r="C6" s="16">
        <v>3000</v>
      </c>
      <c r="D6" s="69">
        <v>80</v>
      </c>
      <c r="E6" s="18">
        <f>C6*D6</f>
        <v>240000</v>
      </c>
      <c r="F6" s="18">
        <f>E6*0.002</f>
        <v>480</v>
      </c>
      <c r="G6" s="18">
        <f>E6*0.00006</f>
        <v>14.4</v>
      </c>
      <c r="H6" s="18">
        <f>E6*0.00001</f>
        <v>2.4000000000000004</v>
      </c>
      <c r="I6" s="18">
        <f>(F6+G6+H6)*0.07</f>
        <v>34.776000000000003</v>
      </c>
      <c r="J6" s="18">
        <f>E6+F6+I6+G6+H6</f>
        <v>240531.576</v>
      </c>
      <c r="K6" s="11"/>
      <c r="L6" s="12"/>
    </row>
    <row r="7" spans="1:19" s="13" customFormat="1" ht="12.75">
      <c r="A7" s="39">
        <v>44538</v>
      </c>
      <c r="B7" s="15" t="s">
        <v>2</v>
      </c>
      <c r="C7" s="16">
        <v>2000</v>
      </c>
      <c r="D7" s="69">
        <v>80</v>
      </c>
      <c r="E7" s="18">
        <f>C7*D7</f>
        <v>160000</v>
      </c>
      <c r="F7" s="18">
        <f>E7*0.002</f>
        <v>320</v>
      </c>
      <c r="G7" s="18">
        <f>E7*0.00006</f>
        <v>9.6</v>
      </c>
      <c r="H7" s="18">
        <f>E7*0.00001</f>
        <v>1.6</v>
      </c>
      <c r="I7" s="18">
        <f>(F7+G7+H7)*0.07</f>
        <v>23.184000000000005</v>
      </c>
      <c r="J7" s="18">
        <f>E7+F7+I7+G7+H7</f>
        <v>160354.38400000002</v>
      </c>
      <c r="K7" s="11"/>
      <c r="L7" s="12"/>
    </row>
    <row r="8" spans="1:19" s="13" customFormat="1" ht="12.75">
      <c r="A8" s="39">
        <v>44544</v>
      </c>
      <c r="B8" s="15" t="s">
        <v>1</v>
      </c>
      <c r="C8" s="88">
        <v>2000</v>
      </c>
      <c r="D8" s="69">
        <v>92</v>
      </c>
      <c r="E8" s="18">
        <f>C8*D8</f>
        <v>184000</v>
      </c>
      <c r="F8" s="18">
        <f>E8*0.002</f>
        <v>368</v>
      </c>
      <c r="G8" s="18">
        <f>E8*0.00006</f>
        <v>11.040000000000001</v>
      </c>
      <c r="H8" s="18">
        <f>E8*0.00001</f>
        <v>1.84</v>
      </c>
      <c r="I8" s="18">
        <f>(F8+G8+H8)*0.07</f>
        <v>26.661600000000004</v>
      </c>
      <c r="J8" s="18">
        <f>E8+F8+I8+G8+H8</f>
        <v>184407.5416</v>
      </c>
      <c r="K8" s="11"/>
      <c r="L8" s="12"/>
    </row>
    <row r="9" spans="1:19" s="21" customFormat="1" ht="12.75">
      <c r="A9" s="70"/>
      <c r="B9" s="7">
        <f>(D8-D7)/D7</f>
        <v>0.15</v>
      </c>
      <c r="C9" s="5">
        <f>SUM(C7:C8)</f>
        <v>4000</v>
      </c>
      <c r="D9" s="71">
        <f>E9/C9</f>
        <v>86</v>
      </c>
      <c r="E9" s="5">
        <f t="shared" ref="E9:J9" si="1">SUM(E7:E8)</f>
        <v>344000</v>
      </c>
      <c r="F9" s="5">
        <f t="shared" si="1"/>
        <v>688</v>
      </c>
      <c r="G9" s="5">
        <f t="shared" si="1"/>
        <v>20.64</v>
      </c>
      <c r="H9" s="5">
        <f t="shared" si="1"/>
        <v>3.4400000000000004</v>
      </c>
      <c r="I9" s="5">
        <f t="shared" si="1"/>
        <v>49.845600000000005</v>
      </c>
      <c r="J9" s="5">
        <f t="shared" si="1"/>
        <v>344761.92560000002</v>
      </c>
      <c r="K9" s="22"/>
      <c r="L9" s="22"/>
      <c r="M9" s="22"/>
      <c r="N9" s="22"/>
      <c r="O9" s="22"/>
      <c r="P9" s="22"/>
      <c r="Q9" s="22"/>
      <c r="R9" s="22"/>
      <c r="S9" s="22"/>
    </row>
    <row r="10" spans="1:19" s="13" customFormat="1" ht="12.75">
      <c r="A10" s="39">
        <v>44545</v>
      </c>
      <c r="B10" s="15" t="s">
        <v>1</v>
      </c>
      <c r="C10" s="88">
        <v>1000</v>
      </c>
      <c r="D10" s="69">
        <v>91</v>
      </c>
      <c r="E10" s="18">
        <f>C10*D10</f>
        <v>91000</v>
      </c>
      <c r="F10" s="18">
        <f>E10*0.002</f>
        <v>182</v>
      </c>
      <c r="G10" s="18">
        <f>E10*0.00006</f>
        <v>5.46</v>
      </c>
      <c r="H10" s="18">
        <f>E10*0.00001</f>
        <v>0.91</v>
      </c>
      <c r="I10" s="18">
        <f>(F10+G10+H10)*0.07</f>
        <v>13.185900000000002</v>
      </c>
      <c r="J10" s="18">
        <f>E10+F10+I10+G10+H10</f>
        <v>91201.555900000007</v>
      </c>
      <c r="K10" s="11"/>
      <c r="L10" s="12"/>
    </row>
    <row r="11" spans="1:19" s="21" customFormat="1" ht="12.75">
      <c r="A11" s="70"/>
      <c r="B11" s="7">
        <f>(D10-D9)/D9</f>
        <v>5.8139534883720929E-2</v>
      </c>
      <c r="C11" s="5">
        <f>SUM(C9:C10)</f>
        <v>5000</v>
      </c>
      <c r="D11" s="71">
        <f>E11/C11</f>
        <v>87</v>
      </c>
      <c r="E11" s="5">
        <f t="shared" ref="E11:J11" si="2">SUM(E9:E10)</f>
        <v>435000</v>
      </c>
      <c r="F11" s="5">
        <f t="shared" si="2"/>
        <v>870</v>
      </c>
      <c r="G11" s="5">
        <f t="shared" si="2"/>
        <v>26.1</v>
      </c>
      <c r="H11" s="5">
        <f t="shared" si="2"/>
        <v>4.3500000000000005</v>
      </c>
      <c r="I11" s="5">
        <f t="shared" si="2"/>
        <v>63.031500000000008</v>
      </c>
      <c r="J11" s="5">
        <f t="shared" si="2"/>
        <v>435963.48149999999</v>
      </c>
      <c r="K11" s="22"/>
      <c r="L11" s="22"/>
      <c r="M11" s="22"/>
      <c r="N11" s="22"/>
      <c r="O11" s="22"/>
      <c r="P11" s="22"/>
      <c r="Q11" s="22"/>
      <c r="R11" s="22"/>
      <c r="S11" s="22"/>
    </row>
    <row r="12" spans="1:19" s="13" customFormat="1" ht="12.75">
      <c r="A12" s="39">
        <v>44558</v>
      </c>
      <c r="B12" s="15" t="s">
        <v>2</v>
      </c>
      <c r="C12" s="16">
        <v>4000</v>
      </c>
      <c r="D12" s="69">
        <v>87</v>
      </c>
      <c r="E12" s="18">
        <f>C12*D12</f>
        <v>348000</v>
      </c>
      <c r="F12" s="18">
        <f>E12*0.002</f>
        <v>696</v>
      </c>
      <c r="G12" s="18">
        <f>E12*0.00006</f>
        <v>20.88</v>
      </c>
      <c r="H12" s="18">
        <f>E12*0.00001</f>
        <v>3.4800000000000004</v>
      </c>
      <c r="I12" s="18">
        <f>(F12+G12+H12)*0.07</f>
        <v>50.425200000000004</v>
      </c>
      <c r="J12" s="18">
        <f>E12+F12+I12+G12+H12</f>
        <v>348770.78519999998</v>
      </c>
      <c r="K12" s="11"/>
      <c r="L12" s="12"/>
    </row>
    <row r="13" spans="1:19" ht="12.75">
      <c r="A13" s="49">
        <v>44579</v>
      </c>
      <c r="B13" s="15" t="s">
        <v>1</v>
      </c>
      <c r="C13" s="88">
        <v>2000</v>
      </c>
      <c r="D13" s="41">
        <v>81</v>
      </c>
      <c r="E13" s="18">
        <f>C13*D13</f>
        <v>162000</v>
      </c>
      <c r="F13" s="18">
        <f>E13*0.002</f>
        <v>324</v>
      </c>
      <c r="G13" s="18">
        <f>E13*0.00006</f>
        <v>9.7200000000000006</v>
      </c>
      <c r="H13" s="18">
        <f>E13*0.00001</f>
        <v>1.62</v>
      </c>
      <c r="I13" s="18">
        <f>(F13+G13+H13)*0.07</f>
        <v>23.473800000000004</v>
      </c>
      <c r="J13" s="18">
        <f>E13+F13+I13+G13+H13</f>
        <v>162358.8138</v>
      </c>
    </row>
    <row r="14" spans="1:19" ht="14.25">
      <c r="A14" s="54"/>
      <c r="B14" s="74">
        <f>(D13-D12)/D12</f>
        <v>-6.8965517241379309E-2</v>
      </c>
      <c r="C14" s="51">
        <f>SUM(C12:C13)</f>
        <v>6000</v>
      </c>
      <c r="D14" s="52">
        <f>E14/C14</f>
        <v>85</v>
      </c>
      <c r="E14" s="51">
        <f t="shared" ref="E14:J14" si="3">SUM(E12:E13)</f>
        <v>510000</v>
      </c>
      <c r="F14" s="51">
        <f t="shared" si="3"/>
        <v>1020</v>
      </c>
      <c r="G14" s="51">
        <f t="shared" si="3"/>
        <v>30.6</v>
      </c>
      <c r="H14" s="51">
        <f t="shared" si="3"/>
        <v>5.1000000000000005</v>
      </c>
      <c r="I14" s="51">
        <f t="shared" si="3"/>
        <v>73.899000000000001</v>
      </c>
      <c r="J14" s="51">
        <f t="shared" si="3"/>
        <v>511129.59899999999</v>
      </c>
    </row>
    <row r="15" spans="1:19" ht="12.75">
      <c r="A15" s="49">
        <v>44601</v>
      </c>
      <c r="B15" s="15" t="s">
        <v>1</v>
      </c>
      <c r="C15" s="88">
        <v>3000</v>
      </c>
      <c r="D15" s="41">
        <v>67</v>
      </c>
      <c r="E15" s="18">
        <f>C15*D15</f>
        <v>201000</v>
      </c>
      <c r="F15" s="18">
        <f>E15*0.002</f>
        <v>402</v>
      </c>
      <c r="G15" s="18">
        <f>E15*0.00006</f>
        <v>12.06</v>
      </c>
      <c r="H15" s="18">
        <f>E15*0.00001</f>
        <v>2.0100000000000002</v>
      </c>
      <c r="I15" s="18">
        <f>(F15+G15+H15)*0.07</f>
        <v>29.124900000000004</v>
      </c>
      <c r="J15" s="18">
        <f>E15+F15+I15+G15+H15</f>
        <v>201445.1949</v>
      </c>
    </row>
    <row r="16" spans="1:19" ht="14.25">
      <c r="A16" s="54"/>
      <c r="B16" s="74">
        <f>(D15-D14)/D14</f>
        <v>-0.21176470588235294</v>
      </c>
      <c r="C16" s="51">
        <f>SUM(C14:C15)</f>
        <v>9000</v>
      </c>
      <c r="D16" s="52">
        <f>E16/C16</f>
        <v>79</v>
      </c>
      <c r="E16" s="51">
        <f t="shared" ref="E16:J16" si="4">SUM(E14:E15)</f>
        <v>711000</v>
      </c>
      <c r="F16" s="51">
        <f t="shared" si="4"/>
        <v>1422</v>
      </c>
      <c r="G16" s="51">
        <f t="shared" si="4"/>
        <v>42.660000000000004</v>
      </c>
      <c r="H16" s="51">
        <f t="shared" si="4"/>
        <v>7.1100000000000012</v>
      </c>
      <c r="I16" s="51">
        <f t="shared" si="4"/>
        <v>103.0239</v>
      </c>
      <c r="J16" s="51">
        <f t="shared" si="4"/>
        <v>712574.79389999993</v>
      </c>
    </row>
    <row r="17" spans="1:11" ht="12.75">
      <c r="A17" s="49">
        <v>44603</v>
      </c>
      <c r="B17" s="15" t="s">
        <v>1</v>
      </c>
      <c r="C17" s="88">
        <v>1000</v>
      </c>
      <c r="D17" s="41">
        <v>61.5</v>
      </c>
      <c r="E17" s="18">
        <f>C17*D17</f>
        <v>61500</v>
      </c>
      <c r="F17" s="18">
        <f>E17*0.002</f>
        <v>123</v>
      </c>
      <c r="G17" s="18">
        <f>E17*0.00006</f>
        <v>3.69</v>
      </c>
      <c r="H17" s="18">
        <f>E17*0.00001</f>
        <v>0.6150000000000001</v>
      </c>
      <c r="I17" s="18">
        <f>(F17+G17+H17)*0.07</f>
        <v>8.9113500000000005</v>
      </c>
      <c r="J17" s="18">
        <f>E17+F17+I17+G17+H17</f>
        <v>61636.216350000002</v>
      </c>
    </row>
    <row r="18" spans="1:11" ht="14.25">
      <c r="A18" s="54"/>
      <c r="B18" s="74">
        <f>(D17-D16)/D16</f>
        <v>-0.22151898734177214</v>
      </c>
      <c r="C18" s="51">
        <f>SUM(C16:C17)</f>
        <v>10000</v>
      </c>
      <c r="D18" s="52">
        <f>E18/C18</f>
        <v>77.25</v>
      </c>
      <c r="E18" s="51">
        <f t="shared" ref="E18:J18" si="5">SUM(E16:E17)</f>
        <v>772500</v>
      </c>
      <c r="F18" s="51">
        <f t="shared" si="5"/>
        <v>1545</v>
      </c>
      <c r="G18" s="51">
        <f t="shared" si="5"/>
        <v>46.35</v>
      </c>
      <c r="H18" s="51">
        <f t="shared" si="5"/>
        <v>7.7250000000000014</v>
      </c>
      <c r="I18" s="51">
        <f t="shared" si="5"/>
        <v>111.93525</v>
      </c>
      <c r="J18" s="51">
        <f t="shared" si="5"/>
        <v>774211.01024999993</v>
      </c>
    </row>
    <row r="19" spans="1:11" ht="12.75">
      <c r="A19" s="49">
        <v>44623</v>
      </c>
      <c r="B19" s="15" t="s">
        <v>1</v>
      </c>
      <c r="C19" s="88">
        <v>1000</v>
      </c>
      <c r="D19" s="41">
        <v>58</v>
      </c>
      <c r="E19" s="18">
        <f>C19*D19</f>
        <v>58000</v>
      </c>
      <c r="F19" s="18">
        <f>E19*0.002</f>
        <v>116</v>
      </c>
      <c r="G19" s="18">
        <f>E19*0.00006</f>
        <v>3.48</v>
      </c>
      <c r="H19" s="18">
        <f>E19*0.00001</f>
        <v>0.58000000000000007</v>
      </c>
      <c r="I19" s="18">
        <f>(F19+G19+H19)*0.07</f>
        <v>8.4042000000000012</v>
      </c>
      <c r="J19" s="18">
        <f>E19+F19+I19+G19+H19</f>
        <v>58128.464200000002</v>
      </c>
    </row>
    <row r="20" spans="1:11" ht="14.25">
      <c r="A20" s="54"/>
      <c r="B20" s="74">
        <f>(D19-D18)/D18</f>
        <v>-0.24919093851132687</v>
      </c>
      <c r="C20" s="51">
        <f>SUM(C18:C19)</f>
        <v>11000</v>
      </c>
      <c r="D20" s="52">
        <f>E20/C20</f>
        <v>75.5</v>
      </c>
      <c r="E20" s="51">
        <f t="shared" ref="E20:J20" si="6">SUM(E18:E19)</f>
        <v>830500</v>
      </c>
      <c r="F20" s="51">
        <f t="shared" si="6"/>
        <v>1661</v>
      </c>
      <c r="G20" s="51">
        <f t="shared" si="6"/>
        <v>49.83</v>
      </c>
      <c r="H20" s="51">
        <f t="shared" si="6"/>
        <v>8.3050000000000015</v>
      </c>
      <c r="I20" s="51">
        <f t="shared" si="6"/>
        <v>120.33945</v>
      </c>
      <c r="J20" s="51">
        <f t="shared" si="6"/>
        <v>832339.47444999998</v>
      </c>
    </row>
    <row r="21" spans="1:11" ht="12.75">
      <c r="A21" s="49">
        <v>44638</v>
      </c>
      <c r="B21" s="15" t="s">
        <v>1</v>
      </c>
      <c r="C21" s="88">
        <v>1000</v>
      </c>
      <c r="D21" s="41">
        <v>64.25</v>
      </c>
      <c r="E21" s="18">
        <f>C21*D21</f>
        <v>64250</v>
      </c>
      <c r="F21" s="18">
        <f>E21*0.002</f>
        <v>128.5</v>
      </c>
      <c r="G21" s="18">
        <f>E21*0.00006</f>
        <v>3.855</v>
      </c>
      <c r="H21" s="18">
        <f>E21*0.00001</f>
        <v>0.64250000000000007</v>
      </c>
      <c r="I21" s="18">
        <f>(F21+G21+H21)*0.07</f>
        <v>9.3098250000000018</v>
      </c>
      <c r="J21" s="18">
        <f>E21+F21+I21+G21+H21</f>
        <v>64392.307325000002</v>
      </c>
    </row>
    <row r="22" spans="1:11" ht="14.25">
      <c r="A22" s="96"/>
      <c r="B22" s="97">
        <f>(D21-D28)/D28</f>
        <v>-0.12767624020887736</v>
      </c>
      <c r="C22" s="98">
        <f>SUM(C20:C21)</f>
        <v>12000</v>
      </c>
      <c r="D22" s="99">
        <f>E22/C22</f>
        <v>74.5625</v>
      </c>
      <c r="E22" s="98">
        <f t="shared" ref="E22:J22" si="7">SUM(E20:E21)</f>
        <v>894750</v>
      </c>
      <c r="F22" s="98">
        <f t="shared" si="7"/>
        <v>1789.5</v>
      </c>
      <c r="G22" s="98">
        <f t="shared" si="7"/>
        <v>53.684999999999995</v>
      </c>
      <c r="H22" s="98">
        <f t="shared" si="7"/>
        <v>8.9475000000000016</v>
      </c>
      <c r="I22" s="98">
        <f t="shared" si="7"/>
        <v>129.64927499999999</v>
      </c>
      <c r="J22" s="98">
        <f t="shared" si="7"/>
        <v>896731.78177500004</v>
      </c>
    </row>
    <row r="23" spans="1:11" ht="12.75">
      <c r="A23" s="49">
        <v>44658</v>
      </c>
      <c r="B23" s="15" t="s">
        <v>1</v>
      </c>
      <c r="C23" s="88">
        <v>1000</v>
      </c>
      <c r="D23" s="41">
        <v>62.75</v>
      </c>
      <c r="E23" s="18">
        <f>C23*D23</f>
        <v>62750</v>
      </c>
      <c r="F23" s="18">
        <f>E23*0.002</f>
        <v>125.5</v>
      </c>
      <c r="G23" s="18">
        <f>E23*0.00006</f>
        <v>3.7650000000000001</v>
      </c>
      <c r="H23" s="18">
        <f>E23*0.00001</f>
        <v>0.62750000000000006</v>
      </c>
      <c r="I23" s="18">
        <f>(F23+G23+H23)*0.07</f>
        <v>9.0924750000000003</v>
      </c>
      <c r="J23" s="18">
        <f>E23+F23+I23+G23+H23</f>
        <v>62888.984974999999</v>
      </c>
    </row>
    <row r="24" spans="1:11" ht="14.25">
      <c r="A24" s="54"/>
      <c r="B24" s="74">
        <f>(D23-D22)/D22</f>
        <v>-0.1584241408214585</v>
      </c>
      <c r="C24" s="51">
        <f>SUM(C22:C23)</f>
        <v>13000</v>
      </c>
      <c r="D24" s="52">
        <f>E24/C24</f>
        <v>73.65384615384616</v>
      </c>
      <c r="E24" s="51">
        <f t="shared" ref="E24:J24" si="8">SUM(E22:E23)</f>
        <v>957500</v>
      </c>
      <c r="F24" s="51">
        <f t="shared" si="8"/>
        <v>1915</v>
      </c>
      <c r="G24" s="51">
        <f t="shared" si="8"/>
        <v>57.449999999999996</v>
      </c>
      <c r="H24" s="51">
        <f t="shared" si="8"/>
        <v>9.5750000000000011</v>
      </c>
      <c r="I24" s="51">
        <f t="shared" si="8"/>
        <v>138.74175</v>
      </c>
      <c r="J24" s="51">
        <f t="shared" si="8"/>
        <v>959620.76675000007</v>
      </c>
    </row>
    <row r="25" spans="1:11" ht="12.75">
      <c r="A25" s="49">
        <v>44726</v>
      </c>
      <c r="B25" s="15" t="s">
        <v>1</v>
      </c>
      <c r="C25" s="88">
        <v>1000</v>
      </c>
      <c r="D25" s="41">
        <v>61.25</v>
      </c>
      <c r="E25" s="18">
        <f>C25*D25</f>
        <v>61250</v>
      </c>
      <c r="F25" s="18">
        <f>E25*0.002</f>
        <v>122.5</v>
      </c>
      <c r="G25" s="18">
        <f>E25*0.00006</f>
        <v>3.6750000000000003</v>
      </c>
      <c r="H25" s="18">
        <f>E25*0.00001</f>
        <v>0.61250000000000004</v>
      </c>
      <c r="I25" s="18">
        <f>(F25+G25+H25)*0.07</f>
        <v>8.8751250000000006</v>
      </c>
      <c r="J25" s="18">
        <f>E25+F25+I25+G25+H25</f>
        <v>61385.662625000004</v>
      </c>
    </row>
    <row r="26" spans="1:11" s="13" customFormat="1" ht="12.75">
      <c r="A26" s="49">
        <v>44957</v>
      </c>
      <c r="B26" s="15" t="s">
        <v>3</v>
      </c>
      <c r="C26" s="16">
        <f>C25</f>
        <v>1000</v>
      </c>
      <c r="D26" s="26">
        <v>53.75</v>
      </c>
      <c r="E26" s="17">
        <f>C26*D26</f>
        <v>53750</v>
      </c>
      <c r="F26" s="27">
        <f>E26*0.002</f>
        <v>107.5</v>
      </c>
      <c r="G26" s="26">
        <f>E26*0.000068</f>
        <v>3.6549999999999998</v>
      </c>
      <c r="H26" s="26">
        <f>E26*0.00001</f>
        <v>0.53750000000000009</v>
      </c>
      <c r="I26" s="26">
        <f>(F26+G26+H26)*0.07</f>
        <v>7.8184750000000003</v>
      </c>
      <c r="J26" s="26">
        <f>E26-F26-G26-H26-I26</f>
        <v>53630.489025000003</v>
      </c>
      <c r="K26" s="16">
        <f>C26</f>
        <v>1000</v>
      </c>
    </row>
    <row r="27" spans="1:11" s="31" customFormat="1" ht="18.75">
      <c r="A27" s="49" t="s">
        <v>4</v>
      </c>
      <c r="B27" s="7">
        <f>(D26-D25)/D25</f>
        <v>-0.12244897959183673</v>
      </c>
      <c r="C27" s="16"/>
      <c r="D27" s="17"/>
      <c r="E27" s="18">
        <f>E26-E25</f>
        <v>-7500</v>
      </c>
      <c r="F27" s="18"/>
      <c r="G27" s="18"/>
      <c r="H27" s="18"/>
      <c r="I27" s="18"/>
      <c r="J27" s="18">
        <f>J26-J25</f>
        <v>-7755.1736000000019</v>
      </c>
      <c r="K27" s="18">
        <f>J27</f>
        <v>-7755.1736000000019</v>
      </c>
    </row>
    <row r="28" spans="1:11" ht="14.25">
      <c r="A28" s="49">
        <v>44957</v>
      </c>
      <c r="B28" s="74" t="s">
        <v>2</v>
      </c>
      <c r="C28" s="51">
        <v>13000</v>
      </c>
      <c r="D28" s="52">
        <v>73.65384615384616</v>
      </c>
      <c r="E28" s="51">
        <v>957500</v>
      </c>
      <c r="F28" s="51">
        <v>1915</v>
      </c>
      <c r="G28" s="51">
        <v>57.449999999999996</v>
      </c>
      <c r="H28" s="51">
        <v>9.5750000000000011</v>
      </c>
      <c r="I28" s="51">
        <v>138.74175</v>
      </c>
      <c r="J28" s="51">
        <v>959620.76675000007</v>
      </c>
    </row>
    <row r="29" spans="1:11" ht="12.75">
      <c r="A29" s="49">
        <v>44658</v>
      </c>
      <c r="B29" s="15" t="s">
        <v>1</v>
      </c>
      <c r="C29" s="88">
        <v>1000</v>
      </c>
      <c r="D29" s="41">
        <v>62.75</v>
      </c>
      <c r="E29" s="18">
        <f>C29*D29</f>
        <v>62750</v>
      </c>
      <c r="F29" s="18">
        <f>E29*0.002</f>
        <v>125.5</v>
      </c>
      <c r="G29" s="18">
        <f>E29*0.00006</f>
        <v>3.7650000000000001</v>
      </c>
      <c r="H29" s="18">
        <f>E29*0.00001</f>
        <v>0.62750000000000006</v>
      </c>
      <c r="I29" s="18">
        <f>(F29+G29+H29)*0.07</f>
        <v>9.0924750000000003</v>
      </c>
      <c r="J29" s="18">
        <f>E29+F29+I29+G29+H29</f>
        <v>62888.984974999999</v>
      </c>
    </row>
    <row r="30" spans="1:11" s="13" customFormat="1" ht="12.75">
      <c r="A30" s="49">
        <v>44958</v>
      </c>
      <c r="B30" s="15" t="s">
        <v>3</v>
      </c>
      <c r="C30" s="16">
        <f>C29</f>
        <v>1000</v>
      </c>
      <c r="D30" s="26">
        <v>56</v>
      </c>
      <c r="E30" s="17">
        <f>C30*D30</f>
        <v>56000</v>
      </c>
      <c r="F30" s="27">
        <f>E30*0.002</f>
        <v>112</v>
      </c>
      <c r="G30" s="26">
        <f>E30*0.000068</f>
        <v>3.8079999999999998</v>
      </c>
      <c r="H30" s="26">
        <f>E30*0.00001</f>
        <v>0.56000000000000005</v>
      </c>
      <c r="I30" s="26">
        <f>(F30+G30+H30)*0.07</f>
        <v>8.145760000000001</v>
      </c>
      <c r="J30" s="26">
        <f>E30-F30-G30-H30-I30</f>
        <v>55875.486240000006</v>
      </c>
      <c r="K30" s="16">
        <f>C30</f>
        <v>1000</v>
      </c>
    </row>
    <row r="31" spans="1:11" s="31" customFormat="1" ht="18.75">
      <c r="A31" s="49" t="s">
        <v>4</v>
      </c>
      <c r="B31" s="7">
        <f>(D30-D29)/D29</f>
        <v>-0.10756972111553785</v>
      </c>
      <c r="C31" s="16"/>
      <c r="D31" s="17"/>
      <c r="E31" s="18">
        <f>E30-E29</f>
        <v>-6750</v>
      </c>
      <c r="F31" s="18"/>
      <c r="G31" s="18"/>
      <c r="H31" s="18"/>
      <c r="I31" s="18"/>
      <c r="J31" s="18">
        <f>J30-J29</f>
        <v>-7013.4987349999938</v>
      </c>
      <c r="K31" s="18">
        <f>J31</f>
        <v>-7013.4987349999938</v>
      </c>
    </row>
    <row r="32" spans="1:11" ht="14.25">
      <c r="A32" s="54"/>
      <c r="B32" s="74" t="s">
        <v>2</v>
      </c>
      <c r="C32" s="51">
        <v>12000</v>
      </c>
      <c r="D32" s="52">
        <v>74.5625</v>
      </c>
      <c r="E32" s="51">
        <v>894750</v>
      </c>
      <c r="F32" s="51">
        <v>1789.5</v>
      </c>
      <c r="G32" s="51">
        <v>53.684999999999995</v>
      </c>
      <c r="H32" s="51">
        <v>8.9475000000000016</v>
      </c>
      <c r="I32" s="51">
        <v>129.64927499999999</v>
      </c>
      <c r="J32" s="51">
        <v>896731.78177500004</v>
      </c>
    </row>
    <row r="33" spans="1:15" ht="12.75">
      <c r="A33" s="49">
        <v>44638</v>
      </c>
      <c r="B33" s="15" t="s">
        <v>1</v>
      </c>
      <c r="C33" s="88">
        <v>1000</v>
      </c>
      <c r="D33" s="41">
        <v>64.25</v>
      </c>
      <c r="E33" s="18">
        <f>C33*D33</f>
        <v>64250</v>
      </c>
      <c r="F33" s="18">
        <f>E33*0.002</f>
        <v>128.5</v>
      </c>
      <c r="G33" s="18">
        <f>E33*0.00006</f>
        <v>3.855</v>
      </c>
      <c r="H33" s="18">
        <f>E33*0.00001</f>
        <v>0.64250000000000007</v>
      </c>
      <c r="I33" s="18">
        <f>(F33+G33+H33)*0.07</f>
        <v>9.3098250000000018</v>
      </c>
      <c r="J33" s="18">
        <f>E33+F33+I33+G33+H33</f>
        <v>64392.307325000002</v>
      </c>
    </row>
    <row r="34" spans="1:15" s="13" customFormat="1" ht="12.75">
      <c r="A34" s="49">
        <v>44965</v>
      </c>
      <c r="B34" s="15" t="s">
        <v>3</v>
      </c>
      <c r="C34" s="16">
        <f>C33</f>
        <v>1000</v>
      </c>
      <c r="D34" s="26">
        <v>54.5</v>
      </c>
      <c r="E34" s="17">
        <f>C34*D34</f>
        <v>54500</v>
      </c>
      <c r="F34" s="27">
        <f>E34*0.002</f>
        <v>109</v>
      </c>
      <c r="G34" s="26">
        <f>E34*0.000068</f>
        <v>3.706</v>
      </c>
      <c r="H34" s="26">
        <f>E34*0.00001</f>
        <v>0.54500000000000004</v>
      </c>
      <c r="I34" s="26">
        <f>(F34+G34+H34)*0.07</f>
        <v>7.9275700000000011</v>
      </c>
      <c r="J34" s="26">
        <f>E34-F34-G34-H34-I34</f>
        <v>54378.821430000004</v>
      </c>
      <c r="K34" s="16">
        <f>C34</f>
        <v>1000</v>
      </c>
    </row>
    <row r="35" spans="1:15" s="31" customFormat="1" ht="18.75">
      <c r="A35" s="49" t="s">
        <v>4</v>
      </c>
      <c r="B35" s="7">
        <f>(D34-D33)/D33</f>
        <v>-0.1517509727626459</v>
      </c>
      <c r="C35" s="16"/>
      <c r="D35" s="17"/>
      <c r="E35" s="18">
        <f>E34-E33</f>
        <v>-9750</v>
      </c>
      <c r="F35" s="18"/>
      <c r="G35" s="18"/>
      <c r="H35" s="18"/>
      <c r="I35" s="18"/>
      <c r="J35" s="18">
        <f>J34-J33</f>
        <v>-10013.485894999998</v>
      </c>
      <c r="K35" s="18">
        <f>J35</f>
        <v>-10013.485894999998</v>
      </c>
    </row>
    <row r="36" spans="1:15" ht="14.25">
      <c r="A36" s="49">
        <v>44965</v>
      </c>
      <c r="B36" s="74" t="s">
        <v>2</v>
      </c>
      <c r="C36" s="88">
        <v>11000</v>
      </c>
      <c r="D36" s="41">
        <v>75.5</v>
      </c>
      <c r="E36" s="18">
        <v>830500</v>
      </c>
      <c r="F36" s="18">
        <v>1661</v>
      </c>
      <c r="G36" s="18">
        <v>49.83</v>
      </c>
      <c r="H36" s="18">
        <v>8.3050000000000015</v>
      </c>
      <c r="I36" s="18">
        <v>120.33945</v>
      </c>
      <c r="J36" s="18">
        <v>832339.47444999998</v>
      </c>
    </row>
    <row r="37" spans="1:15" ht="12.75">
      <c r="A37" s="49">
        <v>44623</v>
      </c>
      <c r="B37" s="15" t="s">
        <v>1</v>
      </c>
      <c r="C37" s="88">
        <v>1000</v>
      </c>
      <c r="D37" s="41">
        <v>58</v>
      </c>
      <c r="E37" s="18">
        <f>C37*D37</f>
        <v>58000</v>
      </c>
      <c r="F37" s="18">
        <f>E37*0.002</f>
        <v>116</v>
      </c>
      <c r="G37" s="18">
        <f>E37*0.00006</f>
        <v>3.48</v>
      </c>
      <c r="H37" s="18">
        <f>E37*0.00001</f>
        <v>0.58000000000000007</v>
      </c>
      <c r="I37" s="18">
        <f>(F37+G37+H37)*0.07</f>
        <v>8.4042000000000012</v>
      </c>
      <c r="J37" s="18">
        <f>E37+F37+I37+G37+H37</f>
        <v>58128.464200000002</v>
      </c>
    </row>
    <row r="38" spans="1:15" s="13" customFormat="1" ht="12.75">
      <c r="A38" s="49">
        <v>44965</v>
      </c>
      <c r="B38" s="15" t="s">
        <v>3</v>
      </c>
      <c r="C38" s="16">
        <f>C37</f>
        <v>1000</v>
      </c>
      <c r="D38" s="26">
        <v>54.5</v>
      </c>
      <c r="E38" s="17">
        <f>C38*D38</f>
        <v>54500</v>
      </c>
      <c r="F38" s="27">
        <f>E38*0.002</f>
        <v>109</v>
      </c>
      <c r="G38" s="26">
        <f>E38*0.000068</f>
        <v>3.706</v>
      </c>
      <c r="H38" s="26">
        <f>E38*0.00001</f>
        <v>0.54500000000000004</v>
      </c>
      <c r="I38" s="26">
        <f>(F38+G38+H38)*0.07</f>
        <v>7.9275700000000011</v>
      </c>
      <c r="J38" s="26">
        <f>E38-F38-G38-H38-I38</f>
        <v>54378.821430000004</v>
      </c>
      <c r="K38" s="16">
        <f>C38</f>
        <v>1000</v>
      </c>
    </row>
    <row r="39" spans="1:15" s="31" customFormat="1" ht="18.75">
      <c r="A39" s="49" t="s">
        <v>4</v>
      </c>
      <c r="B39" s="7">
        <f>(D38-D37)/D37</f>
        <v>-6.0344827586206899E-2</v>
      </c>
      <c r="C39" s="16"/>
      <c r="D39" s="17"/>
      <c r="E39" s="18">
        <f>E38-E37</f>
        <v>-3500</v>
      </c>
      <c r="F39" s="18"/>
      <c r="G39" s="18"/>
      <c r="H39" s="18"/>
      <c r="I39" s="18"/>
      <c r="J39" s="18">
        <f>J38-J37</f>
        <v>-3749.6427699999986</v>
      </c>
      <c r="K39" s="18">
        <f>J39</f>
        <v>-3749.6427699999986</v>
      </c>
    </row>
    <row r="40" spans="1:15" s="102" customFormat="1" ht="14.25">
      <c r="A40" s="49"/>
      <c r="B40" s="15" t="s">
        <v>2</v>
      </c>
      <c r="C40" s="16">
        <v>10000</v>
      </c>
      <c r="D40" s="41">
        <v>77.25</v>
      </c>
      <c r="E40" s="18">
        <v>772500</v>
      </c>
      <c r="F40" s="18">
        <v>1545</v>
      </c>
      <c r="G40" s="18">
        <v>46.35</v>
      </c>
      <c r="H40" s="18">
        <v>7.7250000000000014</v>
      </c>
      <c r="I40" s="18">
        <v>111.93525</v>
      </c>
      <c r="J40" s="18">
        <v>774211.01024999993</v>
      </c>
      <c r="K40" s="100"/>
      <c r="L40" s="101"/>
      <c r="M40" s="101"/>
      <c r="N40" s="101"/>
      <c r="O40" s="101"/>
    </row>
    <row r="41" spans="1:15" ht="12.75">
      <c r="A41" s="56">
        <v>44603</v>
      </c>
      <c r="B41" s="13" t="s">
        <v>1</v>
      </c>
      <c r="C41" s="91">
        <v>1000</v>
      </c>
      <c r="D41" s="46">
        <v>47</v>
      </c>
      <c r="E41" s="20">
        <f>C41*D41</f>
        <v>47000</v>
      </c>
      <c r="F41" s="20">
        <f>E41*0.002</f>
        <v>94</v>
      </c>
      <c r="G41" s="20">
        <f>E41*0.00006</f>
        <v>2.8200000000000003</v>
      </c>
      <c r="H41" s="20">
        <f>E41*0.00001</f>
        <v>0.47000000000000003</v>
      </c>
      <c r="I41" s="20">
        <f>(F41+G41+H41)*0.07</f>
        <v>6.8102999999999998</v>
      </c>
      <c r="J41" s="20">
        <f>E41+F41+I41+G41+H41</f>
        <v>47104.100299999998</v>
      </c>
    </row>
    <row r="42" spans="1:15">
      <c r="B42" s="3">
        <f>(D41-D40)/D40</f>
        <v>-0.39158576051779936</v>
      </c>
      <c r="C42" s="2">
        <f>SUM(C40:C41)</f>
        <v>11000</v>
      </c>
      <c r="D42" s="47">
        <f>E42/C42</f>
        <v>74.5</v>
      </c>
      <c r="E42" s="2">
        <f t="shared" ref="E42:J42" si="9">SUM(E40:E41)</f>
        <v>819500</v>
      </c>
      <c r="F42" s="2">
        <f t="shared" si="9"/>
        <v>1639</v>
      </c>
      <c r="G42" s="2">
        <f t="shared" si="9"/>
        <v>49.17</v>
      </c>
      <c r="H42" s="2">
        <f t="shared" si="9"/>
        <v>8.1950000000000021</v>
      </c>
      <c r="I42" s="2">
        <f t="shared" si="9"/>
        <v>118.74554999999999</v>
      </c>
      <c r="J42" s="2">
        <f t="shared" si="9"/>
        <v>821315.11054999998</v>
      </c>
    </row>
    <row r="43" spans="1:15" s="19" customFormat="1" ht="15">
      <c r="A43" s="56"/>
      <c r="B43" s="13"/>
      <c r="C43" s="10"/>
      <c r="D43" s="46"/>
      <c r="E43" s="20"/>
      <c r="F43" s="20"/>
      <c r="G43" s="20"/>
      <c r="H43" s="20"/>
      <c r="I43" s="20"/>
      <c r="J43" s="20"/>
      <c r="K43" s="57"/>
      <c r="L43" s="58"/>
      <c r="M43" s="58"/>
      <c r="N43" s="58"/>
      <c r="O43" s="58"/>
    </row>
    <row r="44" spans="1:15" s="13" customFormat="1" ht="12.75">
      <c r="A44" s="56"/>
      <c r="C44" s="10"/>
      <c r="D44" s="34"/>
      <c r="E44" s="11"/>
      <c r="F44" s="35"/>
      <c r="G44" s="34"/>
      <c r="H44" s="34"/>
      <c r="I44" s="34"/>
      <c r="J44" s="34"/>
      <c r="K44" s="10"/>
    </row>
    <row r="45" spans="1:15" s="31" customFormat="1" ht="18.75">
      <c r="A45" s="56"/>
      <c r="B45" s="25"/>
      <c r="C45" s="10"/>
      <c r="D45" s="11"/>
      <c r="E45" s="20"/>
      <c r="F45" s="20"/>
      <c r="G45" s="20"/>
      <c r="H45" s="20"/>
      <c r="I45" s="20"/>
      <c r="J45" s="20"/>
      <c r="K45" s="20"/>
    </row>
    <row r="46" spans="1:15" s="19" customFormat="1" ht="15">
      <c r="A46" s="56"/>
      <c r="B46" s="13"/>
      <c r="C46" s="10"/>
      <c r="D46" s="46"/>
      <c r="E46" s="20"/>
      <c r="F46" s="20"/>
      <c r="G46" s="20"/>
      <c r="H46" s="20"/>
      <c r="I46" s="20"/>
      <c r="J46" s="20"/>
      <c r="K46" s="57"/>
      <c r="L46" s="58"/>
      <c r="M46" s="58"/>
      <c r="N46" s="58"/>
      <c r="O46" s="58"/>
    </row>
    <row r="47" spans="1:15" s="13" customFormat="1" ht="12.75">
      <c r="A47" s="56"/>
      <c r="C47" s="10"/>
      <c r="D47" s="34"/>
      <c r="E47" s="11"/>
      <c r="F47" s="35"/>
      <c r="G47" s="34"/>
      <c r="H47" s="34"/>
      <c r="I47" s="34"/>
      <c r="J47" s="34"/>
      <c r="K47" s="10"/>
    </row>
    <row r="48" spans="1:15" s="31" customFormat="1" ht="18.75">
      <c r="A48" s="56"/>
      <c r="B48" s="25"/>
      <c r="C48" s="10"/>
      <c r="D48" s="11"/>
      <c r="E48" s="20"/>
      <c r="F48" s="20"/>
      <c r="G48" s="20"/>
      <c r="H48" s="20"/>
      <c r="I48" s="20"/>
      <c r="J48" s="20"/>
      <c r="K48" s="20"/>
    </row>
    <row r="49" spans="1:15" s="19" customFormat="1" ht="15">
      <c r="A49" s="56"/>
      <c r="B49" s="13"/>
      <c r="C49" s="10"/>
      <c r="D49" s="46"/>
      <c r="E49" s="20"/>
      <c r="F49" s="20"/>
      <c r="G49" s="20"/>
      <c r="H49" s="20"/>
      <c r="I49" s="20"/>
      <c r="J49" s="20"/>
      <c r="K49" s="57"/>
      <c r="L49" s="58"/>
      <c r="M49" s="58"/>
      <c r="N49" s="58"/>
      <c r="O49" s="58"/>
    </row>
    <row r="50" spans="1:15" s="13" customFormat="1" ht="12.75">
      <c r="A50" s="56"/>
      <c r="C50" s="10"/>
      <c r="D50" s="34"/>
      <c r="E50" s="11"/>
      <c r="F50" s="35"/>
      <c r="G50" s="34"/>
      <c r="H50" s="34"/>
      <c r="I50" s="34"/>
      <c r="J50" s="34"/>
      <c r="K50" s="10"/>
    </row>
    <row r="51" spans="1:15" s="31" customFormat="1" ht="18.75">
      <c r="A51" s="56"/>
      <c r="B51" s="25"/>
      <c r="C51" s="10"/>
      <c r="D51" s="11"/>
      <c r="E51" s="20"/>
      <c r="F51" s="20"/>
      <c r="G51" s="20"/>
      <c r="H51" s="20"/>
      <c r="I51" s="20"/>
      <c r="J51" s="20"/>
      <c r="K51" s="20"/>
    </row>
    <row r="52" spans="1:15" s="19" customFormat="1" ht="15">
      <c r="A52" s="56"/>
      <c r="B52" s="13"/>
      <c r="C52" s="10"/>
      <c r="D52" s="46"/>
      <c r="E52" s="20"/>
      <c r="F52" s="20"/>
      <c r="G52" s="20"/>
      <c r="H52" s="20"/>
      <c r="I52" s="20"/>
      <c r="J52" s="20"/>
      <c r="K52" s="57"/>
      <c r="L52" s="58"/>
      <c r="M52" s="58"/>
      <c r="N52" s="58"/>
      <c r="O52" s="58"/>
    </row>
    <row r="53" spans="1:15" s="13" customFormat="1" ht="12.75">
      <c r="A53" s="56"/>
      <c r="C53" s="10"/>
      <c r="D53" s="34"/>
      <c r="E53" s="11"/>
      <c r="F53" s="35"/>
      <c r="G53" s="34"/>
      <c r="H53" s="34"/>
      <c r="I53" s="34"/>
      <c r="J53" s="34"/>
      <c r="K53" s="10"/>
    </row>
    <row r="54" spans="1:15" s="31" customFormat="1" ht="18.75">
      <c r="A54" s="56"/>
      <c r="B54" s="25"/>
      <c r="C54" s="10"/>
      <c r="D54" s="11"/>
      <c r="E54" s="20"/>
      <c r="F54" s="20"/>
      <c r="G54" s="20"/>
      <c r="H54" s="20"/>
      <c r="I54" s="20"/>
      <c r="J54" s="20"/>
      <c r="K54" s="92"/>
    </row>
    <row r="55" spans="1:15" s="19" customFormat="1" ht="15">
      <c r="A55" s="56"/>
      <c r="B55" s="13"/>
      <c r="C55" s="10"/>
      <c r="D55" s="46"/>
      <c r="E55" s="20"/>
      <c r="F55" s="20"/>
      <c r="G55" s="20"/>
      <c r="H55" s="20"/>
      <c r="I55" s="20"/>
      <c r="J55" s="20"/>
      <c r="K55" s="57"/>
      <c r="L55" s="58"/>
      <c r="M55" s="58"/>
      <c r="N55" s="58"/>
      <c r="O55" s="58"/>
    </row>
    <row r="56" spans="1:15" s="13" customFormat="1" ht="12.75">
      <c r="A56" s="56"/>
      <c r="C56" s="10"/>
      <c r="D56" s="34"/>
      <c r="E56" s="11"/>
      <c r="F56" s="35"/>
      <c r="G56" s="34"/>
      <c r="H56" s="34"/>
      <c r="I56" s="34"/>
      <c r="J56" s="34"/>
    </row>
    <row r="57" spans="1:15" s="31" customFormat="1" ht="18.75">
      <c r="A57" s="56"/>
      <c r="B57" s="25"/>
      <c r="C57" s="10"/>
      <c r="D57" s="11"/>
      <c r="E57" s="20"/>
      <c r="F57" s="20"/>
      <c r="G57" s="20"/>
      <c r="H57" s="20"/>
      <c r="I57" s="20"/>
      <c r="J57" s="20"/>
      <c r="K57" s="20"/>
    </row>
    <row r="58" spans="1:15" s="19" customFormat="1" ht="15">
      <c r="A58" s="56"/>
      <c r="B58" s="13"/>
      <c r="C58" s="10"/>
      <c r="D58" s="46"/>
      <c r="E58" s="20"/>
      <c r="F58" s="20"/>
      <c r="G58" s="20"/>
      <c r="H58" s="20"/>
      <c r="I58" s="20"/>
      <c r="J58" s="20"/>
      <c r="K58" s="57"/>
      <c r="L58" s="58"/>
      <c r="M58" s="58"/>
      <c r="N58" s="58"/>
      <c r="O58" s="58"/>
    </row>
    <row r="59" spans="1:15" s="13" customFormat="1" ht="12.75">
      <c r="A59" s="56"/>
      <c r="C59" s="10"/>
      <c r="D59" s="34"/>
      <c r="E59" s="11"/>
      <c r="F59" s="35"/>
      <c r="G59" s="34"/>
      <c r="H59" s="34"/>
      <c r="I59" s="34"/>
      <c r="J59" s="34"/>
    </row>
    <row r="60" spans="1:15" s="31" customFormat="1" ht="18.75">
      <c r="A60" s="56"/>
      <c r="B60" s="25"/>
      <c r="C60" s="10"/>
      <c r="D60" s="11"/>
      <c r="E60" s="20"/>
      <c r="F60" s="20"/>
      <c r="G60" s="20"/>
      <c r="H60" s="20"/>
      <c r="I60" s="20"/>
      <c r="J60" s="20"/>
      <c r="K60" s="20"/>
    </row>
    <row r="61" spans="1:15">
      <c r="C61" s="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</sheetPr>
  <dimension ref="A1:O50"/>
  <sheetViews>
    <sheetView topLeftCell="A20" workbookViewId="0">
      <selection activeCell="D28" sqref="D28"/>
    </sheetView>
  </sheetViews>
  <sheetFormatPr defaultColWidth="8.875" defaultRowHeight="14.25"/>
  <cols>
    <col min="1" max="1" width="10.625" style="50" customWidth="1"/>
    <col min="2" max="2" width="7.125" style="1" customWidth="1"/>
    <col min="3" max="3" width="6.625" style="1" customWidth="1"/>
    <col min="4" max="4" width="7.375" style="1" bestFit="1" customWidth="1"/>
    <col min="5" max="5" width="11.25" style="1" customWidth="1"/>
    <col min="6" max="6" width="8.875" style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2">
      <c r="B1" s="1" t="s">
        <v>5</v>
      </c>
    </row>
    <row r="2" spans="1:12" s="21" customFormat="1">
      <c r="A2" s="56">
        <v>43252</v>
      </c>
      <c r="B2" s="13" t="s">
        <v>1</v>
      </c>
      <c r="C2" s="10">
        <v>3000</v>
      </c>
      <c r="D2" s="11">
        <v>89</v>
      </c>
      <c r="E2" s="20">
        <f>C2*D2</f>
        <v>267000</v>
      </c>
      <c r="F2" s="20">
        <f>E2*0.002</f>
        <v>534</v>
      </c>
      <c r="G2" s="20">
        <f>E2*0.000068</f>
        <v>18.155999999999999</v>
      </c>
      <c r="H2" s="20">
        <f>E2*0.00001</f>
        <v>2.6700000000000004</v>
      </c>
      <c r="I2" s="20">
        <f>(F2+G2+H2)*0.07</f>
        <v>38.837820000000001</v>
      </c>
      <c r="J2" s="20">
        <f>E2+F2+I2+G2+H2</f>
        <v>267593.66382000002</v>
      </c>
      <c r="K2" s="4"/>
      <c r="L2" s="4"/>
    </row>
    <row r="3" spans="1:12" s="21" customFormat="1" ht="21" customHeight="1">
      <c r="A3" s="56">
        <v>43280</v>
      </c>
      <c r="B3" s="13" t="s">
        <v>1</v>
      </c>
      <c r="C3" s="10">
        <v>1500</v>
      </c>
      <c r="D3" s="11">
        <v>75.5</v>
      </c>
      <c r="E3" s="20">
        <f>C3*D3</f>
        <v>113250</v>
      </c>
      <c r="F3" s="20">
        <f>E3*0.002</f>
        <v>226.5</v>
      </c>
      <c r="G3" s="20">
        <f>E3*0.000068</f>
        <v>7.7009999999999996</v>
      </c>
      <c r="H3" s="20">
        <f>E3*0.00001</f>
        <v>1.1325000000000001</v>
      </c>
      <c r="I3" s="20">
        <f>(F3+G3+H3)*0.07</f>
        <v>16.473345000000002</v>
      </c>
      <c r="J3" s="20">
        <f>E3+F3+I3+G3+H3</f>
        <v>113501.80684500001</v>
      </c>
    </row>
    <row r="4" spans="1:12" s="21" customFormat="1">
      <c r="A4" s="89"/>
      <c r="C4" s="22">
        <f>SUM(C2:C3)</f>
        <v>4500</v>
      </c>
      <c r="D4" s="33">
        <f>E4/C4</f>
        <v>84.5</v>
      </c>
      <c r="E4" s="22">
        <f t="shared" ref="E4:J4" si="0">SUM(E2:E3)</f>
        <v>380250</v>
      </c>
      <c r="F4" s="22">
        <f t="shared" si="0"/>
        <v>760.5</v>
      </c>
      <c r="G4" s="22">
        <f t="shared" si="0"/>
        <v>25.856999999999999</v>
      </c>
      <c r="H4" s="22">
        <f t="shared" si="0"/>
        <v>3.8025000000000002</v>
      </c>
      <c r="I4" s="22">
        <f t="shared" si="0"/>
        <v>55.311165000000003</v>
      </c>
      <c r="J4" s="22">
        <f t="shared" si="0"/>
        <v>381095.47066500003</v>
      </c>
      <c r="K4" s="22"/>
      <c r="L4" s="22"/>
    </row>
    <row r="5" spans="1:12" s="21" customFormat="1" ht="21" customHeight="1">
      <c r="A5" s="56">
        <v>43397</v>
      </c>
      <c r="B5" s="13" t="s">
        <v>1</v>
      </c>
      <c r="C5" s="10">
        <v>1500</v>
      </c>
      <c r="D5" s="11">
        <v>74.5</v>
      </c>
      <c r="E5" s="20">
        <f>C5*D5</f>
        <v>111750</v>
      </c>
      <c r="F5" s="20">
        <f>E5*0.002</f>
        <v>223.5</v>
      </c>
      <c r="G5" s="20">
        <f>E5*0.000068</f>
        <v>7.5990000000000002</v>
      </c>
      <c r="H5" s="20">
        <f>E5*0.00001</f>
        <v>1.1175000000000002</v>
      </c>
      <c r="I5" s="20">
        <f>(F5+G5+H5)*0.07</f>
        <v>16.255155000000002</v>
      </c>
      <c r="J5" s="20">
        <f>E5+F5+I5+G5+H5</f>
        <v>111998.471655</v>
      </c>
    </row>
    <row r="6" spans="1:12" s="21" customFormat="1">
      <c r="A6" s="89"/>
      <c r="C6" s="22">
        <f>SUM(C4:C5)</f>
        <v>6000</v>
      </c>
      <c r="D6" s="33">
        <f>E6/C6</f>
        <v>82</v>
      </c>
      <c r="E6" s="22">
        <f t="shared" ref="E6:J6" si="1">SUM(E4:E5)</f>
        <v>492000</v>
      </c>
      <c r="F6" s="22">
        <f t="shared" si="1"/>
        <v>984</v>
      </c>
      <c r="G6" s="22">
        <f t="shared" si="1"/>
        <v>33.456000000000003</v>
      </c>
      <c r="H6" s="22">
        <f t="shared" si="1"/>
        <v>4.92</v>
      </c>
      <c r="I6" s="22">
        <f t="shared" si="1"/>
        <v>71.566320000000005</v>
      </c>
      <c r="J6" s="22">
        <f t="shared" si="1"/>
        <v>493093.94232000003</v>
      </c>
      <c r="K6" s="22"/>
      <c r="L6" s="22"/>
    </row>
    <row r="7" spans="1:12" s="21" customFormat="1">
      <c r="A7" s="56">
        <v>43651</v>
      </c>
      <c r="B7" s="13" t="s">
        <v>1</v>
      </c>
      <c r="C7" s="10">
        <v>2000</v>
      </c>
      <c r="D7" s="11">
        <v>63</v>
      </c>
      <c r="E7" s="20">
        <f>C7*D7</f>
        <v>126000</v>
      </c>
      <c r="F7" s="20">
        <f>E7*0.002</f>
        <v>252</v>
      </c>
      <c r="G7" s="20">
        <f>E7*0.000068</f>
        <v>8.5679999999999996</v>
      </c>
      <c r="H7" s="20">
        <f>E7*0.00001</f>
        <v>1.26</v>
      </c>
      <c r="I7" s="20">
        <f>(F7+G7+H7)*0.07</f>
        <v>18.327960000000001</v>
      </c>
      <c r="J7" s="20">
        <f>E7+F7+I7+G7+H7</f>
        <v>126280.15595999999</v>
      </c>
      <c r="K7" s="25"/>
      <c r="L7" s="4"/>
    </row>
    <row r="8" spans="1:12" s="13" customFormat="1">
      <c r="A8" s="89"/>
      <c r="B8" s="21"/>
      <c r="C8" s="22">
        <f>SUM(C6:C7)</f>
        <v>8000</v>
      </c>
      <c r="D8" s="33">
        <f>E8/C8</f>
        <v>77.25</v>
      </c>
      <c r="E8" s="22">
        <f t="shared" ref="E8:J8" si="2">SUM(E6:E7)</f>
        <v>618000</v>
      </c>
      <c r="F8" s="22">
        <f t="shared" si="2"/>
        <v>1236</v>
      </c>
      <c r="G8" s="22">
        <f t="shared" si="2"/>
        <v>42.024000000000001</v>
      </c>
      <c r="H8" s="22">
        <f t="shared" si="2"/>
        <v>6.18</v>
      </c>
      <c r="I8" s="22">
        <f t="shared" si="2"/>
        <v>89.894280000000009</v>
      </c>
      <c r="J8" s="22">
        <f t="shared" si="2"/>
        <v>619374.09828000003</v>
      </c>
      <c r="K8" s="25"/>
      <c r="L8" s="15"/>
    </row>
    <row r="9" spans="1:12" s="21" customFormat="1">
      <c r="A9" s="56">
        <v>43990</v>
      </c>
      <c r="B9" s="13" t="s">
        <v>6</v>
      </c>
      <c r="C9" s="10">
        <v>2000</v>
      </c>
      <c r="D9" s="11">
        <v>75.5</v>
      </c>
      <c r="E9" s="20">
        <f>C9*D9</f>
        <v>151000</v>
      </c>
      <c r="F9" s="20">
        <f>E9*0.002</f>
        <v>302</v>
      </c>
      <c r="G9" s="20">
        <f>E9*0.000068</f>
        <v>10.268000000000001</v>
      </c>
      <c r="H9" s="20">
        <f>E9*0.00001</f>
        <v>1.5100000000000002</v>
      </c>
      <c r="I9" s="20">
        <f>(F9+G9+H9)*0.07</f>
        <v>21.964460000000003</v>
      </c>
      <c r="J9" s="20">
        <f>E9+F9+I9+G9+H9</f>
        <v>151335.74246000001</v>
      </c>
      <c r="K9" s="25"/>
      <c r="L9" s="4"/>
    </row>
    <row r="10" spans="1:12" s="21" customFormat="1">
      <c r="A10" s="49">
        <v>44272</v>
      </c>
      <c r="B10" s="15" t="s">
        <v>1</v>
      </c>
      <c r="C10" s="16">
        <v>2000</v>
      </c>
      <c r="D10" s="17">
        <v>66.5</v>
      </c>
      <c r="E10" s="18">
        <f>C10*D10</f>
        <v>133000</v>
      </c>
      <c r="F10" s="18">
        <f>E10*0.002</f>
        <v>266</v>
      </c>
      <c r="G10" s="18">
        <f>E10*0.000068</f>
        <v>9.0440000000000005</v>
      </c>
      <c r="H10" s="18">
        <f>E10*0.00001</f>
        <v>1.33</v>
      </c>
      <c r="I10" s="18">
        <f>(F10+G10+H10)*0.07</f>
        <v>19.34618</v>
      </c>
      <c r="J10" s="18">
        <f>E10+F10+I10+G10+H10</f>
        <v>133295.72017999997</v>
      </c>
      <c r="K10" s="25"/>
      <c r="L10" s="4"/>
    </row>
    <row r="11" spans="1:12" s="13" customFormat="1">
      <c r="A11" s="90"/>
      <c r="B11" s="4"/>
      <c r="C11" s="5">
        <f>C9+C10</f>
        <v>4000</v>
      </c>
      <c r="D11" s="36">
        <f>E11/C11</f>
        <v>71</v>
      </c>
      <c r="E11" s="5">
        <f t="shared" ref="E11:J11" si="3">E9+E10</f>
        <v>284000</v>
      </c>
      <c r="F11" s="5">
        <f t="shared" si="3"/>
        <v>568</v>
      </c>
      <c r="G11" s="5">
        <f t="shared" si="3"/>
        <v>19.312000000000001</v>
      </c>
      <c r="H11" s="5">
        <f t="shared" si="3"/>
        <v>2.8400000000000003</v>
      </c>
      <c r="I11" s="5">
        <f t="shared" si="3"/>
        <v>41.310640000000006</v>
      </c>
      <c r="J11" s="5">
        <f t="shared" si="3"/>
        <v>284631.46263999998</v>
      </c>
      <c r="K11" s="25"/>
      <c r="L11" s="15"/>
    </row>
    <row r="12" spans="1:12" s="21" customFormat="1">
      <c r="A12" s="49">
        <v>44274</v>
      </c>
      <c r="B12" s="15" t="s">
        <v>1</v>
      </c>
      <c r="C12" s="16">
        <v>2000</v>
      </c>
      <c r="D12" s="17">
        <v>65</v>
      </c>
      <c r="E12" s="18">
        <f>C12*D12</f>
        <v>130000</v>
      </c>
      <c r="F12" s="18">
        <f>E12*0.002</f>
        <v>260</v>
      </c>
      <c r="G12" s="18">
        <f>E12*0.000068</f>
        <v>8.84</v>
      </c>
      <c r="H12" s="18">
        <f>E12*0.00001</f>
        <v>1.3</v>
      </c>
      <c r="I12" s="18">
        <f>(F12+G12+H12)*0.07</f>
        <v>18.909800000000001</v>
      </c>
      <c r="J12" s="18">
        <f>E12+F12+I12+G12+H12</f>
        <v>130289.04979999999</v>
      </c>
      <c r="K12" s="25"/>
      <c r="L12" s="4"/>
    </row>
    <row r="13" spans="1:12" s="13" customFormat="1">
      <c r="A13" s="90"/>
      <c r="B13" s="4"/>
      <c r="C13" s="5">
        <f>C11+C12</f>
        <v>6000</v>
      </c>
      <c r="D13" s="36">
        <f>E13/C13</f>
        <v>69</v>
      </c>
      <c r="E13" s="5">
        <f t="shared" ref="E13:E17" si="4">E11+E12</f>
        <v>414000</v>
      </c>
      <c r="F13" s="5">
        <f t="shared" ref="F13:F17" si="5">F11+F12</f>
        <v>828</v>
      </c>
      <c r="G13" s="5">
        <f t="shared" ref="G13:G17" si="6">G11+G12</f>
        <v>28.152000000000001</v>
      </c>
      <c r="H13" s="5">
        <f t="shared" ref="H13:H17" si="7">H11+H12</f>
        <v>4.1400000000000006</v>
      </c>
      <c r="I13" s="5">
        <f t="shared" ref="I13:I17" si="8">I11+I12</f>
        <v>60.220440000000011</v>
      </c>
      <c r="J13" s="5">
        <f t="shared" ref="J13:J17" si="9">J11+J12</f>
        <v>414920.51243999996</v>
      </c>
      <c r="K13" s="25"/>
      <c r="L13" s="15"/>
    </row>
    <row r="14" spans="1:12" s="21" customFormat="1">
      <c r="A14" s="49">
        <v>44295</v>
      </c>
      <c r="B14" s="15" t="s">
        <v>1</v>
      </c>
      <c r="C14" s="16">
        <v>1000</v>
      </c>
      <c r="D14" s="17">
        <v>62</v>
      </c>
      <c r="E14" s="18">
        <f>C14*D14</f>
        <v>62000</v>
      </c>
      <c r="F14" s="18">
        <f>E14*0.002</f>
        <v>124</v>
      </c>
      <c r="G14" s="18">
        <f>E14*0.000068</f>
        <v>4.2160000000000002</v>
      </c>
      <c r="H14" s="18">
        <f>E14*0.00001</f>
        <v>0.62</v>
      </c>
      <c r="I14" s="18">
        <f>(F14+G14+H14)*0.07</f>
        <v>9.0185200000000023</v>
      </c>
      <c r="J14" s="18">
        <f>E14+F14+I14+G14+H14</f>
        <v>62137.854520000001</v>
      </c>
      <c r="K14" s="25"/>
    </row>
    <row r="15" spans="1:12" s="13" customFormat="1">
      <c r="A15" s="90"/>
      <c r="B15" s="4"/>
      <c r="C15" s="5">
        <f>C13+C14</f>
        <v>7000</v>
      </c>
      <c r="D15" s="36">
        <f>E15/C15</f>
        <v>68</v>
      </c>
      <c r="E15" s="5">
        <f t="shared" si="4"/>
        <v>476000</v>
      </c>
      <c r="F15" s="5">
        <f t="shared" si="5"/>
        <v>952</v>
      </c>
      <c r="G15" s="5">
        <f t="shared" si="6"/>
        <v>32.368000000000002</v>
      </c>
      <c r="H15" s="5">
        <f t="shared" si="7"/>
        <v>4.7600000000000007</v>
      </c>
      <c r="I15" s="5">
        <f t="shared" si="8"/>
        <v>69.23896000000002</v>
      </c>
      <c r="J15" s="5">
        <f t="shared" si="9"/>
        <v>477058.36695999996</v>
      </c>
      <c r="K15" s="25"/>
    </row>
    <row r="16" spans="1:12" s="21" customFormat="1">
      <c r="A16" s="49">
        <v>44295</v>
      </c>
      <c r="B16" s="15" t="s">
        <v>1</v>
      </c>
      <c r="C16" s="16">
        <v>1000</v>
      </c>
      <c r="D16" s="17">
        <v>58</v>
      </c>
      <c r="E16" s="18">
        <f>C16*D16</f>
        <v>58000</v>
      </c>
      <c r="F16" s="18">
        <f>E16*0.002</f>
        <v>116</v>
      </c>
      <c r="G16" s="18">
        <f>E16*0.000068</f>
        <v>3.944</v>
      </c>
      <c r="H16" s="18">
        <f>E16*0.00001</f>
        <v>0.58000000000000007</v>
      </c>
      <c r="I16" s="18">
        <f>(F16+G16+H16)*0.07</f>
        <v>8.4366800000000008</v>
      </c>
      <c r="J16" s="18">
        <f>E16+F16+I16+G16+H16</f>
        <v>58128.960680000004</v>
      </c>
      <c r="K16" s="25"/>
    </row>
    <row r="17" spans="1:15" s="13" customFormat="1">
      <c r="A17" s="90"/>
      <c r="B17" s="4"/>
      <c r="C17" s="5">
        <f>C15+C16</f>
        <v>8000</v>
      </c>
      <c r="D17" s="36">
        <f>E17/C17</f>
        <v>66.75</v>
      </c>
      <c r="E17" s="5">
        <f t="shared" si="4"/>
        <v>534000</v>
      </c>
      <c r="F17" s="5">
        <f t="shared" si="5"/>
        <v>1068</v>
      </c>
      <c r="G17" s="5">
        <f t="shared" si="6"/>
        <v>36.312000000000005</v>
      </c>
      <c r="H17" s="5">
        <f t="shared" si="7"/>
        <v>5.3400000000000007</v>
      </c>
      <c r="I17" s="5">
        <f t="shared" si="8"/>
        <v>77.675640000000016</v>
      </c>
      <c r="J17" s="5">
        <f t="shared" si="9"/>
        <v>535187.32763999992</v>
      </c>
      <c r="K17" s="25"/>
    </row>
    <row r="18" spans="1:15" s="21" customFormat="1">
      <c r="A18" s="49">
        <v>44538</v>
      </c>
      <c r="B18" s="15" t="s">
        <v>1</v>
      </c>
      <c r="C18" s="16">
        <v>6000</v>
      </c>
      <c r="D18" s="17">
        <v>66.75</v>
      </c>
      <c r="E18" s="18">
        <f>C18*D18</f>
        <v>400500</v>
      </c>
      <c r="F18" s="18">
        <f>E18*0.002</f>
        <v>801</v>
      </c>
      <c r="G18" s="18">
        <f>E18*0.000068</f>
        <v>27.233999999999998</v>
      </c>
      <c r="H18" s="18">
        <f>E18*0.00001</f>
        <v>4.0049999999999999</v>
      </c>
      <c r="I18" s="18">
        <f>(F18+G18+H18)*0.07</f>
        <v>58.256730000000005</v>
      </c>
      <c r="J18" s="18">
        <f>E18+F18+I18+G18+H18</f>
        <v>401390.49573000002</v>
      </c>
      <c r="K18" s="25"/>
    </row>
    <row r="19" spans="1:15" s="21" customFormat="1">
      <c r="A19" s="49">
        <v>44557</v>
      </c>
      <c r="B19" s="15" t="s">
        <v>6</v>
      </c>
      <c r="C19" s="16">
        <v>5400</v>
      </c>
      <c r="D19" s="17">
        <v>66.75</v>
      </c>
      <c r="E19" s="18">
        <f>C19*D19</f>
        <v>360450</v>
      </c>
      <c r="F19" s="18">
        <f>E19*0.002</f>
        <v>720.9</v>
      </c>
      <c r="G19" s="18">
        <f>E19*0.000068</f>
        <v>24.5106</v>
      </c>
      <c r="H19" s="18">
        <f>E19*0.00001</f>
        <v>3.6045000000000003</v>
      </c>
      <c r="I19" s="18">
        <f>(F19+G19+H19)*0.07</f>
        <v>52.431057000000003</v>
      </c>
      <c r="J19" s="18">
        <f>E19+F19+I19+G19+H19</f>
        <v>361251.44615700003</v>
      </c>
      <c r="K19" s="25"/>
      <c r="L19" s="4"/>
    </row>
    <row r="20" spans="1:15" s="21" customFormat="1">
      <c r="A20" s="49">
        <v>44560</v>
      </c>
      <c r="B20" s="15" t="s">
        <v>6</v>
      </c>
      <c r="C20" s="16">
        <v>4400</v>
      </c>
      <c r="D20" s="17">
        <v>66.75</v>
      </c>
      <c r="E20" s="18">
        <f>C20*D20</f>
        <v>293700</v>
      </c>
      <c r="F20" s="18">
        <f>E20*0.002</f>
        <v>587.4</v>
      </c>
      <c r="G20" s="18">
        <f>E20*0.000068</f>
        <v>19.971599999999999</v>
      </c>
      <c r="H20" s="18">
        <f>E20*0.00001</f>
        <v>2.9370000000000003</v>
      </c>
      <c r="I20" s="18">
        <f>(F20+G20+H20)*0.07</f>
        <v>42.721602000000004</v>
      </c>
      <c r="J20" s="18">
        <f>E20+F20+I20+G20+H20</f>
        <v>294353.03020199999</v>
      </c>
      <c r="K20" s="25"/>
      <c r="L20" s="4"/>
    </row>
    <row r="21" spans="1:15" s="13" customFormat="1">
      <c r="A21" s="49">
        <v>44578</v>
      </c>
      <c r="B21" s="15" t="s">
        <v>1</v>
      </c>
      <c r="C21" s="16">
        <v>1600</v>
      </c>
      <c r="D21" s="69">
        <v>59.25</v>
      </c>
      <c r="E21" s="18">
        <f>C21*D21</f>
        <v>94800</v>
      </c>
      <c r="F21" s="18">
        <f>E21*0.002</f>
        <v>189.6</v>
      </c>
      <c r="G21" s="18">
        <f>E21*0.00006</f>
        <v>5.6879999999999997</v>
      </c>
      <c r="H21" s="18">
        <f>E21*0.00001</f>
        <v>0.94800000000000006</v>
      </c>
      <c r="I21" s="18">
        <f>(F21+G21+H21)*0.07</f>
        <v>13.736520000000001</v>
      </c>
      <c r="J21" s="18">
        <f>E21+F21+I21+G21+H21</f>
        <v>95009.97252000001</v>
      </c>
      <c r="K21" s="11"/>
      <c r="L21" s="12"/>
    </row>
    <row r="22" spans="1:15" s="21" customFormat="1">
      <c r="A22" s="90"/>
      <c r="B22" s="7">
        <f>(D21-D20)/D20</f>
        <v>-0.11235955056179775</v>
      </c>
      <c r="C22" s="5">
        <f>SUM(C20:C21)</f>
        <v>6000</v>
      </c>
      <c r="D22" s="71">
        <f>E22/C22</f>
        <v>64.75</v>
      </c>
      <c r="E22" s="5">
        <f t="shared" ref="E22:J22" si="10">SUM(E20:E21)</f>
        <v>388500</v>
      </c>
      <c r="F22" s="5">
        <f t="shared" si="10"/>
        <v>777</v>
      </c>
      <c r="G22" s="5">
        <f t="shared" si="10"/>
        <v>25.659599999999998</v>
      </c>
      <c r="H22" s="5">
        <f t="shared" si="10"/>
        <v>3.8850000000000002</v>
      </c>
      <c r="I22" s="5">
        <f t="shared" si="10"/>
        <v>56.458122000000003</v>
      </c>
      <c r="J22" s="5">
        <f t="shared" si="10"/>
        <v>389363.002722</v>
      </c>
      <c r="L22" s="25"/>
    </row>
    <row r="23" spans="1:15" s="13" customFormat="1">
      <c r="A23" s="49">
        <v>44615</v>
      </c>
      <c r="B23" s="15" t="s">
        <v>1</v>
      </c>
      <c r="C23" s="16">
        <v>3000</v>
      </c>
      <c r="D23" s="69">
        <v>54.25</v>
      </c>
      <c r="E23" s="18">
        <f>C23*D23</f>
        <v>162750</v>
      </c>
      <c r="F23" s="18">
        <f>E23*0.002</f>
        <v>325.5</v>
      </c>
      <c r="G23" s="18">
        <f>E23*0.00006</f>
        <v>9.7650000000000006</v>
      </c>
      <c r="H23" s="18">
        <f>E23*0.00001</f>
        <v>1.6275000000000002</v>
      </c>
      <c r="I23" s="18">
        <f>(F23+G23+H23)*0.07</f>
        <v>23.582475000000002</v>
      </c>
      <c r="J23" s="18">
        <f>E23+F23+I23+G23+H23</f>
        <v>163110.47497500002</v>
      </c>
      <c r="K23" s="11"/>
      <c r="L23" s="12"/>
    </row>
    <row r="24" spans="1:15" s="13" customFormat="1" ht="12.75">
      <c r="A24" s="49">
        <v>44943</v>
      </c>
      <c r="B24" s="15" t="s">
        <v>3</v>
      </c>
      <c r="C24" s="16">
        <f>C23</f>
        <v>3000</v>
      </c>
      <c r="D24" s="26">
        <v>50.75</v>
      </c>
      <c r="E24" s="17">
        <f>C24*D24</f>
        <v>152250</v>
      </c>
      <c r="F24" s="27">
        <f>E24*0.002</f>
        <v>304.5</v>
      </c>
      <c r="G24" s="26">
        <f>E24*0.000068</f>
        <v>10.353</v>
      </c>
      <c r="H24" s="26">
        <f>E24*0.00001</f>
        <v>1.5225000000000002</v>
      </c>
      <c r="I24" s="26">
        <f>(F24+G24+H24)*0.07</f>
        <v>22.146285000000002</v>
      </c>
      <c r="J24" s="26">
        <f>E24-F24-G24-H24-I24</f>
        <v>151911.47821500001</v>
      </c>
    </row>
    <row r="25" spans="1:15" s="31" customFormat="1" ht="18.75">
      <c r="A25" s="49" t="s">
        <v>4</v>
      </c>
      <c r="B25" s="7">
        <f>(D24-D23)/D23</f>
        <v>-6.4516129032258063E-2</v>
      </c>
      <c r="C25" s="16"/>
      <c r="D25" s="17"/>
      <c r="E25" s="18">
        <f>E24-E23</f>
        <v>-10500</v>
      </c>
      <c r="F25" s="18"/>
      <c r="G25" s="18"/>
      <c r="H25" s="18"/>
      <c r="I25" s="18"/>
      <c r="J25" s="18">
        <f>J24-J23</f>
        <v>-11198.996760000009</v>
      </c>
      <c r="K25" s="12"/>
    </row>
    <row r="26" spans="1:15" s="21" customFormat="1" ht="12.75">
      <c r="A26" s="49">
        <v>44943</v>
      </c>
      <c r="B26" s="7" t="s">
        <v>6</v>
      </c>
      <c r="C26" s="5">
        <v>6000</v>
      </c>
      <c r="D26" s="71">
        <v>64.75</v>
      </c>
      <c r="E26" s="5">
        <v>388500</v>
      </c>
      <c r="F26" s="5">
        <v>777</v>
      </c>
      <c r="G26" s="5">
        <v>25.659599999999998</v>
      </c>
      <c r="H26" s="5">
        <v>3.8850000000000002</v>
      </c>
      <c r="I26" s="5">
        <v>56.458122000000003</v>
      </c>
      <c r="J26" s="5">
        <v>389363.002722</v>
      </c>
      <c r="L26" s="25"/>
    </row>
    <row r="27" spans="1:15" s="19" customFormat="1" ht="15">
      <c r="A27" s="56">
        <v>44543</v>
      </c>
      <c r="B27" s="13" t="s">
        <v>1</v>
      </c>
      <c r="C27" s="10">
        <v>3000</v>
      </c>
      <c r="D27" s="46">
        <v>48.25</v>
      </c>
      <c r="E27" s="20">
        <f>C27*D27</f>
        <v>144750</v>
      </c>
      <c r="F27" s="20">
        <f>E27*0.002</f>
        <v>289.5</v>
      </c>
      <c r="G27" s="20">
        <f>E27*0.00006</f>
        <v>8.6850000000000005</v>
      </c>
      <c r="H27" s="20">
        <f>E27*0.00001</f>
        <v>1.4475</v>
      </c>
      <c r="I27" s="20">
        <f>(F27+G27+H27)*0.07</f>
        <v>20.974275000000002</v>
      </c>
      <c r="J27" s="20">
        <f>E27+F27+I27+G27+H27</f>
        <v>145070.60677499999</v>
      </c>
      <c r="K27" s="57"/>
      <c r="L27" s="58"/>
      <c r="M27" s="58"/>
      <c r="N27" s="58"/>
      <c r="O27" s="58"/>
    </row>
    <row r="28" spans="1:15" ht="12.75">
      <c r="B28" s="3">
        <f>(D27-D26)/D26</f>
        <v>-0.25482625482625482</v>
      </c>
      <c r="C28" s="2">
        <f>SUM(C26:C27)</f>
        <v>9000</v>
      </c>
      <c r="D28" s="47">
        <f>E28/C28</f>
        <v>59.25</v>
      </c>
      <c r="E28" s="2">
        <f t="shared" ref="E28:J28" si="11">SUM(E26:E27)</f>
        <v>533250</v>
      </c>
      <c r="F28" s="2">
        <f t="shared" si="11"/>
        <v>1066.5</v>
      </c>
      <c r="G28" s="2">
        <f t="shared" si="11"/>
        <v>34.3446</v>
      </c>
      <c r="H28" s="2">
        <f t="shared" si="11"/>
        <v>5.3325000000000005</v>
      </c>
      <c r="I28" s="2">
        <f t="shared" si="11"/>
        <v>77.432397000000009</v>
      </c>
      <c r="J28" s="2">
        <f t="shared" si="11"/>
        <v>534433.609497</v>
      </c>
      <c r="K28" s="57"/>
      <c r="L28" s="58"/>
      <c r="M28" s="58"/>
      <c r="N28" s="59"/>
      <c r="O28" s="59"/>
    </row>
    <row r="29" spans="1:15" s="21" customFormat="1" ht="12.75">
      <c r="A29" s="90"/>
      <c r="B29" s="7"/>
      <c r="C29" s="5"/>
      <c r="D29" s="71"/>
      <c r="E29" s="5"/>
      <c r="F29" s="5"/>
      <c r="G29" s="5"/>
      <c r="H29" s="5"/>
      <c r="I29" s="5"/>
      <c r="J29" s="5"/>
      <c r="L29" s="25"/>
    </row>
    <row r="30" spans="1:15" s="21" customFormat="1" ht="12.75">
      <c r="A30" s="90"/>
      <c r="B30" s="7"/>
      <c r="C30" s="5"/>
      <c r="D30" s="71"/>
      <c r="E30" s="5"/>
      <c r="F30" s="5"/>
      <c r="G30" s="5"/>
      <c r="H30" s="5"/>
      <c r="I30" s="5"/>
      <c r="J30" s="5"/>
      <c r="L30" s="25"/>
    </row>
    <row r="31" spans="1:15" s="13" customFormat="1">
      <c r="A31" s="49">
        <v>44623</v>
      </c>
      <c r="B31" s="15" t="s">
        <v>1</v>
      </c>
      <c r="C31" s="16">
        <v>3000</v>
      </c>
      <c r="D31" s="69">
        <v>51.25</v>
      </c>
      <c r="E31" s="18">
        <f>C31*D31</f>
        <v>153750</v>
      </c>
      <c r="F31" s="18">
        <f>E31*0.002</f>
        <v>307.5</v>
      </c>
      <c r="G31" s="18">
        <f>E31*0.00006</f>
        <v>9.2249999999999996</v>
      </c>
      <c r="H31" s="18">
        <f>E31*0.00001</f>
        <v>1.5375000000000001</v>
      </c>
      <c r="I31" s="18">
        <f>(F31+G31+H31)*0.07</f>
        <v>22.278375000000004</v>
      </c>
      <c r="J31" s="18">
        <f>E31+F31+I31+G31+H31</f>
        <v>154090.54087500001</v>
      </c>
      <c r="K31" s="11"/>
      <c r="L31" s="12"/>
    </row>
    <row r="32" spans="1:15" s="13" customFormat="1" ht="12.75">
      <c r="A32" s="49">
        <v>44865</v>
      </c>
      <c r="B32" s="15" t="s">
        <v>3</v>
      </c>
      <c r="C32" s="16">
        <f>C31</f>
        <v>3000</v>
      </c>
      <c r="D32" s="26">
        <v>43.5</v>
      </c>
      <c r="E32" s="17">
        <f>C32*D32</f>
        <v>130500</v>
      </c>
      <c r="F32" s="27">
        <f>E32*0.002</f>
        <v>261</v>
      </c>
      <c r="G32" s="26">
        <f>E32*0.000068</f>
        <v>8.8740000000000006</v>
      </c>
      <c r="H32" s="26">
        <f>E32*0.00001</f>
        <v>1.3050000000000002</v>
      </c>
      <c r="I32" s="26">
        <f>(F32+G32+H32)*0.07</f>
        <v>18.982530000000004</v>
      </c>
      <c r="J32" s="26">
        <f>E32-F32-G32-H32-I32</f>
        <v>130209.83847000002</v>
      </c>
    </row>
    <row r="33" spans="1:15" s="31" customFormat="1" ht="18.75">
      <c r="A33" s="49" t="s">
        <v>4</v>
      </c>
      <c r="B33" s="7">
        <f>(D32-D31)/D31</f>
        <v>-0.15121951219512195</v>
      </c>
      <c r="C33" s="16"/>
      <c r="D33" s="17"/>
      <c r="E33" s="18">
        <f>E32-E31</f>
        <v>-23250</v>
      </c>
      <c r="F33" s="18"/>
      <c r="G33" s="18"/>
      <c r="H33" s="18"/>
      <c r="I33" s="18"/>
      <c r="J33" s="18">
        <f>J32-J31</f>
        <v>-23880.702404999989</v>
      </c>
      <c r="K33" s="12"/>
    </row>
    <row r="34" spans="1:15">
      <c r="A34" s="50" t="s">
        <v>7</v>
      </c>
    </row>
    <row r="35" spans="1:15">
      <c r="A35" s="50">
        <v>44620</v>
      </c>
    </row>
    <row r="36" spans="1:15" s="19" customFormat="1" ht="16.5">
      <c r="A36" s="56">
        <v>44619</v>
      </c>
      <c r="B36" s="13" t="s">
        <v>1</v>
      </c>
      <c r="C36" s="16">
        <v>3000</v>
      </c>
      <c r="D36" s="46">
        <v>54.25</v>
      </c>
      <c r="E36" s="20">
        <f>C36*D36</f>
        <v>162750</v>
      </c>
      <c r="F36" s="20">
        <f>E36*0.002</f>
        <v>325.5</v>
      </c>
      <c r="G36" s="20">
        <f>E36*0.00006</f>
        <v>9.7650000000000006</v>
      </c>
      <c r="H36" s="20">
        <f>E36*0.00001</f>
        <v>1.6275000000000002</v>
      </c>
      <c r="I36" s="20">
        <f>(F36+G36+H36)*0.07</f>
        <v>23.582475000000002</v>
      </c>
      <c r="J36" s="20">
        <f>E36+F36+I36+G36+H36</f>
        <v>163110.47497500002</v>
      </c>
      <c r="K36" s="57"/>
      <c r="L36" s="58"/>
      <c r="M36" s="58"/>
      <c r="N36" s="58"/>
      <c r="O36" s="58"/>
    </row>
    <row r="37" spans="1:15" s="13" customFormat="1">
      <c r="A37" s="56">
        <v>44524</v>
      </c>
      <c r="B37" s="13" t="s">
        <v>3</v>
      </c>
      <c r="C37" s="10">
        <f>C36</f>
        <v>3000</v>
      </c>
      <c r="D37" s="26">
        <v>58</v>
      </c>
      <c r="E37" s="11">
        <f>C37*D37</f>
        <v>174000</v>
      </c>
      <c r="F37" s="35">
        <f>E37*0.002</f>
        <v>348</v>
      </c>
      <c r="G37" s="34">
        <f>E37*0.000068</f>
        <v>11.832000000000001</v>
      </c>
      <c r="H37" s="34">
        <f>E37*0.00001</f>
        <v>1.7400000000000002</v>
      </c>
      <c r="I37" s="34">
        <f>(F37+G37+H37)*0.07</f>
        <v>25.310040000000004</v>
      </c>
      <c r="J37" s="34">
        <f>E37-F37-G37-H37-I37</f>
        <v>173613.11796</v>
      </c>
    </row>
    <row r="38" spans="1:15" s="31" customFormat="1" ht="18.75">
      <c r="A38" s="56" t="s">
        <v>4</v>
      </c>
      <c r="B38" s="25">
        <f>(D37-D36)/D36</f>
        <v>6.9124423963133647E-2</v>
      </c>
      <c r="C38" s="10"/>
      <c r="D38" s="11"/>
      <c r="E38" s="20">
        <f>E37-E36</f>
        <v>11250</v>
      </c>
      <c r="F38" s="20"/>
      <c r="G38" s="20"/>
      <c r="H38" s="20"/>
      <c r="I38" s="20"/>
      <c r="J38" s="18">
        <f>J37-J36</f>
        <v>10502.642984999984</v>
      </c>
      <c r="K38" s="12"/>
    </row>
    <row r="39" spans="1:15" s="19" customFormat="1" ht="16.5">
      <c r="A39" s="49">
        <v>44578</v>
      </c>
      <c r="B39" s="13" t="s">
        <v>1</v>
      </c>
      <c r="C39" s="16">
        <v>1600</v>
      </c>
      <c r="D39" s="46">
        <v>59.25</v>
      </c>
      <c r="E39" s="20">
        <f>C39*D39</f>
        <v>94800</v>
      </c>
      <c r="F39" s="20">
        <f>E39*0.002</f>
        <v>189.6</v>
      </c>
      <c r="G39" s="20">
        <f>E39*0.00006</f>
        <v>5.6879999999999997</v>
      </c>
      <c r="H39" s="20">
        <f>E39*0.00001</f>
        <v>0.94800000000000006</v>
      </c>
      <c r="I39" s="20">
        <f>(F39+G39+H39)*0.07</f>
        <v>13.736520000000001</v>
      </c>
      <c r="J39" s="20">
        <f>E39+F39+I39+G39+H39</f>
        <v>95009.97252000001</v>
      </c>
      <c r="K39" s="57"/>
      <c r="L39" s="58"/>
      <c r="M39" s="58"/>
      <c r="N39" s="58"/>
      <c r="O39" s="58"/>
    </row>
    <row r="40" spans="1:15" s="13" customFormat="1">
      <c r="A40" s="56">
        <v>44524</v>
      </c>
      <c r="B40" s="13" t="s">
        <v>3</v>
      </c>
      <c r="C40" s="10">
        <f>C39</f>
        <v>1600</v>
      </c>
      <c r="D40" s="26">
        <v>58</v>
      </c>
      <c r="E40" s="11">
        <f>C40*D40</f>
        <v>92800</v>
      </c>
      <c r="F40" s="35">
        <f>E40*0.002</f>
        <v>185.6</v>
      </c>
      <c r="G40" s="34">
        <f>E40*0.000068</f>
        <v>6.3103999999999996</v>
      </c>
      <c r="H40" s="34">
        <f>E40*0.00001</f>
        <v>0.92800000000000005</v>
      </c>
      <c r="I40" s="34">
        <f>(F40+G40+H40)*0.07</f>
        <v>13.498688</v>
      </c>
      <c r="J40" s="34">
        <f>E40-F40-G40-H40-I40</f>
        <v>92593.662911999985</v>
      </c>
    </row>
    <row r="41" spans="1:15" s="31" customFormat="1" ht="18.75">
      <c r="A41" s="56" t="s">
        <v>4</v>
      </c>
      <c r="B41" s="25">
        <f>(D40-D39)/D39</f>
        <v>-2.1097046413502109E-2</v>
      </c>
      <c r="C41" s="10"/>
      <c r="D41" s="11"/>
      <c r="E41" s="20">
        <f>E40-E39</f>
        <v>-2000</v>
      </c>
      <c r="F41" s="20"/>
      <c r="G41" s="20"/>
      <c r="H41" s="20"/>
      <c r="I41" s="20"/>
      <c r="J41" s="18">
        <f>J40-J39</f>
        <v>-2416.309608000025</v>
      </c>
      <c r="K41" s="20">
        <f>J38+J41</f>
        <v>8086.333376999959</v>
      </c>
    </row>
    <row r="42" spans="1:15" s="19" customFormat="1" ht="16.5">
      <c r="A42" s="56">
        <v>44295</v>
      </c>
      <c r="B42" s="13" t="s">
        <v>1</v>
      </c>
      <c r="C42" s="16">
        <v>1000</v>
      </c>
      <c r="D42" s="46">
        <v>66.75</v>
      </c>
      <c r="E42" s="20">
        <f>C42*D42</f>
        <v>66750</v>
      </c>
      <c r="F42" s="20">
        <f>E42*0.002</f>
        <v>133.5</v>
      </c>
      <c r="G42" s="20">
        <f>E42*0.00006</f>
        <v>4.0049999999999999</v>
      </c>
      <c r="H42" s="20">
        <f>E42*0.00001</f>
        <v>0.66750000000000009</v>
      </c>
      <c r="I42" s="20">
        <f>(F42+G42+H42)*0.07</f>
        <v>9.6720749999999995</v>
      </c>
      <c r="J42" s="20">
        <f>E42+F42+I42+G42+H42</f>
        <v>66897.844574999996</v>
      </c>
      <c r="K42" s="57"/>
      <c r="L42" s="58"/>
      <c r="M42" s="58"/>
      <c r="N42" s="58"/>
      <c r="O42" s="58"/>
    </row>
    <row r="43" spans="1:15" s="13" customFormat="1">
      <c r="A43" s="56">
        <v>44524</v>
      </c>
      <c r="B43" s="13" t="s">
        <v>3</v>
      </c>
      <c r="C43" s="10">
        <f>C42</f>
        <v>1000</v>
      </c>
      <c r="D43" s="34">
        <f>D40</f>
        <v>58</v>
      </c>
      <c r="E43" s="11">
        <f>C43*D43</f>
        <v>58000</v>
      </c>
      <c r="F43" s="35">
        <f>E43*0.002</f>
        <v>116</v>
      </c>
      <c r="G43" s="34">
        <f>E43*0.000068</f>
        <v>3.944</v>
      </c>
      <c r="H43" s="34">
        <f>E43*0.00001</f>
        <v>0.58000000000000007</v>
      </c>
      <c r="I43" s="34">
        <f>(F43+G43+H43)*0.07</f>
        <v>8.4366800000000008</v>
      </c>
      <c r="J43" s="34">
        <f>E43-F43-G43-H43-I43</f>
        <v>57871.039319999996</v>
      </c>
    </row>
    <row r="44" spans="1:15" s="31" customFormat="1" ht="18.75">
      <c r="A44" s="56" t="s">
        <v>4</v>
      </c>
      <c r="B44" s="25">
        <f>(D43-D42)/D42</f>
        <v>-0.13108614232209737</v>
      </c>
      <c r="C44" s="10"/>
      <c r="D44" s="11"/>
      <c r="E44" s="20">
        <f>E43-E42</f>
        <v>-8750</v>
      </c>
      <c r="F44" s="20"/>
      <c r="G44" s="20"/>
      <c r="H44" s="20"/>
      <c r="I44" s="20"/>
      <c r="J44" s="18">
        <f>J43-J42</f>
        <v>-9026.8052549999993</v>
      </c>
      <c r="K44" s="20">
        <f>K41+J44</f>
        <v>-940.47187800004031</v>
      </c>
    </row>
    <row r="45" spans="1:15" s="19" customFormat="1" ht="16.5">
      <c r="A45" s="56">
        <v>44274</v>
      </c>
      <c r="B45" s="13" t="s">
        <v>1</v>
      </c>
      <c r="C45" s="16">
        <v>2000</v>
      </c>
      <c r="D45" s="46">
        <v>66.75</v>
      </c>
      <c r="E45" s="20">
        <f>C45*D45</f>
        <v>133500</v>
      </c>
      <c r="F45" s="20">
        <f>E45*0.002</f>
        <v>267</v>
      </c>
      <c r="G45" s="20">
        <f>E45*0.00006</f>
        <v>8.01</v>
      </c>
      <c r="H45" s="20">
        <f>E45*0.00001</f>
        <v>1.3350000000000002</v>
      </c>
      <c r="I45" s="20">
        <f>(F45+G45+H45)*0.07</f>
        <v>19.344149999999999</v>
      </c>
      <c r="J45" s="20">
        <f>E45+F45+I45+G45+H45</f>
        <v>133795.68914999999</v>
      </c>
      <c r="K45" s="57"/>
      <c r="L45" s="58"/>
      <c r="M45" s="58"/>
      <c r="N45" s="58"/>
      <c r="O45" s="58"/>
    </row>
    <row r="46" spans="1:15" s="13" customFormat="1">
      <c r="A46" s="56">
        <v>44524</v>
      </c>
      <c r="B46" s="13" t="s">
        <v>3</v>
      </c>
      <c r="C46" s="10">
        <f>C45</f>
        <v>2000</v>
      </c>
      <c r="D46" s="34">
        <f>D40</f>
        <v>58</v>
      </c>
      <c r="E46" s="11">
        <f>C46*D46</f>
        <v>116000</v>
      </c>
      <c r="F46" s="35">
        <f>E46*0.002</f>
        <v>232</v>
      </c>
      <c r="G46" s="34">
        <f>E46*0.000068</f>
        <v>7.8879999999999999</v>
      </c>
      <c r="H46" s="34">
        <f>E46*0.00001</f>
        <v>1.1600000000000001</v>
      </c>
      <c r="I46" s="34">
        <f>(F46+G46+H46)*0.07</f>
        <v>16.873360000000002</v>
      </c>
      <c r="J46" s="34">
        <f>E46-F46-G46-H46-I46</f>
        <v>115742.07863999999</v>
      </c>
    </row>
    <row r="47" spans="1:15" s="31" customFormat="1" ht="18.75">
      <c r="A47" s="56" t="s">
        <v>4</v>
      </c>
      <c r="B47" s="25">
        <f>(D46-D45)/D45</f>
        <v>-0.13108614232209737</v>
      </c>
      <c r="C47" s="10"/>
      <c r="D47" s="11"/>
      <c r="E47" s="20">
        <f>E46-E45</f>
        <v>-17500</v>
      </c>
      <c r="F47" s="20"/>
      <c r="G47" s="20"/>
      <c r="H47" s="20"/>
      <c r="I47" s="20"/>
      <c r="J47" s="18">
        <f>J46-J45</f>
        <v>-18053.610509999999</v>
      </c>
      <c r="K47" s="20">
        <f>K44+J47</f>
        <v>-18994.082388000039</v>
      </c>
    </row>
    <row r="48" spans="1:15" s="19" customFormat="1" ht="16.5">
      <c r="A48" s="56">
        <v>44272</v>
      </c>
      <c r="B48" s="13" t="s">
        <v>1</v>
      </c>
      <c r="C48" s="16">
        <v>1400</v>
      </c>
      <c r="D48" s="46">
        <v>66.75</v>
      </c>
      <c r="E48" s="20">
        <f>C48*D48</f>
        <v>93450</v>
      </c>
      <c r="F48" s="20">
        <f>E48*0.002</f>
        <v>186.9</v>
      </c>
      <c r="G48" s="20">
        <f>E48*0.00006</f>
        <v>5.6070000000000002</v>
      </c>
      <c r="H48" s="20">
        <f>E48*0.00001</f>
        <v>0.93450000000000011</v>
      </c>
      <c r="I48" s="20">
        <f>(F48+G48+H48)*0.07</f>
        <v>13.540905000000002</v>
      </c>
      <c r="J48" s="20">
        <f>E48+F48+I48+G48+H48</f>
        <v>93656.982405000002</v>
      </c>
      <c r="K48" s="57"/>
      <c r="L48" s="58"/>
      <c r="M48" s="58"/>
      <c r="N48" s="58"/>
      <c r="O48" s="58"/>
    </row>
    <row r="49" spans="1:11" s="13" customFormat="1">
      <c r="A49" s="56">
        <v>44524</v>
      </c>
      <c r="B49" s="13" t="s">
        <v>3</v>
      </c>
      <c r="C49" s="10">
        <f>C48</f>
        <v>1400</v>
      </c>
      <c r="D49" s="34">
        <f>D40</f>
        <v>58</v>
      </c>
      <c r="E49" s="11">
        <f>C49*D49</f>
        <v>81200</v>
      </c>
      <c r="F49" s="35">
        <f>E49*0.002</f>
        <v>162.4</v>
      </c>
      <c r="G49" s="34">
        <f>E49*0.000068</f>
        <v>5.5216000000000003</v>
      </c>
      <c r="H49" s="34">
        <f>E49*0.00001</f>
        <v>0.81200000000000006</v>
      </c>
      <c r="I49" s="34">
        <f>(F49+G49+H49)*0.07</f>
        <v>11.811352000000003</v>
      </c>
      <c r="J49" s="34">
        <f>E49-F49-G49-H49-I49</f>
        <v>81019.455048000003</v>
      </c>
    </row>
    <row r="50" spans="1:11" s="31" customFormat="1" ht="18.75">
      <c r="A50" s="56" t="s">
        <v>4</v>
      </c>
      <c r="B50" s="25">
        <f>(D49-D48)/D48</f>
        <v>-0.13108614232209737</v>
      </c>
      <c r="C50" s="10"/>
      <c r="D50" s="11"/>
      <c r="E50" s="20">
        <f>E49-E48</f>
        <v>-12250</v>
      </c>
      <c r="F50" s="20"/>
      <c r="G50" s="20"/>
      <c r="H50" s="20"/>
      <c r="I50" s="20"/>
      <c r="J50" s="18">
        <f>J49-J48</f>
        <v>-12637.527356999999</v>
      </c>
      <c r="K50" s="20">
        <f>K47+J50</f>
        <v>-31631.609745000038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02C30-1D30-4591-A661-EBFDEE38E7FE}">
  <sheetPr>
    <tabColor rgb="FFFF0000"/>
  </sheetPr>
  <dimension ref="A1:O72"/>
  <sheetViews>
    <sheetView tabSelected="1" topLeftCell="A15" workbookViewId="0">
      <selection activeCell="D28" sqref="D28"/>
    </sheetView>
  </sheetViews>
  <sheetFormatPr defaultColWidth="8.875" defaultRowHeight="12.75"/>
  <cols>
    <col min="1" max="1" width="10.625" style="89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9.25" style="21" bestFit="1" customWidth="1"/>
    <col min="12" max="12" width="8.875" style="25"/>
    <col min="13" max="16384" width="8.875" style="21"/>
  </cols>
  <sheetData>
    <row r="1" spans="1:15">
      <c r="B1" s="21" t="s">
        <v>8</v>
      </c>
    </row>
    <row r="2" spans="1:15" s="13" customFormat="1">
      <c r="A2" s="49">
        <v>44362</v>
      </c>
      <c r="B2" s="15" t="s">
        <v>1</v>
      </c>
      <c r="C2" s="16">
        <v>2500</v>
      </c>
      <c r="D2" s="17">
        <v>40</v>
      </c>
      <c r="E2" s="18">
        <f>C2*D2</f>
        <v>100000</v>
      </c>
      <c r="F2" s="18">
        <f>E2*0.002</f>
        <v>200</v>
      </c>
      <c r="G2" s="18">
        <f>E2*0.00006</f>
        <v>6</v>
      </c>
      <c r="H2" s="18">
        <f>E2*0.00001</f>
        <v>1</v>
      </c>
      <c r="I2" s="18">
        <f>(F2+G2+H2)*0.07</f>
        <v>14.490000000000002</v>
      </c>
      <c r="J2" s="18">
        <f>E2+F2+I2+G2+H2</f>
        <v>100221.49</v>
      </c>
      <c r="K2" s="17"/>
      <c r="L2" s="30"/>
    </row>
    <row r="3" spans="1:15" s="19" customFormat="1" ht="15">
      <c r="A3" s="49">
        <v>44368</v>
      </c>
      <c r="B3" s="15" t="s">
        <v>1</v>
      </c>
      <c r="C3" s="16">
        <v>2500</v>
      </c>
      <c r="D3" s="41">
        <v>40</v>
      </c>
      <c r="E3" s="18">
        <f>C3*D3</f>
        <v>100000</v>
      </c>
      <c r="F3" s="18">
        <f>E3*0.002</f>
        <v>200</v>
      </c>
      <c r="G3" s="18">
        <f>E3*0.00006</f>
        <v>6</v>
      </c>
      <c r="H3" s="18">
        <f>E3*0.00001</f>
        <v>1</v>
      </c>
      <c r="I3" s="18">
        <f>(F3+G3+H3)*0.07</f>
        <v>14.490000000000002</v>
      </c>
      <c r="J3" s="18">
        <f>E3+F3+I3+G3+H3</f>
        <v>100221.49</v>
      </c>
      <c r="K3" s="57"/>
      <c r="L3" s="58"/>
      <c r="M3" s="58"/>
      <c r="N3" s="58"/>
      <c r="O3" s="58"/>
    </row>
    <row r="4" spans="1:15" s="1" customFormat="1" ht="14.25">
      <c r="A4" s="54"/>
      <c r="B4" s="74">
        <f>(D3-D2)/D2</f>
        <v>0</v>
      </c>
      <c r="C4" s="51">
        <f>SUM(C2:C3)</f>
        <v>5000</v>
      </c>
      <c r="D4" s="52">
        <f>E4/C4</f>
        <v>40</v>
      </c>
      <c r="E4" s="51">
        <f t="shared" ref="E4:J4" si="0">SUM(E2:E3)</f>
        <v>200000</v>
      </c>
      <c r="F4" s="51">
        <f t="shared" si="0"/>
        <v>400</v>
      </c>
      <c r="G4" s="51">
        <f t="shared" si="0"/>
        <v>12</v>
      </c>
      <c r="H4" s="51">
        <f t="shared" si="0"/>
        <v>2</v>
      </c>
      <c r="I4" s="51">
        <f t="shared" si="0"/>
        <v>28.980000000000004</v>
      </c>
      <c r="J4" s="51">
        <f t="shared" si="0"/>
        <v>200442.98</v>
      </c>
      <c r="K4" s="57"/>
      <c r="L4" s="58"/>
      <c r="M4" s="58"/>
      <c r="N4" s="59"/>
      <c r="O4" s="59"/>
    </row>
    <row r="5" spans="1:15" s="19" customFormat="1" ht="15">
      <c r="A5" s="49">
        <v>44398</v>
      </c>
      <c r="B5" s="15" t="s">
        <v>1</v>
      </c>
      <c r="C5" s="16">
        <v>2500</v>
      </c>
      <c r="D5" s="41">
        <v>37.75</v>
      </c>
      <c r="E5" s="18">
        <f>C5*D5</f>
        <v>94375</v>
      </c>
      <c r="F5" s="18">
        <f>E5*0.002</f>
        <v>188.75</v>
      </c>
      <c r="G5" s="18">
        <f>E5*0.00006</f>
        <v>5.6625000000000005</v>
      </c>
      <c r="H5" s="18">
        <f>E5*0.00001</f>
        <v>0.94375000000000009</v>
      </c>
      <c r="I5" s="18">
        <f>(F5+G5+H5)*0.07</f>
        <v>13.6749375</v>
      </c>
      <c r="J5" s="18">
        <f>E5+F5+I5+G5+H5</f>
        <v>94584.031187500019</v>
      </c>
      <c r="K5" s="57"/>
      <c r="L5" s="58"/>
      <c r="M5" s="58"/>
      <c r="N5" s="58"/>
      <c r="O5" s="58"/>
    </row>
    <row r="6" spans="1:15" s="1" customFormat="1" ht="14.25">
      <c r="A6" s="54"/>
      <c r="B6" s="74">
        <f>(D5-D4)/D4</f>
        <v>-5.6250000000000001E-2</v>
      </c>
      <c r="C6" s="51">
        <f>SUM(C4:C5)</f>
        <v>7500</v>
      </c>
      <c r="D6" s="52">
        <f>E6/C6</f>
        <v>39.25</v>
      </c>
      <c r="E6" s="51">
        <f t="shared" ref="E6:J6" si="1">SUM(E4:E5)</f>
        <v>294375</v>
      </c>
      <c r="F6" s="51">
        <f t="shared" si="1"/>
        <v>588.75</v>
      </c>
      <c r="G6" s="51">
        <f t="shared" si="1"/>
        <v>17.662500000000001</v>
      </c>
      <c r="H6" s="51">
        <f t="shared" si="1"/>
        <v>2.9437500000000001</v>
      </c>
      <c r="I6" s="51">
        <f t="shared" si="1"/>
        <v>42.654937500000003</v>
      </c>
      <c r="J6" s="51">
        <f t="shared" si="1"/>
        <v>295027.01118750003</v>
      </c>
      <c r="K6" s="57"/>
      <c r="L6" s="58"/>
      <c r="M6" s="58"/>
      <c r="N6" s="59"/>
      <c r="O6" s="59"/>
    </row>
    <row r="7" spans="1:15" s="19" customFormat="1" ht="15">
      <c r="A7" s="49">
        <v>44452</v>
      </c>
      <c r="B7" s="15" t="s">
        <v>1</v>
      </c>
      <c r="C7" s="16">
        <v>2500</v>
      </c>
      <c r="D7" s="41">
        <v>35.25</v>
      </c>
      <c r="E7" s="18">
        <f>C7*D7</f>
        <v>88125</v>
      </c>
      <c r="F7" s="18">
        <f>E7*0.002</f>
        <v>176.25</v>
      </c>
      <c r="G7" s="18">
        <f>E7*0.00006</f>
        <v>5.2875000000000005</v>
      </c>
      <c r="H7" s="18">
        <f>E7*0.00001</f>
        <v>0.88125000000000009</v>
      </c>
      <c r="I7" s="18">
        <f>(F7+G7+H7)*0.07</f>
        <v>12.7693125</v>
      </c>
      <c r="J7" s="18">
        <f>E7+F7+I7+G7+H7</f>
        <v>88320.188062500005</v>
      </c>
      <c r="K7" s="57"/>
      <c r="L7" s="58"/>
      <c r="M7" s="58"/>
      <c r="N7" s="58"/>
      <c r="O7" s="58"/>
    </row>
    <row r="8" spans="1:15" s="1" customFormat="1" ht="14.25">
      <c r="A8" s="54"/>
      <c r="B8" s="74">
        <f>(D7-D6)/D6</f>
        <v>-0.10191082802547771</v>
      </c>
      <c r="C8" s="51">
        <f>SUM(C6:C7)</f>
        <v>10000</v>
      </c>
      <c r="D8" s="52">
        <f>E8/C8</f>
        <v>38.25</v>
      </c>
      <c r="E8" s="51">
        <f t="shared" ref="E8:J8" si="2">SUM(E6:E7)</f>
        <v>382500</v>
      </c>
      <c r="F8" s="51">
        <f t="shared" si="2"/>
        <v>765</v>
      </c>
      <c r="G8" s="51">
        <f t="shared" si="2"/>
        <v>22.950000000000003</v>
      </c>
      <c r="H8" s="51">
        <f t="shared" si="2"/>
        <v>3.8250000000000002</v>
      </c>
      <c r="I8" s="51">
        <f t="shared" si="2"/>
        <v>55.424250000000001</v>
      </c>
      <c r="J8" s="51">
        <f t="shared" si="2"/>
        <v>383347.19925000006</v>
      </c>
      <c r="K8" s="57"/>
      <c r="L8" s="58"/>
      <c r="M8" s="58"/>
      <c r="N8" s="59"/>
      <c r="O8" s="59"/>
    </row>
    <row r="9" spans="1:15" s="19" customFormat="1" ht="15">
      <c r="A9" s="49">
        <v>44462</v>
      </c>
      <c r="B9" s="15" t="s">
        <v>1</v>
      </c>
      <c r="C9" s="16">
        <v>2500</v>
      </c>
      <c r="D9" s="41">
        <v>33.25</v>
      </c>
      <c r="E9" s="18">
        <f>C9*D9</f>
        <v>83125</v>
      </c>
      <c r="F9" s="18">
        <f>E9*0.002</f>
        <v>166.25</v>
      </c>
      <c r="G9" s="18">
        <f>E9*0.00006</f>
        <v>4.9874999999999998</v>
      </c>
      <c r="H9" s="18">
        <f>E9*0.00001</f>
        <v>0.83125000000000004</v>
      </c>
      <c r="I9" s="18">
        <f>(F9+G9+H9)*0.07</f>
        <v>12.044812500000003</v>
      </c>
      <c r="J9" s="18">
        <f>E9+F9+I9+G9+H9</f>
        <v>83309.113562500002</v>
      </c>
      <c r="K9" s="57"/>
      <c r="L9" s="58"/>
      <c r="M9" s="58"/>
      <c r="N9" s="58"/>
      <c r="O9" s="58"/>
    </row>
    <row r="10" spans="1:15" s="1" customFormat="1" ht="14.25">
      <c r="A10" s="54"/>
      <c r="B10" s="74">
        <f>(D9-D8)/D8</f>
        <v>-0.13071895424836602</v>
      </c>
      <c r="C10" s="51">
        <f>SUM(C8:C9)</f>
        <v>12500</v>
      </c>
      <c r="D10" s="52">
        <f>E10/C10</f>
        <v>37.25</v>
      </c>
      <c r="E10" s="51">
        <f t="shared" ref="E10:J10" si="3">SUM(E8:E9)</f>
        <v>465625</v>
      </c>
      <c r="F10" s="51">
        <f t="shared" si="3"/>
        <v>931.25</v>
      </c>
      <c r="G10" s="51">
        <f t="shared" si="3"/>
        <v>27.937500000000004</v>
      </c>
      <c r="H10" s="51">
        <f t="shared" si="3"/>
        <v>4.65625</v>
      </c>
      <c r="I10" s="51">
        <f t="shared" si="3"/>
        <v>67.469062500000007</v>
      </c>
      <c r="J10" s="51">
        <f t="shared" si="3"/>
        <v>466656.31281250005</v>
      </c>
      <c r="K10" s="57"/>
      <c r="L10" s="58"/>
      <c r="M10" s="58"/>
      <c r="N10" s="59"/>
      <c r="O10" s="59"/>
    </row>
    <row r="11" spans="1:15" s="19" customFormat="1" ht="15">
      <c r="A11" s="49">
        <v>44496</v>
      </c>
      <c r="B11" s="15" t="s">
        <v>1</v>
      </c>
      <c r="C11" s="16">
        <v>2500</v>
      </c>
      <c r="D11" s="41">
        <v>32.75</v>
      </c>
      <c r="E11" s="18">
        <f>C11*D11</f>
        <v>81875</v>
      </c>
      <c r="F11" s="18">
        <f>E11*0.002</f>
        <v>163.75</v>
      </c>
      <c r="G11" s="18">
        <f>E11*0.00006</f>
        <v>4.9125000000000005</v>
      </c>
      <c r="H11" s="18">
        <f>E11*0.00001</f>
        <v>0.81875000000000009</v>
      </c>
      <c r="I11" s="18">
        <f>(F11+G11+H11)*0.07</f>
        <v>11.863687500000001</v>
      </c>
      <c r="J11" s="18">
        <f>E11+F11+I11+G11+H11</f>
        <v>82056.344937500005</v>
      </c>
      <c r="K11" s="57"/>
      <c r="L11" s="58"/>
      <c r="M11" s="58"/>
      <c r="N11" s="58"/>
      <c r="O11" s="58"/>
    </row>
    <row r="12" spans="1:15" s="1" customFormat="1">
      <c r="A12" s="49">
        <v>44945</v>
      </c>
      <c r="B12" s="15" t="s">
        <v>3</v>
      </c>
      <c r="C12" s="16">
        <f>C11</f>
        <v>2500</v>
      </c>
      <c r="D12" s="26">
        <v>21.2</v>
      </c>
      <c r="E12" s="17">
        <f>C12*D12</f>
        <v>53000</v>
      </c>
      <c r="F12" s="27">
        <f>E12*0.002</f>
        <v>106</v>
      </c>
      <c r="G12" s="26">
        <f>E12*0.000068</f>
        <v>3.6040000000000001</v>
      </c>
      <c r="H12" s="26">
        <f>E12*0.00001</f>
        <v>0.53</v>
      </c>
      <c r="I12" s="26">
        <f>(F12+G12+H12)*0.07</f>
        <v>7.7093800000000003</v>
      </c>
      <c r="J12" s="26">
        <f>E12-F12-G12-H12-I12</f>
        <v>52882.156620000002</v>
      </c>
    </row>
    <row r="13" spans="1:15" s="1" customFormat="1">
      <c r="A13" s="49" t="s">
        <v>4</v>
      </c>
      <c r="B13" s="15"/>
      <c r="C13" s="16"/>
      <c r="D13" s="17"/>
      <c r="E13" s="18">
        <f>E12-E11</f>
        <v>-28875</v>
      </c>
      <c r="F13" s="18"/>
      <c r="G13" s="18"/>
      <c r="H13" s="18"/>
      <c r="I13" s="18"/>
      <c r="J13" s="18">
        <f>J12-J11</f>
        <v>-29174.188317500004</v>
      </c>
    </row>
    <row r="14" spans="1:15" s="1" customFormat="1" ht="14.25">
      <c r="A14" s="50"/>
      <c r="B14" s="74" t="s">
        <v>2</v>
      </c>
      <c r="C14" s="51">
        <v>12500</v>
      </c>
      <c r="D14" s="52">
        <v>37.25</v>
      </c>
      <c r="E14" s="51">
        <v>465625</v>
      </c>
      <c r="F14" s="51">
        <v>931.25</v>
      </c>
      <c r="G14" s="51">
        <v>27.937500000000004</v>
      </c>
      <c r="H14" s="51">
        <v>4.65625</v>
      </c>
      <c r="I14" s="51">
        <v>67.469062500000007</v>
      </c>
      <c r="J14" s="51">
        <v>466656.31281250005</v>
      </c>
      <c r="K14" s="57"/>
      <c r="L14" s="58"/>
      <c r="M14" s="58"/>
      <c r="N14" s="59"/>
      <c r="O14" s="59"/>
    </row>
    <row r="15" spans="1:15" s="1" customFormat="1" ht="14.25">
      <c r="A15" s="50">
        <v>44462</v>
      </c>
      <c r="B15" s="74" t="s">
        <v>1</v>
      </c>
      <c r="C15" s="51">
        <v>2500</v>
      </c>
      <c r="D15" s="52">
        <v>33.25</v>
      </c>
      <c r="E15" s="51">
        <v>83125</v>
      </c>
      <c r="F15" s="51">
        <v>166.25</v>
      </c>
      <c r="G15" s="51">
        <v>4.9874999999999998</v>
      </c>
      <c r="H15" s="51">
        <v>0.83125000000000004</v>
      </c>
      <c r="I15" s="51">
        <v>12.044812500000003</v>
      </c>
      <c r="J15" s="51">
        <v>83309.113562500002</v>
      </c>
      <c r="K15" s="57"/>
      <c r="L15" s="58"/>
      <c r="M15" s="58"/>
      <c r="N15" s="59"/>
      <c r="O15" s="59"/>
    </row>
    <row r="16" spans="1:15" s="1" customFormat="1">
      <c r="A16" s="49">
        <v>44951</v>
      </c>
      <c r="B16" s="15" t="s">
        <v>3</v>
      </c>
      <c r="C16" s="16">
        <v>2500</v>
      </c>
      <c r="D16" s="26">
        <v>21.4</v>
      </c>
      <c r="E16" s="17">
        <f>C16*D16</f>
        <v>53500</v>
      </c>
      <c r="F16" s="27">
        <f>E16*0.002</f>
        <v>107</v>
      </c>
      <c r="G16" s="26">
        <f>E16*0.000068</f>
        <v>3.6379999999999999</v>
      </c>
      <c r="H16" s="26">
        <f>E16*0.00001</f>
        <v>0.53500000000000003</v>
      </c>
      <c r="I16" s="26">
        <f>(F16+G16+H16)*0.07</f>
        <v>7.7821100000000012</v>
      </c>
      <c r="J16" s="26">
        <f>E16-F16-G16-H16-I16</f>
        <v>53381.044889999997</v>
      </c>
    </row>
    <row r="17" spans="1:15" s="1" customFormat="1">
      <c r="A17" s="49" t="s">
        <v>4</v>
      </c>
      <c r="B17" s="15"/>
      <c r="C17" s="16"/>
      <c r="D17" s="17"/>
      <c r="E17" s="18">
        <f>E16-E15</f>
        <v>-29625</v>
      </c>
      <c r="F17" s="18"/>
      <c r="G17" s="18"/>
      <c r="H17" s="18"/>
      <c r="I17" s="18"/>
      <c r="J17" s="18">
        <f>J16-J15</f>
        <v>-29928.068672500005</v>
      </c>
    </row>
    <row r="18" spans="1:15" s="1" customFormat="1" ht="14.25">
      <c r="A18" s="50"/>
      <c r="B18" s="74" t="s">
        <v>2</v>
      </c>
      <c r="C18" s="51">
        <v>10000</v>
      </c>
      <c r="D18" s="52">
        <v>38.25</v>
      </c>
      <c r="E18" s="51">
        <v>382500</v>
      </c>
      <c r="F18" s="51">
        <v>765</v>
      </c>
      <c r="G18" s="51">
        <v>22.950000000000003</v>
      </c>
      <c r="H18" s="51">
        <v>3.8250000000000002</v>
      </c>
      <c r="I18" s="51">
        <v>55.424250000000001</v>
      </c>
      <c r="J18" s="51">
        <v>383347.19925000006</v>
      </c>
      <c r="K18" s="57"/>
      <c r="L18" s="58"/>
      <c r="M18" s="58"/>
      <c r="N18" s="59"/>
      <c r="O18" s="59"/>
    </row>
    <row r="19" spans="1:15" s="19" customFormat="1" ht="15">
      <c r="A19" s="49">
        <v>44452</v>
      </c>
      <c r="B19" s="15" t="s">
        <v>1</v>
      </c>
      <c r="C19" s="16">
        <v>2500</v>
      </c>
      <c r="D19" s="41">
        <v>35.25</v>
      </c>
      <c r="E19" s="18">
        <f>C19*D19</f>
        <v>88125</v>
      </c>
      <c r="F19" s="18">
        <f>E19*0.002</f>
        <v>176.25</v>
      </c>
      <c r="G19" s="18">
        <f>E19*0.00006</f>
        <v>5.2875000000000005</v>
      </c>
      <c r="H19" s="18">
        <f>E19*0.00001</f>
        <v>0.88125000000000009</v>
      </c>
      <c r="I19" s="18">
        <f>(F19+G19+H19)*0.07</f>
        <v>12.7693125</v>
      </c>
      <c r="J19" s="18">
        <f>E19+F19+I19+G19+H19</f>
        <v>88320.188062500005</v>
      </c>
      <c r="K19" s="57"/>
      <c r="L19" s="58"/>
      <c r="M19" s="58"/>
      <c r="N19" s="58"/>
      <c r="O19" s="58"/>
    </row>
    <row r="20" spans="1:15" s="1" customFormat="1">
      <c r="A20" s="49">
        <v>44951</v>
      </c>
      <c r="B20" s="15" t="s">
        <v>3</v>
      </c>
      <c r="C20" s="16">
        <v>2500</v>
      </c>
      <c r="D20" s="26">
        <v>21.9</v>
      </c>
      <c r="E20" s="17">
        <f>C20*D20</f>
        <v>54750</v>
      </c>
      <c r="F20" s="27">
        <f>E20*0.002</f>
        <v>109.5</v>
      </c>
      <c r="G20" s="26">
        <f>E20*0.000068</f>
        <v>3.7229999999999999</v>
      </c>
      <c r="H20" s="26">
        <f>E20*0.00001</f>
        <v>0.5475000000000001</v>
      </c>
      <c r="I20" s="26">
        <f>(F20+G20+H20)*0.07</f>
        <v>7.9639350000000002</v>
      </c>
      <c r="J20" s="26">
        <f>E20-F20-G20-H20-I20</f>
        <v>54628.265565000002</v>
      </c>
    </row>
    <row r="21" spans="1:15" s="1" customFormat="1">
      <c r="A21" s="49" t="s">
        <v>4</v>
      </c>
      <c r="B21" s="15"/>
      <c r="C21" s="16"/>
      <c r="D21" s="17"/>
      <c r="E21" s="18">
        <f>E20-E19</f>
        <v>-33375</v>
      </c>
      <c r="F21" s="18"/>
      <c r="G21" s="18"/>
      <c r="H21" s="18"/>
      <c r="I21" s="18"/>
      <c r="J21" s="18">
        <f>J20-J19</f>
        <v>-33691.922497500003</v>
      </c>
    </row>
    <row r="22" spans="1:15" s="1" customFormat="1" ht="14.25">
      <c r="A22" s="49">
        <v>44951</v>
      </c>
      <c r="B22" s="74" t="s">
        <v>2</v>
      </c>
      <c r="C22" s="51">
        <v>7500</v>
      </c>
      <c r="D22" s="52">
        <v>39.25</v>
      </c>
      <c r="E22" s="51">
        <v>294375</v>
      </c>
      <c r="F22" s="51">
        <v>588.75</v>
      </c>
      <c r="G22" s="51">
        <v>17.662500000000001</v>
      </c>
      <c r="H22" s="51">
        <v>2.9437500000000001</v>
      </c>
      <c r="I22" s="51">
        <v>42.654937500000003</v>
      </c>
      <c r="J22" s="51">
        <v>295027.01118750003</v>
      </c>
      <c r="K22" s="57"/>
      <c r="L22" s="58"/>
      <c r="M22" s="58"/>
      <c r="N22" s="59"/>
      <c r="O22" s="59"/>
    </row>
    <row r="23" spans="1:15" s="19" customFormat="1" ht="15">
      <c r="A23" s="49">
        <v>44398</v>
      </c>
      <c r="B23" s="15" t="s">
        <v>1</v>
      </c>
      <c r="C23" s="16">
        <v>2500</v>
      </c>
      <c r="D23" s="41">
        <v>37.75</v>
      </c>
      <c r="E23" s="18">
        <f>C23*D23</f>
        <v>94375</v>
      </c>
      <c r="F23" s="18">
        <f>E23*0.002</f>
        <v>188.75</v>
      </c>
      <c r="G23" s="18">
        <f>E23*0.00006</f>
        <v>5.6625000000000005</v>
      </c>
      <c r="H23" s="18">
        <f>E23*0.00001</f>
        <v>0.94375000000000009</v>
      </c>
      <c r="I23" s="18">
        <f>(F23+G23+H23)*0.07</f>
        <v>13.6749375</v>
      </c>
      <c r="J23" s="18">
        <f>E23+F23+I23+G23+H23</f>
        <v>94584.031187500019</v>
      </c>
      <c r="K23" s="57"/>
      <c r="L23" s="58"/>
      <c r="M23" s="58"/>
      <c r="N23" s="58"/>
      <c r="O23" s="58"/>
    </row>
    <row r="24" spans="1:15" s="1" customFormat="1">
      <c r="A24" s="49">
        <v>44951</v>
      </c>
      <c r="B24" s="15" t="s">
        <v>3</v>
      </c>
      <c r="C24" s="16">
        <v>2500</v>
      </c>
      <c r="D24" s="26">
        <v>24.1</v>
      </c>
      <c r="E24" s="17">
        <f>C24*D24</f>
        <v>60250</v>
      </c>
      <c r="F24" s="27">
        <f>E24*0.002</f>
        <v>120.5</v>
      </c>
      <c r="G24" s="26">
        <f>E24*0.000068</f>
        <v>4.0969999999999995</v>
      </c>
      <c r="H24" s="26">
        <f>E24*0.00001</f>
        <v>0.60250000000000004</v>
      </c>
      <c r="I24" s="26">
        <f>(F24+G24+H24)*0.07</f>
        <v>8.7639650000000007</v>
      </c>
      <c r="J24" s="26">
        <f>E24-F24-G24-H24-I24</f>
        <v>60116.036534999999</v>
      </c>
    </row>
    <row r="25" spans="1:15" s="1" customFormat="1">
      <c r="A25" s="49" t="s">
        <v>4</v>
      </c>
      <c r="B25" s="15"/>
      <c r="C25" s="16"/>
      <c r="D25" s="17"/>
      <c r="E25" s="18">
        <f>E24-E23</f>
        <v>-34125</v>
      </c>
      <c r="F25" s="18"/>
      <c r="G25" s="18"/>
      <c r="H25" s="18"/>
      <c r="I25" s="18"/>
      <c r="J25" s="18">
        <f>J24-J23</f>
        <v>-34467.99465250002</v>
      </c>
    </row>
    <row r="26" spans="1:15" s="1" customFormat="1" ht="14.25">
      <c r="A26" s="54"/>
      <c r="B26" s="74" t="s">
        <v>2</v>
      </c>
      <c r="C26" s="51">
        <v>5000</v>
      </c>
      <c r="D26" s="52">
        <v>40</v>
      </c>
      <c r="E26" s="51">
        <v>200000</v>
      </c>
      <c r="F26" s="51">
        <v>400</v>
      </c>
      <c r="G26" s="51">
        <v>12</v>
      </c>
      <c r="H26" s="51">
        <v>2</v>
      </c>
      <c r="I26" s="51">
        <v>28.980000000000004</v>
      </c>
      <c r="J26" s="51">
        <v>200442.98</v>
      </c>
      <c r="K26" s="57"/>
      <c r="L26" s="58"/>
      <c r="M26" s="58"/>
      <c r="N26" s="59"/>
      <c r="O26" s="59"/>
    </row>
    <row r="27" spans="1:15" s="19" customFormat="1" ht="15">
      <c r="A27" s="56">
        <v>44462</v>
      </c>
      <c r="B27" s="13" t="s">
        <v>1</v>
      </c>
      <c r="C27" s="10">
        <v>2500</v>
      </c>
      <c r="D27" s="46">
        <v>19</v>
      </c>
      <c r="E27" s="20">
        <f>C27*D27</f>
        <v>47500</v>
      </c>
      <c r="F27" s="20">
        <f>E27*0.002</f>
        <v>95</v>
      </c>
      <c r="G27" s="20">
        <f>E27*0.00006</f>
        <v>2.85</v>
      </c>
      <c r="H27" s="20">
        <f>E27*0.00001</f>
        <v>0.47500000000000003</v>
      </c>
      <c r="I27" s="20">
        <f>(F27+G27+H27)*0.07</f>
        <v>6.8827499999999997</v>
      </c>
      <c r="J27" s="20">
        <f>E27+F27+I27+G27+H27</f>
        <v>47605.207749999994</v>
      </c>
      <c r="K27" s="57"/>
      <c r="L27" s="58"/>
      <c r="M27" s="58"/>
      <c r="N27" s="58"/>
      <c r="O27" s="58"/>
    </row>
    <row r="28" spans="1:15" s="1" customFormat="1">
      <c r="A28" s="50"/>
      <c r="B28" s="3">
        <f>(D27-D26)/D26</f>
        <v>-0.52500000000000002</v>
      </c>
      <c r="C28" s="2">
        <f>SUM(C26:C27)</f>
        <v>7500</v>
      </c>
      <c r="D28" s="47">
        <f>E28/C28</f>
        <v>33</v>
      </c>
      <c r="E28" s="2">
        <f t="shared" ref="E28:J28" si="4">SUM(E26:E27)</f>
        <v>247500</v>
      </c>
      <c r="F28" s="2">
        <f t="shared" si="4"/>
        <v>495</v>
      </c>
      <c r="G28" s="2">
        <f t="shared" si="4"/>
        <v>14.85</v>
      </c>
      <c r="H28" s="2">
        <f t="shared" si="4"/>
        <v>2.4750000000000001</v>
      </c>
      <c r="I28" s="2">
        <f t="shared" si="4"/>
        <v>35.862750000000005</v>
      </c>
      <c r="J28" s="2">
        <f t="shared" si="4"/>
        <v>248048.18775000001</v>
      </c>
      <c r="K28" s="57"/>
      <c r="L28" s="58"/>
      <c r="M28" s="58"/>
      <c r="N28" s="59"/>
      <c r="O28" s="59"/>
    </row>
    <row r="29" spans="1:15" s="1" customFormat="1">
      <c r="A29" s="49"/>
      <c r="B29" s="15"/>
      <c r="C29" s="16"/>
      <c r="D29" s="17"/>
      <c r="E29" s="18"/>
      <c r="F29" s="18"/>
      <c r="G29" s="18"/>
      <c r="H29" s="18"/>
      <c r="I29" s="18"/>
      <c r="J29" s="18"/>
    </row>
    <row r="30" spans="1:15" s="1" customFormat="1" ht="14.25">
      <c r="A30" s="54"/>
      <c r="B30" s="74"/>
      <c r="C30" s="51"/>
      <c r="D30" s="52"/>
      <c r="E30" s="51"/>
      <c r="F30" s="51"/>
      <c r="G30" s="51"/>
      <c r="H30" s="51"/>
      <c r="I30" s="51"/>
      <c r="J30" s="51"/>
      <c r="K30" s="57"/>
      <c r="L30" s="58"/>
      <c r="M30" s="58"/>
      <c r="N30" s="59"/>
      <c r="O30" s="59"/>
    </row>
    <row r="31" spans="1:15" s="19" customFormat="1" ht="15">
      <c r="A31" s="49">
        <v>44550</v>
      </c>
      <c r="B31" s="15" t="s">
        <v>1</v>
      </c>
      <c r="C31" s="16">
        <v>2500</v>
      </c>
      <c r="D31" s="41">
        <v>29.5</v>
      </c>
      <c r="E31" s="18">
        <f>C31*D31</f>
        <v>73750</v>
      </c>
      <c r="F31" s="18">
        <f>E31*0.002</f>
        <v>147.5</v>
      </c>
      <c r="G31" s="18">
        <f>E31*0.00006</f>
        <v>4.4249999999999998</v>
      </c>
      <c r="H31" s="18">
        <f>E31*0.00001</f>
        <v>0.73750000000000004</v>
      </c>
      <c r="I31" s="18">
        <f>(F31+G31+H31)*0.07</f>
        <v>10.686375000000002</v>
      </c>
      <c r="J31" s="18">
        <f>E31+F31+I31+G31+H31</f>
        <v>73913.348875000011</v>
      </c>
      <c r="K31" s="57"/>
      <c r="L31" s="58"/>
      <c r="M31" s="58"/>
      <c r="N31" s="58"/>
      <c r="O31" s="58"/>
    </row>
    <row r="32" spans="1:15" s="1" customFormat="1">
      <c r="A32" s="49">
        <v>44922</v>
      </c>
      <c r="B32" s="15" t="s">
        <v>3</v>
      </c>
      <c r="C32" s="16">
        <f>C31</f>
        <v>2500</v>
      </c>
      <c r="D32" s="26">
        <v>19.7</v>
      </c>
      <c r="E32" s="17">
        <f>C32*D32</f>
        <v>49250</v>
      </c>
      <c r="F32" s="27">
        <f>E32*0.002</f>
        <v>98.5</v>
      </c>
      <c r="G32" s="26">
        <f>E32*0.000068</f>
        <v>3.3489999999999998</v>
      </c>
      <c r="H32" s="26">
        <f>E32*0.00001</f>
        <v>0.49250000000000005</v>
      </c>
      <c r="I32" s="26">
        <f>(F32+G32+H32)*0.07</f>
        <v>7.1639050000000015</v>
      </c>
      <c r="J32" s="26">
        <f>E32-F32-G32-H32-I32</f>
        <v>49140.494594999996</v>
      </c>
    </row>
    <row r="33" spans="1:15" s="1" customFormat="1">
      <c r="A33" s="49" t="s">
        <v>4</v>
      </c>
      <c r="B33" s="15"/>
      <c r="C33" s="16"/>
      <c r="D33" s="17"/>
      <c r="E33" s="18">
        <f>E32-E31</f>
        <v>-24500</v>
      </c>
      <c r="F33" s="18"/>
      <c r="G33" s="18"/>
      <c r="H33" s="18"/>
      <c r="I33" s="18"/>
      <c r="J33" s="18">
        <f>J32-J31</f>
        <v>-24772.854280000014</v>
      </c>
    </row>
    <row r="34" spans="1:15" s="1" customFormat="1">
      <c r="A34" s="50"/>
      <c r="B34" s="3"/>
      <c r="C34" s="2"/>
      <c r="D34" s="47"/>
      <c r="E34" s="2"/>
      <c r="F34" s="2"/>
      <c r="G34" s="2"/>
      <c r="H34" s="2"/>
      <c r="I34" s="2"/>
      <c r="J34" s="2"/>
      <c r="K34" s="57"/>
      <c r="L34" s="58"/>
      <c r="M34" s="58"/>
      <c r="N34" s="59"/>
      <c r="O34" s="59"/>
    </row>
    <row r="35" spans="1:15" s="19" customFormat="1" ht="15">
      <c r="A35" s="49">
        <v>44624</v>
      </c>
      <c r="B35" s="15" t="s">
        <v>1</v>
      </c>
      <c r="C35" s="16">
        <v>2500</v>
      </c>
      <c r="D35" s="41">
        <v>25.75</v>
      </c>
      <c r="E35" s="18">
        <f>C35*D35</f>
        <v>64375</v>
      </c>
      <c r="F35" s="18">
        <f>E35*0.002</f>
        <v>128.75</v>
      </c>
      <c r="G35" s="18">
        <f>E35*0.00006</f>
        <v>3.8625000000000003</v>
      </c>
      <c r="H35" s="18">
        <f>E35*0.00001</f>
        <v>0.64375000000000004</v>
      </c>
      <c r="I35" s="18">
        <f>(F35+G35+H35)*0.07</f>
        <v>9.3279375000000027</v>
      </c>
      <c r="J35" s="18">
        <f>E35+F35+I35+G35+H35</f>
        <v>64517.584187500004</v>
      </c>
      <c r="K35" s="57"/>
      <c r="L35" s="58"/>
      <c r="M35" s="58"/>
      <c r="N35" s="58"/>
      <c r="O35" s="58"/>
    </row>
    <row r="36" spans="1:15" s="1" customFormat="1">
      <c r="A36" s="49">
        <v>44866</v>
      </c>
      <c r="B36" s="15" t="s">
        <v>3</v>
      </c>
      <c r="C36" s="16">
        <f>C35</f>
        <v>2500</v>
      </c>
      <c r="D36" s="26">
        <v>19.2</v>
      </c>
      <c r="E36" s="17">
        <f>C36*D36</f>
        <v>48000</v>
      </c>
      <c r="F36" s="27">
        <f>E36*0.002</f>
        <v>96</v>
      </c>
      <c r="G36" s="26">
        <f>E36*0.000068</f>
        <v>3.2639999999999998</v>
      </c>
      <c r="H36" s="26">
        <f>E36*0.00001</f>
        <v>0.48000000000000004</v>
      </c>
      <c r="I36" s="26">
        <f>(F36+G36+H36)*0.07</f>
        <v>6.9820800000000007</v>
      </c>
      <c r="J36" s="26">
        <f>E36-F36-G36-H36-I36</f>
        <v>47893.273919999992</v>
      </c>
    </row>
    <row r="37" spans="1:15" s="1" customFormat="1">
      <c r="A37" s="49" t="s">
        <v>4</v>
      </c>
      <c r="B37" s="15"/>
      <c r="C37" s="16"/>
      <c r="D37" s="17"/>
      <c r="E37" s="18">
        <f>E36-E35</f>
        <v>-16375</v>
      </c>
      <c r="F37" s="18"/>
      <c r="G37" s="18"/>
      <c r="H37" s="18"/>
      <c r="I37" s="18"/>
      <c r="J37" s="18">
        <f>J36-J35</f>
        <v>-16624.310267500012</v>
      </c>
    </row>
    <row r="38" spans="1:15" s="1" customFormat="1">
      <c r="A38" s="56"/>
      <c r="B38" s="13"/>
      <c r="C38" s="10"/>
      <c r="D38" s="11"/>
      <c r="E38" s="20"/>
      <c r="F38" s="20"/>
      <c r="G38" s="20"/>
      <c r="H38" s="20"/>
      <c r="I38" s="20"/>
      <c r="J38" s="20"/>
    </row>
    <row r="39" spans="1:15" s="1" customFormat="1">
      <c r="A39" s="56">
        <v>44627</v>
      </c>
      <c r="B39" s="13" t="s">
        <v>1</v>
      </c>
      <c r="C39" s="10">
        <v>2500</v>
      </c>
      <c r="D39" s="46">
        <v>25.75</v>
      </c>
      <c r="E39" s="20">
        <f>C39*D39</f>
        <v>64375</v>
      </c>
      <c r="F39" s="20">
        <f>E39*0.002</f>
        <v>128.75</v>
      </c>
      <c r="G39" s="20">
        <f>E39*0.00006</f>
        <v>3.8625000000000003</v>
      </c>
      <c r="H39" s="20">
        <f>E39*0.00001</f>
        <v>0.64375000000000004</v>
      </c>
      <c r="I39" s="20">
        <f>(F39+G39+H39)*0.07</f>
        <v>9.3279375000000027</v>
      </c>
      <c r="J39" s="20">
        <f>E39+F39+I39+G39+H39</f>
        <v>64517.584187500004</v>
      </c>
    </row>
    <row r="40" spans="1:15" s="1" customFormat="1">
      <c r="A40" s="56">
        <v>44634</v>
      </c>
      <c r="B40" s="13" t="s">
        <v>3</v>
      </c>
      <c r="C40" s="10">
        <f>C39</f>
        <v>2500</v>
      </c>
      <c r="D40" s="34">
        <v>20.100000000000001</v>
      </c>
      <c r="E40" s="11">
        <f>C40*D40</f>
        <v>50250</v>
      </c>
      <c r="F40" s="35">
        <f>E40*0.002</f>
        <v>100.5</v>
      </c>
      <c r="G40" s="34">
        <f>E40*0.000068</f>
        <v>3.4169999999999998</v>
      </c>
      <c r="H40" s="34">
        <f>E40*0.00001</f>
        <v>0.50250000000000006</v>
      </c>
      <c r="I40" s="34">
        <f>(F40+G40+H40)*0.07</f>
        <v>7.3093650000000006</v>
      </c>
      <c r="J40" s="34">
        <f>E40-F40-G40-H40-I40</f>
        <v>50138.271134999995</v>
      </c>
    </row>
    <row r="41" spans="1:15" s="1" customFormat="1">
      <c r="A41" s="56" t="s">
        <v>4</v>
      </c>
      <c r="B41" s="13"/>
      <c r="C41" s="10"/>
      <c r="D41" s="11"/>
      <c r="E41" s="20">
        <f>E40-E39</f>
        <v>-14125</v>
      </c>
      <c r="F41" s="20"/>
      <c r="G41" s="20"/>
      <c r="H41" s="20"/>
      <c r="I41" s="20"/>
      <c r="J41" s="20">
        <f>J40-J39</f>
        <v>-14379.313052500009</v>
      </c>
    </row>
    <row r="42" spans="1:15" s="1" customFormat="1">
      <c r="A42" s="56">
        <v>44627</v>
      </c>
      <c r="B42" s="13" t="s">
        <v>1</v>
      </c>
      <c r="C42" s="10">
        <v>2500</v>
      </c>
      <c r="D42" s="46">
        <v>19</v>
      </c>
      <c r="E42" s="20">
        <f>C42*D42</f>
        <v>47500</v>
      </c>
      <c r="F42" s="20">
        <f>E42*0.002</f>
        <v>95</v>
      </c>
      <c r="G42" s="20">
        <f>E42*0.00006</f>
        <v>2.85</v>
      </c>
      <c r="H42" s="20">
        <f>E42*0.00001</f>
        <v>0.47500000000000003</v>
      </c>
      <c r="I42" s="20">
        <f>(F42+G42+H42)*0.07</f>
        <v>6.8827499999999997</v>
      </c>
      <c r="J42" s="20">
        <f>E42+F42+I42+G42+H42</f>
        <v>47605.207749999994</v>
      </c>
    </row>
    <row r="43" spans="1:15" s="1" customFormat="1">
      <c r="A43" s="56">
        <v>44634</v>
      </c>
      <c r="B43" s="13" t="s">
        <v>3</v>
      </c>
      <c r="C43" s="10">
        <f>C42</f>
        <v>2500</v>
      </c>
      <c r="D43" s="34">
        <v>20.100000000000001</v>
      </c>
      <c r="E43" s="11">
        <f>C43*D43</f>
        <v>50250</v>
      </c>
      <c r="F43" s="35">
        <f>E43*0.002</f>
        <v>100.5</v>
      </c>
      <c r="G43" s="34">
        <f>E43*0.000068</f>
        <v>3.4169999999999998</v>
      </c>
      <c r="H43" s="34">
        <f>E43*0.00001</f>
        <v>0.50250000000000006</v>
      </c>
      <c r="I43" s="34">
        <f>(F43+G43+H43)*0.07</f>
        <v>7.3093650000000006</v>
      </c>
      <c r="J43" s="34">
        <f>E43-F43-G43-H43-I43</f>
        <v>50138.271134999995</v>
      </c>
    </row>
    <row r="44" spans="1:15" s="1" customFormat="1">
      <c r="A44" s="56" t="s">
        <v>4</v>
      </c>
      <c r="B44" s="12">
        <f>(D43-D42)/D42</f>
        <v>5.7894736842105339E-2</v>
      </c>
      <c r="C44" s="10"/>
      <c r="D44" s="11"/>
      <c r="E44" s="20">
        <f>E43-E42</f>
        <v>2750</v>
      </c>
      <c r="F44" s="20"/>
      <c r="G44" s="20"/>
      <c r="H44" s="20"/>
      <c r="I44" s="20"/>
      <c r="J44" s="20">
        <f>J43-J42</f>
        <v>2533.0633850000013</v>
      </c>
    </row>
    <row r="45" spans="1:15" s="1" customFormat="1" ht="12">
      <c r="A45" s="50"/>
      <c r="D45" s="47"/>
      <c r="J45" s="53"/>
    </row>
    <row r="46" spans="1:15" s="19" customFormat="1" ht="15">
      <c r="A46" s="56">
        <v>44624</v>
      </c>
      <c r="B46" s="13" t="s">
        <v>1</v>
      </c>
      <c r="C46" s="16">
        <v>2500</v>
      </c>
      <c r="D46" s="46">
        <v>25.75</v>
      </c>
      <c r="E46" s="20">
        <f>C46*D46</f>
        <v>64375</v>
      </c>
      <c r="F46" s="20">
        <f>E46*0.002</f>
        <v>128.75</v>
      </c>
      <c r="G46" s="20">
        <f>E46*0.00006</f>
        <v>3.8625000000000003</v>
      </c>
      <c r="H46" s="20">
        <f>E46*0.00001</f>
        <v>0.64375000000000004</v>
      </c>
      <c r="I46" s="20">
        <f>(F46+G46+H46)*0.07</f>
        <v>9.3279375000000027</v>
      </c>
      <c r="J46" s="20">
        <f>E46+F46+I46+G46+H46</f>
        <v>64517.584187500004</v>
      </c>
      <c r="K46" s="57"/>
      <c r="L46" s="58"/>
      <c r="M46" s="58"/>
      <c r="N46" s="58"/>
      <c r="O46" s="58"/>
    </row>
    <row r="47" spans="1:15" s="13" customFormat="1">
      <c r="A47" s="56" t="e">
        <f>#REF!</f>
        <v>#REF!</v>
      </c>
      <c r="B47" s="13" t="s">
        <v>3</v>
      </c>
      <c r="C47" s="10">
        <f>C46</f>
        <v>2500</v>
      </c>
      <c r="D47" s="26">
        <v>29.5</v>
      </c>
      <c r="E47" s="11">
        <f>C47*D47</f>
        <v>73750</v>
      </c>
      <c r="F47" s="35">
        <f>E47*0.002</f>
        <v>147.5</v>
      </c>
      <c r="G47" s="34">
        <f>E47*0.000068</f>
        <v>5.0149999999999997</v>
      </c>
      <c r="H47" s="34">
        <f>E47*0.00001</f>
        <v>0.73750000000000004</v>
      </c>
      <c r="I47" s="34">
        <f>(F47+G47+H47)*0.07</f>
        <v>10.727675000000001</v>
      </c>
      <c r="J47" s="34">
        <f>E47-F47-G47-H47-I47</f>
        <v>73586.019824999996</v>
      </c>
      <c r="K47" s="10">
        <f>C47</f>
        <v>2500</v>
      </c>
    </row>
    <row r="48" spans="1:15" s="31" customFormat="1" ht="18.75">
      <c r="A48" s="56" t="s">
        <v>4</v>
      </c>
      <c r="B48" s="25">
        <f>(D47-D46)/D46</f>
        <v>0.14563106796116504</v>
      </c>
      <c r="C48" s="10"/>
      <c r="D48" s="11"/>
      <c r="E48" s="20">
        <f>E47-E46</f>
        <v>9375</v>
      </c>
      <c r="F48" s="20"/>
      <c r="G48" s="20"/>
      <c r="H48" s="20"/>
      <c r="I48" s="20"/>
      <c r="J48" s="20">
        <f>J47-J46</f>
        <v>9068.4356374999916</v>
      </c>
      <c r="K48" s="20">
        <f>J48</f>
        <v>9068.4356374999916</v>
      </c>
    </row>
    <row r="49" spans="1:15" s="19" customFormat="1" ht="15">
      <c r="A49" s="49">
        <v>44550</v>
      </c>
      <c r="B49" s="13" t="s">
        <v>1</v>
      </c>
      <c r="C49" s="16">
        <v>2500</v>
      </c>
      <c r="D49" s="46">
        <v>29.5</v>
      </c>
      <c r="E49" s="20">
        <f>C49*D49</f>
        <v>73750</v>
      </c>
      <c r="F49" s="20">
        <f>E49*0.002</f>
        <v>147.5</v>
      </c>
      <c r="G49" s="20">
        <f>E49*0.00006</f>
        <v>4.4249999999999998</v>
      </c>
      <c r="H49" s="20">
        <f>E49*0.00001</f>
        <v>0.73750000000000004</v>
      </c>
      <c r="I49" s="20">
        <f>(F49+G49+H49)*0.07</f>
        <v>10.686375000000002</v>
      </c>
      <c r="J49" s="20">
        <f>E49+F49+I49+G49+H49</f>
        <v>73913.348875000011</v>
      </c>
      <c r="K49" s="57"/>
      <c r="L49" s="58"/>
      <c r="M49" s="58"/>
      <c r="N49" s="58"/>
      <c r="O49" s="58"/>
    </row>
    <row r="50" spans="1:15" s="13" customFormat="1">
      <c r="A50" s="56" t="e">
        <f>A47</f>
        <v>#REF!</v>
      </c>
      <c r="B50" s="13" t="s">
        <v>3</v>
      </c>
      <c r="C50" s="10">
        <f>C49</f>
        <v>2500</v>
      </c>
      <c r="D50" s="34">
        <f>D47</f>
        <v>29.5</v>
      </c>
      <c r="E50" s="11">
        <f>C50*D50</f>
        <v>73750</v>
      </c>
      <c r="F50" s="35">
        <f>E50*0.002</f>
        <v>147.5</v>
      </c>
      <c r="G50" s="34">
        <f>E50*0.000068</f>
        <v>5.0149999999999997</v>
      </c>
      <c r="H50" s="34">
        <f>E50*0.00001</f>
        <v>0.73750000000000004</v>
      </c>
      <c r="I50" s="34">
        <f>(F50+G50+H50)*0.07</f>
        <v>10.727675000000001</v>
      </c>
      <c r="J50" s="34">
        <f>E50-F50-G50-H50-I50</f>
        <v>73586.019824999996</v>
      </c>
      <c r="K50" s="10">
        <f>K47+C50</f>
        <v>5000</v>
      </c>
    </row>
    <row r="51" spans="1:15" s="31" customFormat="1" ht="18.75">
      <c r="A51" s="56" t="s">
        <v>4</v>
      </c>
      <c r="B51" s="25">
        <f>(D50-D49)/D49</f>
        <v>0</v>
      </c>
      <c r="C51" s="10"/>
      <c r="D51" s="11"/>
      <c r="E51" s="20">
        <f>E50-E49</f>
        <v>0</v>
      </c>
      <c r="F51" s="20"/>
      <c r="G51" s="20"/>
      <c r="H51" s="20"/>
      <c r="I51" s="20"/>
      <c r="J51" s="20">
        <f>J50-J49</f>
        <v>-327.32905000001483</v>
      </c>
      <c r="K51" s="20">
        <f>K48+J51</f>
        <v>8741.1065874999767</v>
      </c>
    </row>
    <row r="52" spans="1:15" s="19" customFormat="1" ht="15">
      <c r="A52" s="56">
        <v>44543</v>
      </c>
      <c r="B52" s="13" t="s">
        <v>1</v>
      </c>
      <c r="C52" s="16">
        <v>2500</v>
      </c>
      <c r="D52" s="46">
        <v>29.5</v>
      </c>
      <c r="E52" s="20">
        <f>C52*D52</f>
        <v>73750</v>
      </c>
      <c r="F52" s="20">
        <f>E52*0.002</f>
        <v>147.5</v>
      </c>
      <c r="G52" s="20">
        <f>E52*0.00006</f>
        <v>4.4249999999999998</v>
      </c>
      <c r="H52" s="20">
        <f>E52*0.00001</f>
        <v>0.73750000000000004</v>
      </c>
      <c r="I52" s="20">
        <f>(F52+G52+H52)*0.07</f>
        <v>10.686375000000002</v>
      </c>
      <c r="J52" s="20">
        <f>E52+F52+I52+G52+H52</f>
        <v>73913.348875000011</v>
      </c>
      <c r="K52" s="57"/>
      <c r="L52" s="58"/>
      <c r="M52" s="58"/>
      <c r="N52" s="58"/>
      <c r="O52" s="58"/>
    </row>
    <row r="53" spans="1:15" s="13" customFormat="1">
      <c r="A53" s="56" t="e">
        <f>A50</f>
        <v>#REF!</v>
      </c>
      <c r="B53" s="13" t="s">
        <v>3</v>
      </c>
      <c r="C53" s="10">
        <f>C52</f>
        <v>2500</v>
      </c>
      <c r="D53" s="34">
        <f>D50</f>
        <v>29.5</v>
      </c>
      <c r="E53" s="11">
        <f>C53*D53</f>
        <v>73750</v>
      </c>
      <c r="F53" s="35">
        <f>E53*0.002</f>
        <v>147.5</v>
      </c>
      <c r="G53" s="34">
        <f>E53*0.000068</f>
        <v>5.0149999999999997</v>
      </c>
      <c r="H53" s="34">
        <f>E53*0.00001</f>
        <v>0.73750000000000004</v>
      </c>
      <c r="I53" s="34">
        <f>(F53+G53+H53)*0.07</f>
        <v>10.727675000000001</v>
      </c>
      <c r="J53" s="34">
        <f>E53-F53-G53-H53-I53</f>
        <v>73586.019824999996</v>
      </c>
      <c r="K53" s="10">
        <f>K50+C53</f>
        <v>7500</v>
      </c>
    </row>
    <row r="54" spans="1:15" s="31" customFormat="1" ht="18.75">
      <c r="A54" s="56" t="s">
        <v>4</v>
      </c>
      <c r="B54" s="25">
        <f>(D53-D52)/D52</f>
        <v>0</v>
      </c>
      <c r="C54" s="10"/>
      <c r="D54" s="11"/>
      <c r="E54" s="20">
        <f>E53-E52</f>
        <v>0</v>
      </c>
      <c r="F54" s="20"/>
      <c r="G54" s="20"/>
      <c r="H54" s="20"/>
      <c r="I54" s="20"/>
      <c r="J54" s="20">
        <f>J53-J52</f>
        <v>-327.32905000001483</v>
      </c>
      <c r="K54" s="20">
        <f>K51+J54</f>
        <v>8413.7775374999619</v>
      </c>
    </row>
    <row r="55" spans="1:15" s="19" customFormat="1" ht="15">
      <c r="A55" s="56">
        <v>44496</v>
      </c>
      <c r="B55" s="13" t="s">
        <v>1</v>
      </c>
      <c r="C55" s="16">
        <v>2500</v>
      </c>
      <c r="D55" s="46">
        <v>32.75</v>
      </c>
      <c r="E55" s="20">
        <f>C55*D55</f>
        <v>81875</v>
      </c>
      <c r="F55" s="20">
        <f>E55*0.002</f>
        <v>163.75</v>
      </c>
      <c r="G55" s="20">
        <f>E55*0.00006</f>
        <v>4.9125000000000005</v>
      </c>
      <c r="H55" s="20">
        <f>E55*0.00001</f>
        <v>0.81875000000000009</v>
      </c>
      <c r="I55" s="20">
        <f>(F55+G55+H55)*0.07</f>
        <v>11.863687500000001</v>
      </c>
      <c r="J55" s="20">
        <f>E55+F55+I55+G55+H55</f>
        <v>82056.344937500005</v>
      </c>
      <c r="K55" s="57"/>
      <c r="L55" s="58"/>
      <c r="M55" s="58"/>
      <c r="N55" s="58"/>
      <c r="O55" s="58"/>
    </row>
    <row r="56" spans="1:15" s="13" customFormat="1">
      <c r="A56" s="56" t="e">
        <f>A53</f>
        <v>#REF!</v>
      </c>
      <c r="B56" s="13" t="s">
        <v>3</v>
      </c>
      <c r="C56" s="10">
        <f>C55</f>
        <v>2500</v>
      </c>
      <c r="D56" s="34">
        <f>D50</f>
        <v>29.5</v>
      </c>
      <c r="E56" s="11">
        <f>C56*D56</f>
        <v>73750</v>
      </c>
      <c r="F56" s="35">
        <f>E56*0.002</f>
        <v>147.5</v>
      </c>
      <c r="G56" s="34">
        <f>E56*0.000068</f>
        <v>5.0149999999999997</v>
      </c>
      <c r="H56" s="34">
        <f>E56*0.00001</f>
        <v>0.73750000000000004</v>
      </c>
      <c r="I56" s="34">
        <f>(F56+G56+H56)*0.07</f>
        <v>10.727675000000001</v>
      </c>
      <c r="J56" s="34">
        <f>E56-F56-G56-H56-I56</f>
        <v>73586.019824999996</v>
      </c>
      <c r="K56" s="10">
        <f>K53+C56</f>
        <v>10000</v>
      </c>
    </row>
    <row r="57" spans="1:15" s="31" customFormat="1" ht="18.75">
      <c r="A57" s="56" t="s">
        <v>4</v>
      </c>
      <c r="B57" s="25">
        <f>(D56-D55)/D55</f>
        <v>-9.9236641221374045E-2</v>
      </c>
      <c r="C57" s="10"/>
      <c r="D57" s="11"/>
      <c r="E57" s="20">
        <f>E56-E55</f>
        <v>-8125</v>
      </c>
      <c r="F57" s="20"/>
      <c r="G57" s="20"/>
      <c r="H57" s="20"/>
      <c r="I57" s="20"/>
      <c r="J57" s="20">
        <f>J56-J55</f>
        <v>-8470.3251125000097</v>
      </c>
      <c r="K57" s="20">
        <f>K54+J57</f>
        <v>-56.5475750000478</v>
      </c>
    </row>
    <row r="58" spans="1:15" s="19" customFormat="1" ht="15">
      <c r="A58" s="56">
        <v>44462</v>
      </c>
      <c r="B58" s="13" t="s">
        <v>1</v>
      </c>
      <c r="C58" s="16">
        <v>2500</v>
      </c>
      <c r="D58" s="46">
        <v>33.25</v>
      </c>
      <c r="E58" s="20">
        <f>C58*D58</f>
        <v>83125</v>
      </c>
      <c r="F58" s="20">
        <f>E58*0.002</f>
        <v>166.25</v>
      </c>
      <c r="G58" s="20">
        <f>E58*0.00006</f>
        <v>4.9874999999999998</v>
      </c>
      <c r="H58" s="20">
        <f>E58*0.00001</f>
        <v>0.83125000000000004</v>
      </c>
      <c r="I58" s="20">
        <f>(F58+G58+H58)*0.07</f>
        <v>12.044812500000003</v>
      </c>
      <c r="J58" s="20">
        <f>E58+F58+I58+G58+H58</f>
        <v>83309.113562500002</v>
      </c>
      <c r="K58" s="57"/>
      <c r="L58" s="58"/>
      <c r="M58" s="58"/>
      <c r="N58" s="58"/>
      <c r="O58" s="58"/>
    </row>
    <row r="59" spans="1:15" s="13" customFormat="1">
      <c r="A59" s="56" t="e">
        <f>A56</f>
        <v>#REF!</v>
      </c>
      <c r="B59" s="13" t="s">
        <v>3</v>
      </c>
      <c r="C59" s="10">
        <f>C58</f>
        <v>2500</v>
      </c>
      <c r="D59" s="34">
        <f>D50</f>
        <v>29.5</v>
      </c>
      <c r="E59" s="11">
        <f>C59*D59</f>
        <v>73750</v>
      </c>
      <c r="F59" s="35">
        <f>E59*0.002</f>
        <v>147.5</v>
      </c>
      <c r="G59" s="34">
        <f>E59*0.000068</f>
        <v>5.0149999999999997</v>
      </c>
      <c r="H59" s="34">
        <f>E59*0.00001</f>
        <v>0.73750000000000004</v>
      </c>
      <c r="I59" s="34">
        <f>(F59+G59+H59)*0.07</f>
        <v>10.727675000000001</v>
      </c>
      <c r="J59" s="34">
        <f>E59-F59-G59-H59-I59</f>
        <v>73586.019824999996</v>
      </c>
      <c r="K59" s="10">
        <f>K56+C59</f>
        <v>12500</v>
      </c>
    </row>
    <row r="60" spans="1:15" s="31" customFormat="1" ht="18.75">
      <c r="A60" s="56" t="s">
        <v>4</v>
      </c>
      <c r="B60" s="25">
        <f>(D59-D58)/D58</f>
        <v>-0.11278195488721804</v>
      </c>
      <c r="C60" s="10"/>
      <c r="D60" s="11"/>
      <c r="E60" s="20">
        <f>E59-E58</f>
        <v>-9375</v>
      </c>
      <c r="F60" s="20"/>
      <c r="G60" s="20"/>
      <c r="H60" s="20"/>
      <c r="I60" s="20"/>
      <c r="J60" s="20">
        <f>J59-J58</f>
        <v>-9723.0937375000067</v>
      </c>
      <c r="K60" s="20">
        <f>K57+J60</f>
        <v>-9779.6413125000545</v>
      </c>
    </row>
    <row r="61" spans="1:15" s="19" customFormat="1" ht="15">
      <c r="A61" s="56">
        <v>44452</v>
      </c>
      <c r="B61" s="13" t="s">
        <v>1</v>
      </c>
      <c r="C61" s="16">
        <v>2500</v>
      </c>
      <c r="D61" s="46">
        <v>35.25</v>
      </c>
      <c r="E61" s="20">
        <f>C61*D61</f>
        <v>88125</v>
      </c>
      <c r="F61" s="20">
        <f>E61*0.002</f>
        <v>176.25</v>
      </c>
      <c r="G61" s="20">
        <f>E61*0.00006</f>
        <v>5.2875000000000005</v>
      </c>
      <c r="H61" s="20">
        <f>E61*0.00001</f>
        <v>0.88125000000000009</v>
      </c>
      <c r="I61" s="20">
        <f>(F61+G61+H61)*0.07</f>
        <v>12.7693125</v>
      </c>
      <c r="J61" s="20">
        <f>E61+F61+I61+G61+H61</f>
        <v>88320.188062500005</v>
      </c>
      <c r="K61" s="57"/>
      <c r="L61" s="58"/>
      <c r="M61" s="58"/>
      <c r="N61" s="58"/>
      <c r="O61" s="58"/>
    </row>
    <row r="62" spans="1:15" s="13" customFormat="1">
      <c r="A62" s="56" t="e">
        <f>A59</f>
        <v>#REF!</v>
      </c>
      <c r="B62" s="13" t="s">
        <v>3</v>
      </c>
      <c r="C62" s="10">
        <f>C61</f>
        <v>2500</v>
      </c>
      <c r="D62" s="34">
        <f>D50</f>
        <v>29.5</v>
      </c>
      <c r="E62" s="11">
        <f>C62*D62</f>
        <v>73750</v>
      </c>
      <c r="F62" s="35">
        <f>E62*0.002</f>
        <v>147.5</v>
      </c>
      <c r="G62" s="34">
        <f>E62*0.000068</f>
        <v>5.0149999999999997</v>
      </c>
      <c r="H62" s="34">
        <f>E62*0.00001</f>
        <v>0.73750000000000004</v>
      </c>
      <c r="I62" s="34">
        <f>(F62+G62+H62)*0.07</f>
        <v>10.727675000000001</v>
      </c>
      <c r="J62" s="34">
        <f>E62-F62-G62-H62-I62</f>
        <v>73586.019824999996</v>
      </c>
      <c r="K62" s="91">
        <f>K59+C62</f>
        <v>15000</v>
      </c>
    </row>
    <row r="63" spans="1:15" s="31" customFormat="1" ht="18.75">
      <c r="A63" s="56" t="s">
        <v>4</v>
      </c>
      <c r="B63" s="25">
        <f>(D62-D61)/D61</f>
        <v>-0.16312056737588654</v>
      </c>
      <c r="C63" s="10"/>
      <c r="D63" s="11"/>
      <c r="E63" s="20">
        <f>E62-E61</f>
        <v>-14375</v>
      </c>
      <c r="F63" s="20"/>
      <c r="G63" s="20"/>
      <c r="H63" s="20"/>
      <c r="I63" s="20"/>
      <c r="J63" s="20">
        <f>J62-J61</f>
        <v>-14734.168237500009</v>
      </c>
      <c r="K63" s="20">
        <f>K60+J63</f>
        <v>-24513.809550000064</v>
      </c>
    </row>
    <row r="64" spans="1:15" s="19" customFormat="1" ht="15">
      <c r="A64" s="56">
        <v>44398</v>
      </c>
      <c r="B64" s="13" t="s">
        <v>1</v>
      </c>
      <c r="C64" s="16">
        <v>2500</v>
      </c>
      <c r="D64" s="46">
        <v>37.75</v>
      </c>
      <c r="E64" s="20">
        <f>C64*D64</f>
        <v>94375</v>
      </c>
      <c r="F64" s="20">
        <f>E64*0.002</f>
        <v>188.75</v>
      </c>
      <c r="G64" s="20">
        <f>E64*0.00006</f>
        <v>5.6625000000000005</v>
      </c>
      <c r="H64" s="20">
        <f>E64*0.00001</f>
        <v>0.94375000000000009</v>
      </c>
      <c r="I64" s="20">
        <f>(F64+G64+H64)*0.07</f>
        <v>13.6749375</v>
      </c>
      <c r="J64" s="20">
        <f>E64+F64+I64+G64+H64</f>
        <v>94584.031187500019</v>
      </c>
      <c r="K64" s="57"/>
      <c r="L64" s="58"/>
      <c r="M64" s="58"/>
      <c r="N64" s="58"/>
      <c r="O64" s="58"/>
    </row>
    <row r="65" spans="1:15" s="13" customFormat="1">
      <c r="A65" s="56" t="e">
        <f>A62</f>
        <v>#REF!</v>
      </c>
      <c r="B65" s="13" t="s">
        <v>3</v>
      </c>
      <c r="C65" s="10">
        <f>C64</f>
        <v>2500</v>
      </c>
      <c r="D65" s="34">
        <f>D50</f>
        <v>29.5</v>
      </c>
      <c r="E65" s="11">
        <f>C65*D65</f>
        <v>73750</v>
      </c>
      <c r="F65" s="35">
        <f>E65*0.002</f>
        <v>147.5</v>
      </c>
      <c r="G65" s="34">
        <f>E65*0.000068</f>
        <v>5.0149999999999997</v>
      </c>
      <c r="H65" s="34">
        <f>E65*0.00001</f>
        <v>0.73750000000000004</v>
      </c>
      <c r="I65" s="34">
        <f>(F65+G65+H65)*0.07</f>
        <v>10.727675000000001</v>
      </c>
      <c r="J65" s="34">
        <f>E65-F65-G65-H65-I65</f>
        <v>73586.019824999996</v>
      </c>
      <c r="K65" s="10">
        <f>K62+C65</f>
        <v>17500</v>
      </c>
    </row>
    <row r="66" spans="1:15" s="31" customFormat="1" ht="18.75">
      <c r="A66" s="56" t="s">
        <v>4</v>
      </c>
      <c r="B66" s="25">
        <f>(D65-D64)/D64</f>
        <v>-0.2185430463576159</v>
      </c>
      <c r="C66" s="10"/>
      <c r="D66" s="11"/>
      <c r="E66" s="20">
        <f>E65-E64</f>
        <v>-20625</v>
      </c>
      <c r="F66" s="20"/>
      <c r="G66" s="20"/>
      <c r="H66" s="20"/>
      <c r="I66" s="20"/>
      <c r="J66" s="20">
        <f>J65-J64</f>
        <v>-20998.011362500023</v>
      </c>
      <c r="K66" s="20">
        <f>K63+J66</f>
        <v>-45511.820912500087</v>
      </c>
    </row>
    <row r="67" spans="1:15" s="19" customFormat="1" ht="15">
      <c r="A67" s="56">
        <v>44368</v>
      </c>
      <c r="B67" s="13" t="s">
        <v>1</v>
      </c>
      <c r="C67" s="16">
        <v>2500</v>
      </c>
      <c r="D67" s="46">
        <v>40</v>
      </c>
      <c r="E67" s="20">
        <f>C67*D67</f>
        <v>100000</v>
      </c>
      <c r="F67" s="20">
        <f>E67*0.002</f>
        <v>200</v>
      </c>
      <c r="G67" s="20">
        <f>E67*0.00006</f>
        <v>6</v>
      </c>
      <c r="H67" s="20">
        <f>E67*0.00001</f>
        <v>1</v>
      </c>
      <c r="I67" s="20">
        <f>(F67+G67+H67)*0.07</f>
        <v>14.490000000000002</v>
      </c>
      <c r="J67" s="20">
        <f>E67+F67+I67+G67+H67</f>
        <v>100221.49</v>
      </c>
      <c r="K67" s="57"/>
      <c r="L67" s="58"/>
      <c r="M67" s="58"/>
      <c r="N67" s="58"/>
      <c r="O67" s="58"/>
    </row>
    <row r="68" spans="1:15" s="13" customFormat="1">
      <c r="A68" s="56" t="e">
        <f>A65</f>
        <v>#REF!</v>
      </c>
      <c r="B68" s="13" t="s">
        <v>3</v>
      </c>
      <c r="C68" s="10">
        <f>C67</f>
        <v>2500</v>
      </c>
      <c r="D68" s="34">
        <f>D53</f>
        <v>29.5</v>
      </c>
      <c r="E68" s="11">
        <f>C68*D68</f>
        <v>73750</v>
      </c>
      <c r="F68" s="35">
        <f>E68*0.002</f>
        <v>147.5</v>
      </c>
      <c r="G68" s="34">
        <f>E68*0.000068</f>
        <v>5.0149999999999997</v>
      </c>
      <c r="H68" s="34">
        <f>E68*0.00001</f>
        <v>0.73750000000000004</v>
      </c>
      <c r="I68" s="34">
        <f>(F68+G68+H68)*0.07</f>
        <v>10.727675000000001</v>
      </c>
      <c r="J68" s="34">
        <f>E68-F68-G68-H68-I68</f>
        <v>73586.019824999996</v>
      </c>
      <c r="K68" s="10">
        <f>K65+C68</f>
        <v>20000</v>
      </c>
    </row>
    <row r="69" spans="1:15" s="31" customFormat="1" ht="18.75">
      <c r="A69" s="56" t="s">
        <v>4</v>
      </c>
      <c r="B69" s="25">
        <f>(D68-D67)/D67</f>
        <v>-0.26250000000000001</v>
      </c>
      <c r="C69" s="10"/>
      <c r="D69" s="11"/>
      <c r="E69" s="20">
        <f>E68-E67</f>
        <v>-26250</v>
      </c>
      <c r="F69" s="20"/>
      <c r="G69" s="20"/>
      <c r="H69" s="20"/>
      <c r="I69" s="20"/>
      <c r="J69" s="20">
        <f>J68-J67</f>
        <v>-26635.470175000009</v>
      </c>
      <c r="K69" s="20">
        <f>K66+J69</f>
        <v>-72147.291087500096</v>
      </c>
    </row>
    <row r="70" spans="1:15" s="19" customFormat="1" ht="15">
      <c r="A70" s="56">
        <v>44368</v>
      </c>
      <c r="B70" s="13" t="s">
        <v>1</v>
      </c>
      <c r="C70" s="16">
        <v>2500</v>
      </c>
      <c r="D70" s="46">
        <v>40</v>
      </c>
      <c r="E70" s="20">
        <f>C70*D70</f>
        <v>100000</v>
      </c>
      <c r="F70" s="20">
        <f>E70*0.002</f>
        <v>200</v>
      </c>
      <c r="G70" s="20">
        <f>E70*0.00006</f>
        <v>6</v>
      </c>
      <c r="H70" s="20">
        <f>E70*0.00001</f>
        <v>1</v>
      </c>
      <c r="I70" s="20">
        <f>(F70+G70+H70)*0.07</f>
        <v>14.490000000000002</v>
      </c>
      <c r="J70" s="20">
        <f>E70+F70+I70+G70+H70</f>
        <v>100221.49</v>
      </c>
      <c r="K70" s="57"/>
      <c r="L70" s="58"/>
      <c r="M70" s="58"/>
      <c r="N70" s="58"/>
      <c r="O70" s="58"/>
    </row>
    <row r="71" spans="1:15" s="13" customFormat="1">
      <c r="A71" s="56" t="e">
        <f>A68</f>
        <v>#REF!</v>
      </c>
      <c r="B71" s="13" t="s">
        <v>3</v>
      </c>
      <c r="C71" s="10">
        <f>C70</f>
        <v>2500</v>
      </c>
      <c r="D71" s="34">
        <f>D56</f>
        <v>29.5</v>
      </c>
      <c r="E71" s="11">
        <f>C71*D71</f>
        <v>73750</v>
      </c>
      <c r="F71" s="35">
        <f>E71*0.002</f>
        <v>147.5</v>
      </c>
      <c r="G71" s="34">
        <f>E71*0.000068</f>
        <v>5.0149999999999997</v>
      </c>
      <c r="H71" s="34">
        <f>E71*0.00001</f>
        <v>0.73750000000000004</v>
      </c>
      <c r="I71" s="34">
        <f>(F71+G71+H71)*0.07</f>
        <v>10.727675000000001</v>
      </c>
      <c r="J71" s="34">
        <f>E71-F71-G71-H71-I71</f>
        <v>73586.019824999996</v>
      </c>
      <c r="K71" s="10">
        <f>K68+C71</f>
        <v>22500</v>
      </c>
    </row>
    <row r="72" spans="1:15" s="31" customFormat="1" ht="18.75">
      <c r="A72" s="56" t="s">
        <v>4</v>
      </c>
      <c r="B72" s="25">
        <f>(D71-D70)/D70</f>
        <v>-0.26250000000000001</v>
      </c>
      <c r="C72" s="10"/>
      <c r="D72" s="11"/>
      <c r="E72" s="20">
        <f>E71-E70</f>
        <v>-26250</v>
      </c>
      <c r="F72" s="20"/>
      <c r="G72" s="20"/>
      <c r="H72" s="20"/>
      <c r="I72" s="20"/>
      <c r="J72" s="20">
        <f>J71-J70</f>
        <v>-26635.470175000009</v>
      </c>
      <c r="K72" s="20">
        <f>K69+J72</f>
        <v>-98782.761262500106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28E2-7E3A-4D20-9850-1E5EA06B5D92}">
  <dimension ref="A1:N14"/>
  <sheetViews>
    <sheetView workbookViewId="0">
      <selection activeCell="A3" sqref="A3:XFD4"/>
    </sheetView>
  </sheetViews>
  <sheetFormatPr defaultColWidth="8.875" defaultRowHeight="14.25"/>
  <cols>
    <col min="1" max="1" width="10.625" style="38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5.625" style="21" bestFit="1" customWidth="1"/>
    <col min="12" max="12" width="8.875" style="21"/>
    <col min="13" max="13" width="8.875" style="25"/>
    <col min="14" max="16384" width="8.875" style="21"/>
  </cols>
  <sheetData>
    <row r="1" spans="1:14">
      <c r="B1" s="21" t="s">
        <v>9</v>
      </c>
    </row>
    <row r="2" spans="1:14" s="1" customFormat="1">
      <c r="A2" s="49">
        <v>44627</v>
      </c>
      <c r="B2" s="15" t="s">
        <v>1</v>
      </c>
      <c r="C2" s="16">
        <v>30000</v>
      </c>
      <c r="D2" s="41">
        <v>3.8</v>
      </c>
      <c r="E2" s="18">
        <f>C2*D2</f>
        <v>114000</v>
      </c>
      <c r="F2" s="18">
        <f>E2*0.002</f>
        <v>228</v>
      </c>
      <c r="G2" s="18">
        <f>E2*0.00006</f>
        <v>6.84</v>
      </c>
      <c r="H2" s="18">
        <f>E2*0.00001</f>
        <v>1.1400000000000001</v>
      </c>
      <c r="I2" s="18">
        <f>(F2+G2+H2)*0.07</f>
        <v>16.518599999999999</v>
      </c>
      <c r="J2" s="18">
        <f>E2+F2+I2+G2+H2</f>
        <v>114252.49859999999</v>
      </c>
    </row>
    <row r="3" spans="1:14" s="13" customFormat="1">
      <c r="A3" s="67">
        <v>44473</v>
      </c>
      <c r="B3" s="13" t="s">
        <v>1</v>
      </c>
      <c r="C3" s="10">
        <v>10000</v>
      </c>
      <c r="D3" s="11">
        <v>3</v>
      </c>
      <c r="E3" s="20">
        <f>C3*D3</f>
        <v>30000</v>
      </c>
      <c r="F3" s="20">
        <f>E3*0.002</f>
        <v>60</v>
      </c>
      <c r="G3" s="20">
        <f>E3*0.00006</f>
        <v>1.8</v>
      </c>
      <c r="H3" s="20">
        <f>E3*0.00001</f>
        <v>0.30000000000000004</v>
      </c>
      <c r="I3" s="20">
        <f>(F3+G3+H3)*0.07</f>
        <v>4.3470000000000004</v>
      </c>
      <c r="J3" s="20">
        <f>E3+F3+I3+G3+H3</f>
        <v>30066.447</v>
      </c>
      <c r="K3" s="32"/>
      <c r="L3" s="11"/>
      <c r="M3" s="12"/>
    </row>
    <row r="4" spans="1:14" s="63" customFormat="1" ht="21.75">
      <c r="A4" s="56"/>
      <c r="B4" s="76">
        <f>(D3-D2)/D2</f>
        <v>-0.21052631578947364</v>
      </c>
      <c r="C4" s="10">
        <f>SUM(C2:C3)</f>
        <v>40000</v>
      </c>
      <c r="D4" s="64">
        <f>E4/C4</f>
        <v>3.6</v>
      </c>
      <c r="E4" s="10">
        <f t="shared" ref="E4:J4" si="0">SUM(E2:E3)</f>
        <v>144000</v>
      </c>
      <c r="F4" s="10">
        <f t="shared" si="0"/>
        <v>288</v>
      </c>
      <c r="G4" s="10">
        <f t="shared" si="0"/>
        <v>8.64</v>
      </c>
      <c r="H4" s="10">
        <f t="shared" si="0"/>
        <v>1.4400000000000002</v>
      </c>
      <c r="I4" s="10">
        <f t="shared" si="0"/>
        <v>20.865600000000001</v>
      </c>
      <c r="J4" s="10">
        <f t="shared" si="0"/>
        <v>144318.94559999998</v>
      </c>
      <c r="K4" s="11"/>
      <c r="L4" s="13"/>
      <c r="M4" s="62"/>
      <c r="N4" s="62"/>
    </row>
    <row r="6" spans="1:14" s="63" customFormat="1" ht="21.75">
      <c r="A6" s="56">
        <v>44630</v>
      </c>
      <c r="C6" s="10">
        <f>C2</f>
        <v>30000</v>
      </c>
      <c r="D6" s="64">
        <v>0.2</v>
      </c>
      <c r="E6" s="60">
        <v>0</v>
      </c>
      <c r="F6" s="32">
        <v>0</v>
      </c>
      <c r="G6" s="60">
        <v>0</v>
      </c>
      <c r="H6" s="11">
        <f>G6-E6</f>
        <v>0</v>
      </c>
      <c r="I6" s="12">
        <v>0</v>
      </c>
      <c r="J6" s="61">
        <f>C6*D6</f>
        <v>6000</v>
      </c>
      <c r="K6" s="11"/>
      <c r="L6" s="13"/>
      <c r="M6" s="62"/>
      <c r="N6" s="62"/>
    </row>
    <row r="7" spans="1:14" s="1" customFormat="1">
      <c r="A7" s="56">
        <v>44627</v>
      </c>
      <c r="B7" s="13" t="s">
        <v>1</v>
      </c>
      <c r="C7" s="10">
        <f>C6</f>
        <v>30000</v>
      </c>
      <c r="D7" s="46">
        <f>D2</f>
        <v>3.8</v>
      </c>
      <c r="E7" s="20">
        <f>C7*D7</f>
        <v>114000</v>
      </c>
      <c r="F7" s="20">
        <f>E7*0.002</f>
        <v>228</v>
      </c>
      <c r="G7" s="20">
        <f>E7*0.00006</f>
        <v>6.84</v>
      </c>
      <c r="H7" s="20">
        <f>E7*0.00001</f>
        <v>1.1400000000000001</v>
      </c>
      <c r="I7" s="20">
        <f>(F7+G7+H7)*0.07</f>
        <v>16.518599999999999</v>
      </c>
      <c r="J7" s="20">
        <f>E7+F7+I7+G7+H7</f>
        <v>114252.49859999999</v>
      </c>
    </row>
    <row r="8" spans="1:14" s="1" customFormat="1">
      <c r="A8" s="56">
        <v>44277</v>
      </c>
      <c r="B8" s="13" t="s">
        <v>3</v>
      </c>
      <c r="C8" s="10">
        <f>C7</f>
        <v>30000</v>
      </c>
      <c r="D8" s="34">
        <v>3.82</v>
      </c>
      <c r="E8" s="11">
        <f>C8*D8</f>
        <v>114600</v>
      </c>
      <c r="F8" s="35">
        <f>E8*0.002</f>
        <v>229.20000000000002</v>
      </c>
      <c r="G8" s="34">
        <f>E8*0.000068</f>
        <v>7.7927999999999997</v>
      </c>
      <c r="H8" s="34">
        <f>E8*0.00001</f>
        <v>1.1460000000000001</v>
      </c>
      <c r="I8" s="34">
        <f>(F8+G8+H8)*0.07</f>
        <v>16.669716000000001</v>
      </c>
      <c r="J8" s="34">
        <f>E8-F8-G8-H8-I8</f>
        <v>114345.19148400001</v>
      </c>
    </row>
    <row r="9" spans="1:14" s="1" customFormat="1">
      <c r="A9" s="56" t="s">
        <v>4</v>
      </c>
      <c r="B9" s="13"/>
      <c r="C9" s="10"/>
      <c r="D9" s="11"/>
      <c r="E9" s="20">
        <f>E8-E7</f>
        <v>600</v>
      </c>
      <c r="F9" s="20"/>
      <c r="G9" s="20"/>
      <c r="H9" s="20"/>
      <c r="I9" s="20"/>
      <c r="J9" s="20">
        <f>J8-J7</f>
        <v>92.692884000018239</v>
      </c>
    </row>
    <row r="10" spans="1:14" s="1" customFormat="1">
      <c r="A10" s="50"/>
      <c r="D10" s="47"/>
      <c r="J10" s="53">
        <f>J6+J9</f>
        <v>6092.6928840000182</v>
      </c>
    </row>
    <row r="12" spans="1:14" s="1" customFormat="1">
      <c r="A12" s="56">
        <v>44627</v>
      </c>
      <c r="B12" s="13" t="s">
        <v>1</v>
      </c>
      <c r="C12" s="10">
        <v>30000</v>
      </c>
      <c r="D12" s="46">
        <v>3.8</v>
      </c>
      <c r="E12" s="20">
        <f>C12*D12</f>
        <v>114000</v>
      </c>
      <c r="F12" s="20">
        <f>E12*0.002</f>
        <v>228</v>
      </c>
      <c r="G12" s="20">
        <f>E12*0.00006</f>
        <v>6.84</v>
      </c>
      <c r="H12" s="20">
        <f>E12*0.00001</f>
        <v>1.1400000000000001</v>
      </c>
      <c r="I12" s="20">
        <f>(F12+G12+H12)*0.07</f>
        <v>16.518599999999999</v>
      </c>
      <c r="J12" s="20">
        <f>E12+F12+I12+G12+H12</f>
        <v>114252.49859999999</v>
      </c>
    </row>
    <row r="13" spans="1:14" s="1" customFormat="1">
      <c r="A13" s="56">
        <v>44633</v>
      </c>
      <c r="B13" s="13" t="s">
        <v>3</v>
      </c>
      <c r="C13" s="10">
        <f>C12</f>
        <v>30000</v>
      </c>
      <c r="D13" s="34">
        <v>4.0199999999999996</v>
      </c>
      <c r="E13" s="11">
        <f>C13*D13</f>
        <v>120599.99999999999</v>
      </c>
      <c r="F13" s="35">
        <f>E13*0.002</f>
        <v>241.2</v>
      </c>
      <c r="G13" s="34">
        <f>E13*0.000068</f>
        <v>8.2007999999999992</v>
      </c>
      <c r="H13" s="34">
        <f>E13*0.00001</f>
        <v>1.206</v>
      </c>
      <c r="I13" s="34">
        <f>(F13+G13+H13)*0.07</f>
        <v>17.542476000000001</v>
      </c>
      <c r="J13" s="34">
        <f>E13-F13-G13-H13-I13</f>
        <v>120331.85072399997</v>
      </c>
    </row>
    <row r="14" spans="1:14" s="1" customFormat="1">
      <c r="A14" s="56" t="s">
        <v>4</v>
      </c>
      <c r="B14" s="13"/>
      <c r="C14" s="10"/>
      <c r="D14" s="11"/>
      <c r="E14" s="20">
        <f>E13-E12</f>
        <v>6599.9999999999854</v>
      </c>
      <c r="F14" s="20"/>
      <c r="G14" s="20"/>
      <c r="H14" s="20"/>
      <c r="I14" s="20"/>
      <c r="J14" s="20">
        <f>J13-J12</f>
        <v>6079.3521239999827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E3BD-D1CD-48BE-9C86-B7AFE096597B}">
  <dimension ref="A1:N16"/>
  <sheetViews>
    <sheetView workbookViewId="0">
      <selection activeCell="D6" sqref="D6"/>
    </sheetView>
  </sheetViews>
  <sheetFormatPr defaultColWidth="8.875" defaultRowHeight="12.75"/>
  <cols>
    <col min="1" max="1" width="10.625" style="38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5.625" style="21" bestFit="1" customWidth="1"/>
    <col min="12" max="12" width="8.875" style="21"/>
    <col min="13" max="13" width="8.875" style="25"/>
    <col min="14" max="16384" width="8.875" style="21"/>
  </cols>
  <sheetData>
    <row r="1" spans="1:14">
      <c r="B1" s="21" t="s">
        <v>10</v>
      </c>
    </row>
    <row r="2" spans="1:14" s="1" customFormat="1">
      <c r="A2" s="49">
        <v>44932</v>
      </c>
      <c r="B2" s="15" t="s">
        <v>1</v>
      </c>
      <c r="C2" s="16">
        <v>12000</v>
      </c>
      <c r="D2" s="41">
        <v>12.3</v>
      </c>
      <c r="E2" s="18">
        <f>C2*D2</f>
        <v>147600</v>
      </c>
      <c r="F2" s="18">
        <f>E2*0.002</f>
        <v>295.2</v>
      </c>
      <c r="G2" s="18">
        <f>E2*0.00006</f>
        <v>8.8559999999999999</v>
      </c>
      <c r="H2" s="18">
        <f>E2*0.00001</f>
        <v>1.4760000000000002</v>
      </c>
      <c r="I2" s="18">
        <f>(F2+G2+H2)*0.07</f>
        <v>21.387240000000002</v>
      </c>
      <c r="J2" s="18">
        <f>E2+F2+I2+G2+H2</f>
        <v>147926.91924000002</v>
      </c>
    </row>
    <row r="3" spans="1:14" s="13" customFormat="1">
      <c r="A3" s="39">
        <v>44957</v>
      </c>
      <c r="B3" s="15" t="s">
        <v>1</v>
      </c>
      <c r="C3" s="16">
        <v>6000</v>
      </c>
      <c r="D3" s="17">
        <v>11.4</v>
      </c>
      <c r="E3" s="18">
        <f>C3*D3</f>
        <v>68400</v>
      </c>
      <c r="F3" s="18">
        <f>E3*0.002</f>
        <v>136.80000000000001</v>
      </c>
      <c r="G3" s="18">
        <f>E3*0.00006</f>
        <v>4.1040000000000001</v>
      </c>
      <c r="H3" s="18">
        <f>E3*0.00001</f>
        <v>0.68400000000000005</v>
      </c>
      <c r="I3" s="18">
        <f>(F3+G3+H3)*0.07</f>
        <v>9.9111600000000024</v>
      </c>
      <c r="J3" s="18">
        <f>E3+F3+I3+G3+H3</f>
        <v>68551.499160000007</v>
      </c>
      <c r="K3" s="32"/>
      <c r="L3" s="11"/>
      <c r="M3" s="12"/>
    </row>
    <row r="4" spans="1:14" s="63" customFormat="1" ht="21.75">
      <c r="A4" s="49"/>
      <c r="B4" s="75">
        <f>(D3-D2)/D2</f>
        <v>-7.3170731707317097E-2</v>
      </c>
      <c r="C4" s="16">
        <f>SUM(C2:C3)</f>
        <v>18000</v>
      </c>
      <c r="D4" s="40">
        <f>E4/C4</f>
        <v>12</v>
      </c>
      <c r="E4" s="16">
        <f t="shared" ref="E4:J4" si="0">SUM(E2:E3)</f>
        <v>216000</v>
      </c>
      <c r="F4" s="16">
        <f t="shared" si="0"/>
        <v>432</v>
      </c>
      <c r="G4" s="16">
        <f t="shared" si="0"/>
        <v>12.96</v>
      </c>
      <c r="H4" s="16">
        <f t="shared" si="0"/>
        <v>2.16</v>
      </c>
      <c r="I4" s="16">
        <f t="shared" si="0"/>
        <v>31.298400000000004</v>
      </c>
      <c r="J4" s="16">
        <f t="shared" si="0"/>
        <v>216478.41840000002</v>
      </c>
      <c r="K4" s="11"/>
      <c r="L4" s="13"/>
      <c r="M4" s="62"/>
      <c r="N4" s="62"/>
    </row>
    <row r="5" spans="1:14" s="13" customFormat="1">
      <c r="A5" s="67">
        <v>44957</v>
      </c>
      <c r="B5" s="13" t="s">
        <v>1</v>
      </c>
      <c r="C5" s="10">
        <v>6000</v>
      </c>
      <c r="D5" s="11">
        <v>10.8</v>
      </c>
      <c r="E5" s="20">
        <f>C5*D5</f>
        <v>64800.000000000007</v>
      </c>
      <c r="F5" s="20">
        <f>E5*0.002</f>
        <v>129.60000000000002</v>
      </c>
      <c r="G5" s="20">
        <f>E5*0.00006</f>
        <v>3.8880000000000003</v>
      </c>
      <c r="H5" s="20">
        <f>E5*0.00001</f>
        <v>0.64800000000000013</v>
      </c>
      <c r="I5" s="20">
        <f>(F5+G5+H5)*0.07</f>
        <v>9.3895200000000028</v>
      </c>
      <c r="J5" s="20">
        <f>E5+F5+I5+G5+H5</f>
        <v>64943.525520000003</v>
      </c>
      <c r="K5" s="32"/>
      <c r="L5" s="11"/>
      <c r="M5" s="12"/>
    </row>
    <row r="6" spans="1:14" s="63" customFormat="1" ht="21.75">
      <c r="A6" s="56"/>
      <c r="B6" s="76">
        <f>(D5-D4)/D4</f>
        <v>-9.9999999999999936E-2</v>
      </c>
      <c r="C6" s="10">
        <f>SUM(C4:C5)</f>
        <v>24000</v>
      </c>
      <c r="D6" s="64">
        <f>E6/C6</f>
        <v>11.7</v>
      </c>
      <c r="E6" s="10">
        <f t="shared" ref="E6:J6" si="1">SUM(E4:E5)</f>
        <v>280800</v>
      </c>
      <c r="F6" s="10">
        <f t="shared" si="1"/>
        <v>561.6</v>
      </c>
      <c r="G6" s="10">
        <f t="shared" si="1"/>
        <v>16.848000000000003</v>
      </c>
      <c r="H6" s="10">
        <f t="shared" si="1"/>
        <v>2.8080000000000003</v>
      </c>
      <c r="I6" s="10">
        <f t="shared" si="1"/>
        <v>40.687920000000005</v>
      </c>
      <c r="J6" s="10">
        <f t="shared" si="1"/>
        <v>281421.94392000005</v>
      </c>
      <c r="K6" s="11"/>
      <c r="L6" s="13"/>
      <c r="M6" s="62"/>
      <c r="N6" s="62"/>
    </row>
    <row r="8" spans="1:14" s="63" customFormat="1" ht="21.75">
      <c r="A8" s="56">
        <v>44630</v>
      </c>
      <c r="C8" s="10">
        <f>C2</f>
        <v>12000</v>
      </c>
      <c r="D8" s="64">
        <v>0.2</v>
      </c>
      <c r="E8" s="60">
        <v>0</v>
      </c>
      <c r="F8" s="32">
        <v>0</v>
      </c>
      <c r="G8" s="60">
        <v>0</v>
      </c>
      <c r="H8" s="11">
        <f>G8-E8</f>
        <v>0</v>
      </c>
      <c r="I8" s="12">
        <v>0</v>
      </c>
      <c r="J8" s="61">
        <f>C8*D8</f>
        <v>2400</v>
      </c>
      <c r="K8" s="11"/>
      <c r="L8" s="13"/>
      <c r="M8" s="62"/>
      <c r="N8" s="62"/>
    </row>
    <row r="9" spans="1:14" s="1" customFormat="1">
      <c r="A9" s="56">
        <v>44627</v>
      </c>
      <c r="B9" s="13" t="s">
        <v>1</v>
      </c>
      <c r="C9" s="10">
        <f>C8</f>
        <v>12000</v>
      </c>
      <c r="D9" s="46">
        <f>D2</f>
        <v>12.3</v>
      </c>
      <c r="E9" s="20">
        <f>C9*D9</f>
        <v>147600</v>
      </c>
      <c r="F9" s="20">
        <f>E9*0.002</f>
        <v>295.2</v>
      </c>
      <c r="G9" s="20">
        <f>E9*0.00006</f>
        <v>8.8559999999999999</v>
      </c>
      <c r="H9" s="20">
        <f>E9*0.00001</f>
        <v>1.4760000000000002</v>
      </c>
      <c r="I9" s="20">
        <f>(F9+G9+H9)*0.07</f>
        <v>21.387240000000002</v>
      </c>
      <c r="J9" s="20">
        <f>E9+F9+I9+G9+H9</f>
        <v>147926.91924000002</v>
      </c>
    </row>
    <row r="10" spans="1:14" s="1" customFormat="1">
      <c r="A10" s="56">
        <v>44277</v>
      </c>
      <c r="B10" s="13" t="s">
        <v>3</v>
      </c>
      <c r="C10" s="10">
        <f>C9</f>
        <v>12000</v>
      </c>
      <c r="D10" s="34">
        <v>13</v>
      </c>
      <c r="E10" s="11">
        <f>C10*D10</f>
        <v>156000</v>
      </c>
      <c r="F10" s="35">
        <f>E10*0.002</f>
        <v>312</v>
      </c>
      <c r="G10" s="34">
        <f>E10*0.000068</f>
        <v>10.608000000000001</v>
      </c>
      <c r="H10" s="34">
        <f>E10*0.00001</f>
        <v>1.56</v>
      </c>
      <c r="I10" s="34">
        <f>(F10+G10+H10)*0.07</f>
        <v>22.691760000000002</v>
      </c>
      <c r="J10" s="34">
        <f>E10-F10-G10-H10-I10</f>
        <v>155653.14024000001</v>
      </c>
    </row>
    <row r="11" spans="1:14" s="1" customFormat="1">
      <c r="A11" s="56" t="s">
        <v>4</v>
      </c>
      <c r="B11" s="12">
        <f>(D10-D9)/D9</f>
        <v>5.6910569105690999E-2</v>
      </c>
      <c r="C11" s="10"/>
      <c r="D11" s="11"/>
      <c r="E11" s="20">
        <f>E10-E9</f>
        <v>8400</v>
      </c>
      <c r="F11" s="20"/>
      <c r="G11" s="20"/>
      <c r="H11" s="20"/>
      <c r="I11" s="20"/>
      <c r="J11" s="20">
        <f>J10-J9</f>
        <v>7726.2209999999905</v>
      </c>
    </row>
    <row r="12" spans="1:14" s="1" customFormat="1" ht="12">
      <c r="A12" s="50"/>
      <c r="D12" s="47"/>
      <c r="J12" s="53">
        <f>J8+J11</f>
        <v>10126.22099999999</v>
      </c>
    </row>
    <row r="14" spans="1:14" s="1" customFormat="1">
      <c r="A14" s="56">
        <v>44627</v>
      </c>
      <c r="B14" s="13" t="s">
        <v>1</v>
      </c>
      <c r="C14" s="10">
        <v>30000</v>
      </c>
      <c r="D14" s="46">
        <v>3.8</v>
      </c>
      <c r="E14" s="20">
        <f>C14*D14</f>
        <v>114000</v>
      </c>
      <c r="F14" s="20">
        <f>E14*0.002</f>
        <v>228</v>
      </c>
      <c r="G14" s="20">
        <f>E14*0.00006</f>
        <v>6.84</v>
      </c>
      <c r="H14" s="20">
        <f>E14*0.00001</f>
        <v>1.1400000000000001</v>
      </c>
      <c r="I14" s="20">
        <f>(F14+G14+H14)*0.07</f>
        <v>16.518599999999999</v>
      </c>
      <c r="J14" s="20">
        <f>E14+F14+I14+G14+H14</f>
        <v>114252.49859999999</v>
      </c>
    </row>
    <row r="15" spans="1:14" s="1" customFormat="1">
      <c r="A15" s="56">
        <v>44633</v>
      </c>
      <c r="B15" s="13" t="s">
        <v>3</v>
      </c>
      <c r="C15" s="10">
        <f>C14</f>
        <v>30000</v>
      </c>
      <c r="D15" s="34">
        <v>4.0199999999999996</v>
      </c>
      <c r="E15" s="11">
        <f>C15*D15</f>
        <v>120599.99999999999</v>
      </c>
      <c r="F15" s="35">
        <f>E15*0.002</f>
        <v>241.2</v>
      </c>
      <c r="G15" s="34">
        <f>E15*0.000068</f>
        <v>8.2007999999999992</v>
      </c>
      <c r="H15" s="34">
        <f>E15*0.00001</f>
        <v>1.206</v>
      </c>
      <c r="I15" s="34">
        <f>(F15+G15+H15)*0.07</f>
        <v>17.542476000000001</v>
      </c>
      <c r="J15" s="34">
        <f>E15-F15-G15-H15-I15</f>
        <v>120331.85072399997</v>
      </c>
    </row>
    <row r="16" spans="1:14" s="1" customFormat="1">
      <c r="A16" s="56" t="s">
        <v>4</v>
      </c>
      <c r="B16" s="13"/>
      <c r="C16" s="10"/>
      <c r="D16" s="11"/>
      <c r="E16" s="20">
        <f>E15-E14</f>
        <v>6599.9999999999854</v>
      </c>
      <c r="F16" s="20"/>
      <c r="G16" s="20"/>
      <c r="H16" s="20"/>
      <c r="I16" s="20"/>
      <c r="J16" s="20">
        <f>J15-J14</f>
        <v>6079.3521239999827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57670-D125-4921-A689-63714DB07995}">
  <dimension ref="A1:M20"/>
  <sheetViews>
    <sheetView workbookViewId="0">
      <selection activeCell="D12" sqref="D12"/>
    </sheetView>
  </sheetViews>
  <sheetFormatPr defaultColWidth="8.875" defaultRowHeight="14.25"/>
  <cols>
    <col min="1" max="1" width="10.125" style="50" customWidth="1"/>
    <col min="2" max="2" width="7.125" style="1" customWidth="1"/>
    <col min="3" max="3" width="6.625" style="1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3">
      <c r="B1" s="1" t="s">
        <v>11</v>
      </c>
    </row>
    <row r="2" spans="1:13" s="19" customFormat="1" ht="16.5">
      <c r="A2" s="49">
        <v>44446</v>
      </c>
      <c r="B2" s="15" t="s">
        <v>1</v>
      </c>
      <c r="C2" s="16">
        <v>6000</v>
      </c>
      <c r="D2" s="41">
        <v>21.7</v>
      </c>
      <c r="E2" s="18">
        <f>C2*D2</f>
        <v>130200</v>
      </c>
      <c r="F2" s="18">
        <f>E2*0.002</f>
        <v>260.39999999999998</v>
      </c>
      <c r="G2" s="18">
        <f>E2*0.00006</f>
        <v>7.8120000000000003</v>
      </c>
      <c r="H2" s="18">
        <f>E2*0.00001</f>
        <v>1.302</v>
      </c>
      <c r="I2" s="18">
        <f>(F2+G2+H2)*0.07</f>
        <v>18.865980000000004</v>
      </c>
      <c r="J2" s="18">
        <f>E2+F2+I2+G2+H2</f>
        <v>130488.37998</v>
      </c>
    </row>
    <row r="3" spans="1:13" s="19" customFormat="1" ht="16.5">
      <c r="A3" s="49">
        <v>44469</v>
      </c>
      <c r="B3" s="15" t="s">
        <v>1</v>
      </c>
      <c r="C3" s="16">
        <v>6000</v>
      </c>
      <c r="D3" s="41">
        <v>21.3</v>
      </c>
      <c r="E3" s="18">
        <f>C3*D3</f>
        <v>127800</v>
      </c>
      <c r="F3" s="18">
        <f>E3*0.002</f>
        <v>255.6</v>
      </c>
      <c r="G3" s="18">
        <f>E3*0.00006</f>
        <v>7.6680000000000001</v>
      </c>
      <c r="H3" s="18">
        <f>E3*0.00001</f>
        <v>1.278</v>
      </c>
      <c r="I3" s="18">
        <f>(F3+G3+H3)*0.07</f>
        <v>18.518219999999999</v>
      </c>
      <c r="J3" s="18">
        <f>E3+F3+I3+G3+H3</f>
        <v>128083.06422000001</v>
      </c>
    </row>
    <row r="4" spans="1:13" s="19" customFormat="1" ht="16.5">
      <c r="A4" s="49"/>
      <c r="B4" s="30">
        <f>(D3-D2)/D2</f>
        <v>-1.8433179723502238E-2</v>
      </c>
      <c r="C4" s="16">
        <f>C2+C3</f>
        <v>12000</v>
      </c>
      <c r="D4" s="41">
        <f>E4/C4</f>
        <v>21.5</v>
      </c>
      <c r="E4" s="16">
        <f t="shared" ref="E4:J4" si="0">E2+E3</f>
        <v>258000</v>
      </c>
      <c r="F4" s="16">
        <f t="shared" si="0"/>
        <v>516</v>
      </c>
      <c r="G4" s="16">
        <f t="shared" si="0"/>
        <v>15.48</v>
      </c>
      <c r="H4" s="16">
        <f t="shared" si="0"/>
        <v>2.58</v>
      </c>
      <c r="I4" s="16">
        <f t="shared" si="0"/>
        <v>37.384200000000007</v>
      </c>
      <c r="J4" s="16">
        <f t="shared" si="0"/>
        <v>258571.44420000003</v>
      </c>
      <c r="K4" s="58"/>
      <c r="L4" s="58"/>
    </row>
    <row r="5" spans="1:13" s="19" customFormat="1" ht="16.5">
      <c r="A5" s="49">
        <v>44680</v>
      </c>
      <c r="B5" s="15" t="s">
        <v>1</v>
      </c>
      <c r="C5" s="16">
        <v>3000</v>
      </c>
      <c r="D5" s="41">
        <v>21.3</v>
      </c>
      <c r="E5" s="18">
        <f>C5*D5</f>
        <v>63900</v>
      </c>
      <c r="F5" s="18">
        <f>E5*0.002</f>
        <v>127.8</v>
      </c>
      <c r="G5" s="18">
        <f>E5*0.00006</f>
        <v>3.8340000000000001</v>
      </c>
      <c r="H5" s="18">
        <f>E5*0.00001</f>
        <v>0.63900000000000001</v>
      </c>
      <c r="I5" s="18">
        <f>(F5+G5+H5)*0.07</f>
        <v>9.2591099999999997</v>
      </c>
      <c r="J5" s="18">
        <f>E5+F5+I5+G5+H5</f>
        <v>64041.532110000007</v>
      </c>
    </row>
    <row r="6" spans="1:13" s="19" customFormat="1" ht="16.5">
      <c r="A6" s="49"/>
      <c r="B6" s="30">
        <f>(D5-D4)/D4</f>
        <v>-9.3023255813953157E-3</v>
      </c>
      <c r="C6" s="16">
        <f>C4+C5</f>
        <v>15000</v>
      </c>
      <c r="D6" s="41">
        <f>E6/C6</f>
        <v>21.46</v>
      </c>
      <c r="E6" s="16">
        <f t="shared" ref="E6:J6" si="1">E4+E5</f>
        <v>321900</v>
      </c>
      <c r="F6" s="16">
        <f t="shared" si="1"/>
        <v>643.79999999999995</v>
      </c>
      <c r="G6" s="16">
        <f t="shared" si="1"/>
        <v>19.314</v>
      </c>
      <c r="H6" s="16">
        <f t="shared" si="1"/>
        <v>3.2190000000000003</v>
      </c>
      <c r="I6" s="16">
        <f t="shared" si="1"/>
        <v>46.643310000000007</v>
      </c>
      <c r="J6" s="16">
        <f t="shared" si="1"/>
        <v>322612.97631000006</v>
      </c>
      <c r="K6" s="58"/>
      <c r="L6" s="58"/>
    </row>
    <row r="7" spans="1:13" s="19" customFormat="1" ht="15">
      <c r="A7" s="56">
        <v>44706</v>
      </c>
      <c r="B7" s="13" t="s">
        <v>1</v>
      </c>
      <c r="C7" s="10">
        <v>3000</v>
      </c>
      <c r="D7" s="46">
        <v>17.5</v>
      </c>
      <c r="E7" s="20">
        <f>C7*D7</f>
        <v>52500</v>
      </c>
      <c r="F7" s="20">
        <f>E7*0.002</f>
        <v>105</v>
      </c>
      <c r="G7" s="20">
        <f>E7*0.00006</f>
        <v>3.15</v>
      </c>
      <c r="H7" s="20">
        <f>E7*0.00001</f>
        <v>0.52500000000000002</v>
      </c>
      <c r="I7" s="20">
        <f>(F7+G7+H7)*0.07</f>
        <v>7.6072500000000014</v>
      </c>
      <c r="J7" s="20">
        <f>E7+F7+I7+G7+H7</f>
        <v>52616.282250000004</v>
      </c>
    </row>
    <row r="8" spans="1:13" s="19" customFormat="1" ht="15">
      <c r="A8" s="56"/>
      <c r="B8" s="12">
        <f>(D7-D6)/D6</f>
        <v>-0.18452935694315009</v>
      </c>
      <c r="C8" s="10">
        <f>C6+C7</f>
        <v>18000</v>
      </c>
      <c r="D8" s="46">
        <f>E8/C8</f>
        <v>20.8</v>
      </c>
      <c r="E8" s="10">
        <f t="shared" ref="E8:J8" si="2">E6+E7</f>
        <v>374400</v>
      </c>
      <c r="F8" s="10">
        <f t="shared" si="2"/>
        <v>748.8</v>
      </c>
      <c r="G8" s="10">
        <f t="shared" si="2"/>
        <v>22.463999999999999</v>
      </c>
      <c r="H8" s="10">
        <f t="shared" si="2"/>
        <v>3.7440000000000002</v>
      </c>
      <c r="I8" s="10">
        <f t="shared" si="2"/>
        <v>54.250560000000007</v>
      </c>
      <c r="J8" s="10">
        <f t="shared" si="2"/>
        <v>375229.25856000005</v>
      </c>
      <c r="K8" s="58"/>
      <c r="L8" s="58"/>
    </row>
    <row r="9" spans="1:13">
      <c r="A9" s="56"/>
      <c r="B9" s="13"/>
      <c r="C9" s="10"/>
      <c r="D9" s="46"/>
      <c r="E9" s="20"/>
      <c r="F9" s="20"/>
      <c r="G9" s="20"/>
      <c r="H9" s="20"/>
      <c r="I9" s="20"/>
      <c r="J9" s="20"/>
    </row>
    <row r="10" spans="1:13" s="19" customFormat="1" ht="15">
      <c r="A10" s="56">
        <v>44680</v>
      </c>
      <c r="B10" s="13" t="s">
        <v>1</v>
      </c>
      <c r="C10" s="10">
        <v>3000</v>
      </c>
      <c r="D10" s="46">
        <v>21.3</v>
      </c>
      <c r="E10" s="20">
        <f>C10*D10</f>
        <v>63900</v>
      </c>
      <c r="F10" s="20">
        <f>E10*0.002</f>
        <v>127.8</v>
      </c>
      <c r="G10" s="20">
        <f>E10*0.00006</f>
        <v>3.8340000000000001</v>
      </c>
      <c r="H10" s="20">
        <f>E10*0.00001</f>
        <v>0.63900000000000001</v>
      </c>
      <c r="I10" s="20">
        <f>(F10+G10+H10)*0.07</f>
        <v>9.2591099999999997</v>
      </c>
      <c r="J10" s="20">
        <f>E10+F10+I10+G10+H10</f>
        <v>64041.532110000007</v>
      </c>
    </row>
    <row r="11" spans="1:13" s="13" customFormat="1" ht="12.75">
      <c r="A11" s="56">
        <v>44809</v>
      </c>
      <c r="B11" s="13" t="s">
        <v>3</v>
      </c>
      <c r="C11" s="10">
        <f>C10</f>
        <v>3000</v>
      </c>
      <c r="D11" s="34">
        <v>22.5</v>
      </c>
      <c r="E11" s="11">
        <f>C11*D11</f>
        <v>67500</v>
      </c>
      <c r="F11" s="35">
        <f>E11*0.002</f>
        <v>135</v>
      </c>
      <c r="G11" s="34">
        <f>E11*0.000068</f>
        <v>4.59</v>
      </c>
      <c r="H11" s="34">
        <f>E11*0.00001</f>
        <v>0.67500000000000004</v>
      </c>
      <c r="I11" s="34">
        <f>(F11+G11+H11)*0.07</f>
        <v>9.8185500000000019</v>
      </c>
      <c r="J11" s="34">
        <f>E11-F11-G11-H11-I11</f>
        <v>67349.916450000004</v>
      </c>
    </row>
    <row r="12" spans="1:13" s="31" customFormat="1" ht="18.75">
      <c r="A12" s="9">
        <f>DAYS360(A10,A11)</f>
        <v>126</v>
      </c>
      <c r="B12" s="12">
        <f>(D11-D10)/D10</f>
        <v>5.6338028169014051E-2</v>
      </c>
      <c r="C12" s="10"/>
      <c r="D12" s="11"/>
      <c r="E12" s="20">
        <f>E11-E10</f>
        <v>3600</v>
      </c>
      <c r="F12" s="20"/>
      <c r="G12" s="20"/>
      <c r="H12" s="20"/>
      <c r="I12" s="20"/>
      <c r="J12" s="20">
        <f>J11-J10</f>
        <v>3308.3843399999969</v>
      </c>
      <c r="K12" s="32"/>
      <c r="L12" s="12"/>
      <c r="M12" s="12"/>
    </row>
    <row r="13" spans="1:13" s="21" customFormat="1" ht="12.75">
      <c r="A13" s="49">
        <v>44706</v>
      </c>
      <c r="B13" s="15" t="s">
        <v>1</v>
      </c>
      <c r="C13" s="16">
        <v>3000</v>
      </c>
      <c r="D13" s="41">
        <v>18.5</v>
      </c>
      <c r="E13" s="18">
        <f>C13*D13</f>
        <v>55500</v>
      </c>
      <c r="F13" s="18">
        <f>E13*0.002</f>
        <v>111</v>
      </c>
      <c r="G13" s="18">
        <f>E13*0.00006</f>
        <v>3.33</v>
      </c>
      <c r="H13" s="18">
        <f>E13*0.00001</f>
        <v>0.55500000000000005</v>
      </c>
      <c r="I13" s="18">
        <f>(F13+G13+H13)*0.07</f>
        <v>8.0419500000000017</v>
      </c>
      <c r="J13" s="18">
        <f>E13+F13+I13+G13+H13</f>
        <v>55622.926950000001</v>
      </c>
      <c r="L13" s="25"/>
    </row>
    <row r="14" spans="1:13" s="13" customFormat="1" ht="12.75">
      <c r="A14" s="49">
        <v>44809</v>
      </c>
      <c r="B14" s="15" t="s">
        <v>3</v>
      </c>
      <c r="C14" s="16">
        <f>C13</f>
        <v>3000</v>
      </c>
      <c r="D14" s="26">
        <v>19</v>
      </c>
      <c r="E14" s="17">
        <f>C14*D14</f>
        <v>57000</v>
      </c>
      <c r="F14" s="27">
        <f>E14*0.002</f>
        <v>114</v>
      </c>
      <c r="G14" s="26">
        <f>E14*0.000068</f>
        <v>3.8759999999999999</v>
      </c>
      <c r="H14" s="26">
        <f>E14*0.00001</f>
        <v>0.57000000000000006</v>
      </c>
      <c r="I14" s="26">
        <f>(F14+G14+H14)*0.07</f>
        <v>8.2912200000000009</v>
      </c>
      <c r="J14" s="26">
        <f>E14-F14-G14-H14-I14</f>
        <v>56873.262780000005</v>
      </c>
    </row>
    <row r="15" spans="1:13" s="31" customFormat="1" ht="18.75">
      <c r="A15" s="28">
        <f>DAYS360(A13,A14)</f>
        <v>100</v>
      </c>
      <c r="B15" s="30">
        <f>(D14-D13)/D13</f>
        <v>2.7027027027027029E-2</v>
      </c>
      <c r="C15" s="16"/>
      <c r="D15" s="17"/>
      <c r="E15" s="18">
        <f>E14-E13</f>
        <v>1500</v>
      </c>
      <c r="F15" s="18"/>
      <c r="G15" s="18"/>
      <c r="H15" s="18"/>
      <c r="I15" s="18"/>
      <c r="J15" s="18">
        <f>J14-J13</f>
        <v>1250.3358300000036</v>
      </c>
      <c r="K15" s="32"/>
      <c r="L15" s="12"/>
      <c r="M15" s="12"/>
    </row>
    <row r="16" spans="1:13" s="19" customFormat="1" ht="16.5">
      <c r="A16" s="49">
        <v>44537</v>
      </c>
      <c r="B16" s="15" t="s">
        <v>1</v>
      </c>
      <c r="C16" s="16">
        <v>3000</v>
      </c>
      <c r="D16" s="41">
        <v>20.5</v>
      </c>
      <c r="E16" s="18">
        <f>C16*D16</f>
        <v>61500</v>
      </c>
      <c r="F16" s="18">
        <f>E16*0.002</f>
        <v>123</v>
      </c>
      <c r="G16" s="18">
        <f>E16*0.00006</f>
        <v>3.69</v>
      </c>
      <c r="H16" s="18">
        <f>E16*0.00001</f>
        <v>0.6150000000000001</v>
      </c>
      <c r="I16" s="18">
        <f>(F16+G16+H16)*0.07</f>
        <v>8.9113500000000005</v>
      </c>
      <c r="J16" s="18">
        <f>E16+F16+I16+G16+H16</f>
        <v>61636.216350000002</v>
      </c>
    </row>
    <row r="17" spans="1:13" s="13" customFormat="1" ht="12.75">
      <c r="A17" s="49">
        <v>44860</v>
      </c>
      <c r="B17" s="15" t="s">
        <v>3</v>
      </c>
      <c r="C17" s="16">
        <f>C16</f>
        <v>3000</v>
      </c>
      <c r="D17" s="26">
        <v>18.399999999999999</v>
      </c>
      <c r="E17" s="17">
        <f>C17*D17</f>
        <v>55199.999999999993</v>
      </c>
      <c r="F17" s="27">
        <f>E17*0.002</f>
        <v>110.39999999999999</v>
      </c>
      <c r="G17" s="26">
        <f>E17*0.000068</f>
        <v>3.7535999999999996</v>
      </c>
      <c r="H17" s="26">
        <f>E17*0.00001</f>
        <v>0.55199999999999994</v>
      </c>
      <c r="I17" s="26">
        <f>(F17+G17+H17)*0.07</f>
        <v>8.0293920000000014</v>
      </c>
      <c r="J17" s="26">
        <f>E17-F17-G17-H17-I17</f>
        <v>55077.265007999995</v>
      </c>
    </row>
    <row r="18" spans="1:13" s="31" customFormat="1" ht="18.75">
      <c r="A18" s="28">
        <f>DAYS360(A16,A17)</f>
        <v>319</v>
      </c>
      <c r="B18" s="30">
        <f>(D17-D16)/D16</f>
        <v>-0.10243902439024397</v>
      </c>
      <c r="C18" s="16"/>
      <c r="D18" s="17"/>
      <c r="E18" s="18">
        <f>E17-E16</f>
        <v>-6300.0000000000073</v>
      </c>
      <c r="F18" s="18"/>
      <c r="G18" s="18"/>
      <c r="H18" s="18"/>
      <c r="I18" s="18"/>
      <c r="J18" s="18">
        <f>J17-J16</f>
        <v>-6558.9513420000076</v>
      </c>
      <c r="K18" s="32"/>
      <c r="L18" s="12"/>
      <c r="M18" s="12"/>
    </row>
    <row r="19" spans="1:13" ht="12"/>
    <row r="20" spans="1:13" ht="12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29E6-7221-4171-9EDF-80891E84F736}">
  <dimension ref="A1:N18"/>
  <sheetViews>
    <sheetView workbookViewId="0">
      <selection activeCell="D12" sqref="D12"/>
    </sheetView>
  </sheetViews>
  <sheetFormatPr defaultColWidth="8.875" defaultRowHeight="14.25"/>
  <cols>
    <col min="1" max="1" width="10.125" style="50" customWidth="1"/>
    <col min="2" max="2" width="7.125" style="1" customWidth="1"/>
    <col min="3" max="3" width="6.625" style="2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4">
      <c r="B1" s="50" t="s">
        <v>12</v>
      </c>
    </row>
    <row r="2" spans="1:14" s="19" customFormat="1" ht="16.5">
      <c r="A2" s="49">
        <v>44789</v>
      </c>
      <c r="B2" s="15" t="s">
        <v>1</v>
      </c>
      <c r="C2" s="16">
        <v>5000</v>
      </c>
      <c r="D2" s="41">
        <v>19.399999999999999</v>
      </c>
      <c r="E2" s="18">
        <f>C2*D2</f>
        <v>97000</v>
      </c>
      <c r="F2" s="18">
        <f>E2*0.002</f>
        <v>194</v>
      </c>
      <c r="G2" s="18">
        <f>E2*0.00006</f>
        <v>5.82</v>
      </c>
      <c r="H2" s="18">
        <f>E2*0.00001</f>
        <v>0.97000000000000008</v>
      </c>
      <c r="I2" s="18">
        <f>(F2+G2+H2)*0.07</f>
        <v>14.055300000000001</v>
      </c>
      <c r="J2" s="18">
        <f>E2+F2+I2+G2+H2</f>
        <v>97214.845300000015</v>
      </c>
    </row>
    <row r="3" spans="1:14" s="78" customFormat="1" ht="12.75">
      <c r="A3" s="82">
        <v>44818</v>
      </c>
      <c r="B3" s="83" t="s">
        <v>1</v>
      </c>
      <c r="C3" s="84">
        <v>5000</v>
      </c>
      <c r="D3" s="85">
        <v>19</v>
      </c>
      <c r="E3" s="86">
        <f>C3*D3</f>
        <v>95000</v>
      </c>
      <c r="F3" s="86">
        <f>E3*0.002</f>
        <v>190</v>
      </c>
      <c r="G3" s="86">
        <f>E3*0.000068</f>
        <v>6.46</v>
      </c>
      <c r="H3" s="86">
        <f>E3*0.00001</f>
        <v>0.95000000000000007</v>
      </c>
      <c r="I3" s="86">
        <f>(F3+G3+H3)*0.07</f>
        <v>13.818700000000002</v>
      </c>
      <c r="J3" s="86">
        <f>E3+F3+I3+G3+H3</f>
        <v>95211.228700000007</v>
      </c>
    </row>
    <row r="4" spans="1:14" s="78" customFormat="1" ht="12.75">
      <c r="A4" s="82"/>
      <c r="B4" s="87">
        <f>(D3-D2)/D2</f>
        <v>-2.0618556701030855E-2</v>
      </c>
      <c r="C4" s="84">
        <f>SUM(C2:C3)</f>
        <v>10000</v>
      </c>
      <c r="D4" s="85">
        <f>E4/C4</f>
        <v>19.2</v>
      </c>
      <c r="E4" s="84">
        <f t="shared" ref="E4:J4" si="0">SUM(E2:E3)</f>
        <v>192000</v>
      </c>
      <c r="F4" s="84">
        <f t="shared" si="0"/>
        <v>384</v>
      </c>
      <c r="G4" s="84">
        <f t="shared" si="0"/>
        <v>12.280000000000001</v>
      </c>
      <c r="H4" s="84">
        <f t="shared" si="0"/>
        <v>1.9200000000000002</v>
      </c>
      <c r="I4" s="84">
        <f t="shared" si="0"/>
        <v>27.874000000000002</v>
      </c>
      <c r="J4" s="84">
        <f t="shared" si="0"/>
        <v>192426.07400000002</v>
      </c>
      <c r="K4" s="81"/>
    </row>
    <row r="5" spans="1:14" s="78" customFormat="1" ht="12.75">
      <c r="A5" s="82">
        <v>44880</v>
      </c>
      <c r="B5" s="83" t="s">
        <v>1</v>
      </c>
      <c r="C5" s="84">
        <v>10000</v>
      </c>
      <c r="D5" s="85">
        <v>18.600000000000001</v>
      </c>
      <c r="E5" s="86">
        <f>C5*D5</f>
        <v>186000</v>
      </c>
      <c r="F5" s="86">
        <f>E5*0.002</f>
        <v>372</v>
      </c>
      <c r="G5" s="86">
        <f>E5*0.000068</f>
        <v>12.648</v>
      </c>
      <c r="H5" s="86">
        <f>E5*0.00001</f>
        <v>1.86</v>
      </c>
      <c r="I5" s="86">
        <f>(F5+G5+H5)*0.07</f>
        <v>27.055560000000007</v>
      </c>
      <c r="J5" s="86">
        <f>E5+F5+I5+G5+H5</f>
        <v>186413.56355999998</v>
      </c>
    </row>
    <row r="6" spans="1:14" s="78" customFormat="1" ht="12.75">
      <c r="A6" s="82"/>
      <c r="B6" s="87">
        <f>(D5-D4)/D4</f>
        <v>-3.1249999999999889E-2</v>
      </c>
      <c r="C6" s="84">
        <f>SUM(C4:C5)</f>
        <v>20000</v>
      </c>
      <c r="D6" s="85">
        <f>E6/C6</f>
        <v>18.899999999999999</v>
      </c>
      <c r="E6" s="84">
        <f t="shared" ref="E6:J6" si="1">SUM(E4:E5)</f>
        <v>378000</v>
      </c>
      <c r="F6" s="84">
        <f t="shared" si="1"/>
        <v>756</v>
      </c>
      <c r="G6" s="84">
        <f t="shared" si="1"/>
        <v>24.928000000000001</v>
      </c>
      <c r="H6" s="84">
        <f t="shared" si="1"/>
        <v>3.7800000000000002</v>
      </c>
      <c r="I6" s="84">
        <f t="shared" si="1"/>
        <v>54.929560000000009</v>
      </c>
      <c r="J6" s="84">
        <f t="shared" si="1"/>
        <v>378839.63756</v>
      </c>
      <c r="K6" s="81"/>
    </row>
    <row r="7" spans="1:14" ht="12.75">
      <c r="A7" s="82">
        <v>44950</v>
      </c>
      <c r="B7" s="83" t="s">
        <v>1</v>
      </c>
      <c r="C7" s="84">
        <v>10000</v>
      </c>
      <c r="D7" s="85">
        <v>19.5</v>
      </c>
      <c r="E7" s="86">
        <f>C7*D7</f>
        <v>195000</v>
      </c>
      <c r="F7" s="86">
        <f>E7*0.002</f>
        <v>390</v>
      </c>
      <c r="G7" s="86">
        <f>E7*0.000068</f>
        <v>13.26</v>
      </c>
      <c r="H7" s="86">
        <f>E7*0.00001</f>
        <v>1.9500000000000002</v>
      </c>
      <c r="I7" s="86">
        <f>(F7+G7+H7)*0.07</f>
        <v>28.364700000000003</v>
      </c>
      <c r="J7" s="86">
        <f>E7+F7+I7+G7+H7</f>
        <v>195433.57470000003</v>
      </c>
    </row>
    <row r="8" spans="1:14" s="63" customFormat="1" ht="21.75">
      <c r="A8" s="82"/>
      <c r="B8" s="87">
        <f>(D7-D6)/D6</f>
        <v>3.1746031746031821E-2</v>
      </c>
      <c r="C8" s="84">
        <f>SUM(C6:C7)</f>
        <v>30000</v>
      </c>
      <c r="D8" s="85">
        <f>E8/C8</f>
        <v>19.100000000000001</v>
      </c>
      <c r="E8" s="84">
        <f t="shared" ref="E8:J8" si="2">SUM(E6:E7)</f>
        <v>573000</v>
      </c>
      <c r="F8" s="84">
        <f t="shared" si="2"/>
        <v>1146</v>
      </c>
      <c r="G8" s="84">
        <f t="shared" si="2"/>
        <v>38.188000000000002</v>
      </c>
      <c r="H8" s="84">
        <f t="shared" si="2"/>
        <v>5.73</v>
      </c>
      <c r="I8" s="84">
        <f t="shared" si="2"/>
        <v>83.294260000000008</v>
      </c>
      <c r="J8" s="84">
        <f t="shared" si="2"/>
        <v>574273.21226000006</v>
      </c>
      <c r="K8" s="11"/>
      <c r="L8" s="13"/>
      <c r="M8" s="62"/>
      <c r="N8" s="62"/>
    </row>
    <row r="9" spans="1:14" ht="12.75">
      <c r="A9" s="82">
        <v>44964</v>
      </c>
      <c r="B9" s="83" t="s">
        <v>1</v>
      </c>
      <c r="C9" s="84">
        <v>10000</v>
      </c>
      <c r="D9" s="85">
        <v>18.3</v>
      </c>
      <c r="E9" s="86">
        <f>C9*D9</f>
        <v>183000</v>
      </c>
      <c r="F9" s="86">
        <f>E9*0.002</f>
        <v>366</v>
      </c>
      <c r="G9" s="86">
        <f>E9*0.000068</f>
        <v>12.443999999999999</v>
      </c>
      <c r="H9" s="86">
        <f>E9*0.00001</f>
        <v>1.83</v>
      </c>
      <c r="I9" s="86">
        <f>(F9+G9+H9)*0.07</f>
        <v>26.619180000000004</v>
      </c>
      <c r="J9" s="86">
        <f>E9+F9+I9+G9+H9</f>
        <v>183406.89317999998</v>
      </c>
    </row>
    <row r="10" spans="1:14" ht="12.75">
      <c r="A10" s="82"/>
      <c r="B10" s="87">
        <f>(D9-D8)/D8</f>
        <v>-4.1884816753926739E-2</v>
      </c>
      <c r="C10" s="84">
        <f>SUM(C8:C9)</f>
        <v>40000</v>
      </c>
      <c r="D10" s="85">
        <f>E10/C10</f>
        <v>18.899999999999999</v>
      </c>
      <c r="E10" s="84">
        <f t="shared" ref="E10:J10" si="3">SUM(E8:E9)</f>
        <v>756000</v>
      </c>
      <c r="F10" s="84">
        <f t="shared" si="3"/>
        <v>1512</v>
      </c>
      <c r="G10" s="84">
        <f t="shared" si="3"/>
        <v>50.632000000000005</v>
      </c>
      <c r="H10" s="84">
        <f t="shared" si="3"/>
        <v>7.5600000000000005</v>
      </c>
      <c r="I10" s="84">
        <f t="shared" si="3"/>
        <v>109.91344000000001</v>
      </c>
      <c r="J10" s="84">
        <f t="shared" si="3"/>
        <v>757680.10544000007</v>
      </c>
    </row>
    <row r="11" spans="1:14" ht="12.75">
      <c r="A11" s="77">
        <v>44964</v>
      </c>
      <c r="B11" s="78" t="s">
        <v>1</v>
      </c>
      <c r="C11" s="79">
        <v>10000</v>
      </c>
      <c r="D11" s="80">
        <v>17.899999999999999</v>
      </c>
      <c r="E11" s="94">
        <f>C11*D11</f>
        <v>179000</v>
      </c>
      <c r="F11" s="94">
        <f>E11*0.002</f>
        <v>358</v>
      </c>
      <c r="G11" s="94">
        <f>E11*0.000068</f>
        <v>12.172000000000001</v>
      </c>
      <c r="H11" s="94">
        <f>E11*0.00001</f>
        <v>1.79</v>
      </c>
      <c r="I11" s="94">
        <f>(F11+G11+H11)*0.07</f>
        <v>26.037340000000004</v>
      </c>
      <c r="J11" s="94">
        <f>E11+F11+I11+G11+H11</f>
        <v>179397.99934000001</v>
      </c>
    </row>
    <row r="12" spans="1:14" ht="12.75">
      <c r="A12" s="77"/>
      <c r="B12" s="81">
        <f>(D11-D10)/D10</f>
        <v>-5.2910052910052914E-2</v>
      </c>
      <c r="C12" s="79">
        <f>SUM(C10:C11)</f>
        <v>50000</v>
      </c>
      <c r="D12" s="80">
        <f>E12/C12</f>
        <v>18.7</v>
      </c>
      <c r="E12" s="79">
        <f t="shared" ref="E12:J12" si="4">SUM(E10:E11)</f>
        <v>935000</v>
      </c>
      <c r="F12" s="79">
        <f t="shared" si="4"/>
        <v>1870</v>
      </c>
      <c r="G12" s="79">
        <f t="shared" si="4"/>
        <v>62.804000000000002</v>
      </c>
      <c r="H12" s="79">
        <f t="shared" si="4"/>
        <v>9.3500000000000014</v>
      </c>
      <c r="I12" s="79">
        <f t="shared" si="4"/>
        <v>135.95078000000001</v>
      </c>
      <c r="J12" s="79">
        <f t="shared" si="4"/>
        <v>937078.10478000005</v>
      </c>
    </row>
    <row r="13" spans="1:14" s="78" customFormat="1">
      <c r="A13" s="82"/>
      <c r="B13" s="83"/>
      <c r="C13" s="84"/>
      <c r="D13" s="85"/>
      <c r="E13" s="86"/>
      <c r="F13" s="86"/>
      <c r="G13" s="86"/>
      <c r="H13" s="86"/>
      <c r="I13" s="86"/>
      <c r="J13" s="86"/>
    </row>
    <row r="14" spans="1:14" s="13" customFormat="1">
      <c r="A14" s="49"/>
      <c r="B14" s="15"/>
      <c r="C14" s="16"/>
      <c r="D14" s="26"/>
      <c r="E14" s="17"/>
      <c r="F14" s="27"/>
      <c r="G14" s="26"/>
      <c r="H14" s="26"/>
      <c r="I14" s="26"/>
      <c r="J14" s="26"/>
    </row>
    <row r="15" spans="1:14" s="31" customFormat="1" ht="18.75">
      <c r="A15" s="28"/>
      <c r="B15" s="30"/>
      <c r="C15" s="16"/>
      <c r="D15" s="17"/>
      <c r="E15" s="18"/>
      <c r="F15" s="18"/>
      <c r="G15" s="18"/>
      <c r="H15" s="18"/>
      <c r="I15" s="18"/>
      <c r="J15" s="18"/>
      <c r="K15" s="32"/>
      <c r="L15" s="12"/>
      <c r="M15" s="12"/>
    </row>
    <row r="16" spans="1:14" s="21" customFormat="1">
      <c r="A16" s="49"/>
      <c r="B16" s="15"/>
      <c r="C16" s="16"/>
      <c r="D16" s="17"/>
      <c r="E16" s="18"/>
      <c r="F16" s="18"/>
      <c r="G16" s="18"/>
      <c r="H16" s="18"/>
      <c r="I16" s="18"/>
      <c r="J16" s="18"/>
      <c r="L16" s="25"/>
    </row>
    <row r="17" spans="1:13" s="13" customFormat="1">
      <c r="A17" s="49"/>
      <c r="B17" s="15"/>
      <c r="C17" s="16"/>
      <c r="D17" s="26"/>
      <c r="E17" s="17"/>
      <c r="F17" s="27"/>
      <c r="G17" s="26"/>
      <c r="H17" s="26"/>
      <c r="I17" s="26"/>
      <c r="J17" s="26"/>
    </row>
    <row r="18" spans="1:13" s="31" customFormat="1" ht="18.75">
      <c r="A18" s="28"/>
      <c r="B18" s="30"/>
      <c r="C18" s="16"/>
      <c r="D18" s="17"/>
      <c r="E18" s="18"/>
      <c r="F18" s="18"/>
      <c r="G18" s="18"/>
      <c r="H18" s="18"/>
      <c r="I18" s="18"/>
      <c r="J18" s="18"/>
      <c r="K18" s="32"/>
      <c r="L18" s="12"/>
      <c r="M18" s="1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7"/>
  <sheetViews>
    <sheetView topLeftCell="A29" workbookViewId="0">
      <selection activeCell="D40" sqref="D40"/>
    </sheetView>
  </sheetViews>
  <sheetFormatPr defaultColWidth="8.875" defaultRowHeight="14.25"/>
  <cols>
    <col min="1" max="1" width="10.125" style="43" customWidth="1"/>
    <col min="2" max="2" width="7.125" style="1" customWidth="1"/>
    <col min="3" max="3" width="8.375" style="1" bestFit="1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1">
      <c r="B1" s="1" t="s">
        <v>13</v>
      </c>
    </row>
    <row r="2" spans="1:11" s="19" customFormat="1" ht="16.5">
      <c r="A2" s="14">
        <v>43350</v>
      </c>
      <c r="B2" s="15" t="s">
        <v>1</v>
      </c>
      <c r="C2" s="16">
        <v>10000</v>
      </c>
      <c r="D2" s="41">
        <v>14.8</v>
      </c>
      <c r="E2" s="18">
        <f>C2*D2</f>
        <v>148000</v>
      </c>
      <c r="F2" s="18">
        <f>E2*0.002</f>
        <v>296</v>
      </c>
      <c r="G2" s="18">
        <f>E2*0.00006</f>
        <v>8.8800000000000008</v>
      </c>
      <c r="H2" s="18">
        <f>E2*0.00001</f>
        <v>1.4800000000000002</v>
      </c>
      <c r="I2" s="18">
        <f>(F2+G2+H2)*0.07</f>
        <v>21.445200000000003</v>
      </c>
      <c r="J2" s="18">
        <f>E2+F2+I2+G2+H2</f>
        <v>148327.8052</v>
      </c>
    </row>
    <row r="3" spans="1:11" s="21" customFormat="1">
      <c r="A3" s="14">
        <v>43355</v>
      </c>
      <c r="B3" s="15" t="s">
        <v>1</v>
      </c>
      <c r="C3" s="16">
        <v>10000</v>
      </c>
      <c r="D3" s="41">
        <v>14.9</v>
      </c>
      <c r="E3" s="18">
        <f>C3*D3</f>
        <v>149000</v>
      </c>
      <c r="F3" s="18">
        <f>E3*0.002</f>
        <v>298</v>
      </c>
      <c r="G3" s="18">
        <f>E3*0.000068</f>
        <v>10.132</v>
      </c>
      <c r="H3" s="18">
        <f>E3*0.00001</f>
        <v>1.4900000000000002</v>
      </c>
      <c r="I3" s="18">
        <f>(F3+G3+H3)*0.07</f>
        <v>21.673540000000003</v>
      </c>
      <c r="J3" s="18">
        <f>E3+F3+I3+G3+H3</f>
        <v>149331.29553999999</v>
      </c>
    </row>
    <row r="4" spans="1:11" s="21" customFormat="1">
      <c r="A4" s="42"/>
      <c r="B4" s="4"/>
      <c r="C4" s="5">
        <f>SUM(C2:C3)</f>
        <v>20000</v>
      </c>
      <c r="D4" s="36">
        <f>E4/C4</f>
        <v>14.85</v>
      </c>
      <c r="E4" s="5">
        <f t="shared" ref="E4:J4" si="0">SUM(E2:E3)</f>
        <v>297000</v>
      </c>
      <c r="F4" s="5">
        <f t="shared" si="0"/>
        <v>594</v>
      </c>
      <c r="G4" s="5">
        <f t="shared" si="0"/>
        <v>19.012</v>
      </c>
      <c r="H4" s="5">
        <f t="shared" si="0"/>
        <v>2.9700000000000006</v>
      </c>
      <c r="I4" s="5">
        <f t="shared" si="0"/>
        <v>43.118740000000003</v>
      </c>
      <c r="J4" s="5">
        <f t="shared" si="0"/>
        <v>297659.10074000002</v>
      </c>
      <c r="K4" s="25"/>
    </row>
    <row r="5" spans="1:11" s="21" customFormat="1">
      <c r="A5" s="14">
        <v>43356</v>
      </c>
      <c r="B5" s="15" t="s">
        <v>1</v>
      </c>
      <c r="C5" s="16">
        <v>10000</v>
      </c>
      <c r="D5" s="41">
        <v>15</v>
      </c>
      <c r="E5" s="18">
        <f>C5*D5</f>
        <v>150000</v>
      </c>
      <c r="F5" s="18">
        <f>E5*0.002</f>
        <v>300</v>
      </c>
      <c r="G5" s="18">
        <f>E5*0.000068</f>
        <v>10.199999999999999</v>
      </c>
      <c r="H5" s="18">
        <f>E5*0.00001</f>
        <v>1.5000000000000002</v>
      </c>
      <c r="I5" s="18">
        <f>(F5+G5+H5)*0.07</f>
        <v>21.819000000000003</v>
      </c>
      <c r="J5" s="18">
        <f>E5+F5+I5+G5+H5</f>
        <v>150333.519</v>
      </c>
    </row>
    <row r="6" spans="1:11" s="21" customFormat="1">
      <c r="A6" s="42"/>
      <c r="B6" s="4"/>
      <c r="C6" s="5">
        <f>SUM(C4:C5)</f>
        <v>30000</v>
      </c>
      <c r="D6" s="36">
        <f>E6/C6</f>
        <v>14.9</v>
      </c>
      <c r="E6" s="5">
        <f t="shared" ref="E6:J6" si="1">SUM(E4:E5)</f>
        <v>447000</v>
      </c>
      <c r="F6" s="5">
        <f t="shared" si="1"/>
        <v>894</v>
      </c>
      <c r="G6" s="5">
        <f t="shared" si="1"/>
        <v>29.212</v>
      </c>
      <c r="H6" s="5">
        <f t="shared" si="1"/>
        <v>4.4700000000000006</v>
      </c>
      <c r="I6" s="5">
        <f t="shared" si="1"/>
        <v>64.937740000000005</v>
      </c>
      <c r="J6" s="5">
        <f t="shared" si="1"/>
        <v>447992.61973999999</v>
      </c>
      <c r="K6" s="25"/>
    </row>
    <row r="7" spans="1:11" s="21" customFormat="1">
      <c r="A7" s="14">
        <v>43502</v>
      </c>
      <c r="B7" s="15" t="s">
        <v>1</v>
      </c>
      <c r="C7" s="16">
        <v>10000</v>
      </c>
      <c r="D7" s="41">
        <v>15.1</v>
      </c>
      <c r="E7" s="18">
        <f>C7*D7</f>
        <v>151000</v>
      </c>
      <c r="F7" s="18">
        <f>E7*0.002</f>
        <v>302</v>
      </c>
      <c r="G7" s="18">
        <f>E7*0.000068</f>
        <v>10.268000000000001</v>
      </c>
      <c r="H7" s="18">
        <f>E7*0.00001</f>
        <v>1.5100000000000002</v>
      </c>
      <c r="I7" s="18">
        <f>(F7+G7+H7)*0.07</f>
        <v>21.964460000000003</v>
      </c>
      <c r="J7" s="18">
        <f>E7+F7+I7+G7+H7</f>
        <v>151335.74246000001</v>
      </c>
    </row>
    <row r="8" spans="1:11" s="21" customFormat="1">
      <c r="A8" s="42"/>
      <c r="B8" s="4"/>
      <c r="C8" s="5">
        <f>SUM(C6:C7)</f>
        <v>40000</v>
      </c>
      <c r="D8" s="36">
        <f>E8/C8</f>
        <v>14.95</v>
      </c>
      <c r="E8" s="5">
        <f t="shared" ref="E8:J8" si="2">SUM(E6:E7)</f>
        <v>598000</v>
      </c>
      <c r="F8" s="5">
        <f t="shared" si="2"/>
        <v>1196</v>
      </c>
      <c r="G8" s="5">
        <f t="shared" si="2"/>
        <v>39.480000000000004</v>
      </c>
      <c r="H8" s="5">
        <f t="shared" si="2"/>
        <v>5.98</v>
      </c>
      <c r="I8" s="5">
        <f t="shared" si="2"/>
        <v>86.902200000000008</v>
      </c>
      <c r="J8" s="5">
        <f t="shared" si="2"/>
        <v>599328.36219999997</v>
      </c>
      <c r="K8" s="25"/>
    </row>
    <row r="9" spans="1:11" s="13" customFormat="1">
      <c r="A9" s="14">
        <v>43528</v>
      </c>
      <c r="B9" s="15" t="s">
        <v>3</v>
      </c>
      <c r="C9" s="16">
        <f>C8</f>
        <v>40000</v>
      </c>
      <c r="D9" s="41">
        <v>15</v>
      </c>
      <c r="E9" s="17">
        <f>C9*D9</f>
        <v>600000</v>
      </c>
      <c r="F9" s="27">
        <f>E9*0.002</f>
        <v>1200</v>
      </c>
      <c r="G9" s="26">
        <f>E9*0.000068</f>
        <v>40.799999999999997</v>
      </c>
      <c r="H9" s="26">
        <f>E9*0.00001</f>
        <v>6.0000000000000009</v>
      </c>
      <c r="I9" s="26">
        <f>(F9+G9+H9)*0.07</f>
        <v>87.27600000000001</v>
      </c>
      <c r="J9" s="26">
        <f>E9-F9-G9-H9-I9</f>
        <v>598665.924</v>
      </c>
      <c r="K9" s="15"/>
    </row>
    <row r="10" spans="1:11" s="31" customFormat="1" ht="18.75">
      <c r="A10" s="28">
        <f>DAYS360(A2,A9)</f>
        <v>177</v>
      </c>
      <c r="B10" s="15"/>
      <c r="C10" s="16"/>
      <c r="D10" s="41"/>
      <c r="E10" s="18">
        <f>E9-E8</f>
        <v>2000</v>
      </c>
      <c r="F10" s="18"/>
      <c r="G10" s="18"/>
      <c r="H10" s="18"/>
      <c r="I10" s="18"/>
      <c r="J10" s="18">
        <f>J9-J8</f>
        <v>-662.43819999997504</v>
      </c>
      <c r="K10" s="30"/>
    </row>
    <row r="11" spans="1:11" s="21" customFormat="1">
      <c r="A11" s="14">
        <v>43600</v>
      </c>
      <c r="B11" s="15" t="s">
        <v>1</v>
      </c>
      <c r="C11" s="72">
        <v>40000</v>
      </c>
      <c r="D11" s="41">
        <v>16.600000000000001</v>
      </c>
      <c r="E11" s="18">
        <f>C11*D11</f>
        <v>664000</v>
      </c>
      <c r="F11" s="18">
        <f>E11*0.002</f>
        <v>1328</v>
      </c>
      <c r="G11" s="18">
        <f>E11*0.000068</f>
        <v>45.152000000000001</v>
      </c>
      <c r="H11" s="18">
        <f>E11*0.00001</f>
        <v>6.6400000000000006</v>
      </c>
      <c r="I11" s="18">
        <f>(F11+G11+H11)*0.07</f>
        <v>96.58544000000002</v>
      </c>
      <c r="J11" s="18">
        <f>E11+F11+I11+G11+H11</f>
        <v>665476.37744000007</v>
      </c>
    </row>
    <row r="12" spans="1:11" s="21" customFormat="1">
      <c r="A12" s="14">
        <v>43630</v>
      </c>
      <c r="B12" s="15" t="s">
        <v>1</v>
      </c>
      <c r="C12" s="16">
        <v>10000</v>
      </c>
      <c r="D12" s="41">
        <v>16.600000000000001</v>
      </c>
      <c r="E12" s="18">
        <f>C12*D12</f>
        <v>166000</v>
      </c>
      <c r="F12" s="18">
        <f>E12*0.002</f>
        <v>332</v>
      </c>
      <c r="G12" s="18">
        <f>E12*0.000068</f>
        <v>11.288</v>
      </c>
      <c r="H12" s="18">
        <f>E12*0.00001</f>
        <v>1.6600000000000001</v>
      </c>
      <c r="I12" s="18">
        <f>(F12+G12+H12)*0.07</f>
        <v>24.146360000000005</v>
      </c>
      <c r="J12" s="18">
        <f>E12+F12+I12+G12+H12</f>
        <v>166369.09436000002</v>
      </c>
    </row>
    <row r="13" spans="1:11" s="21" customFormat="1">
      <c r="A13" s="42"/>
      <c r="B13" s="4"/>
      <c r="C13" s="5">
        <f>SUM(C11:C12)</f>
        <v>50000</v>
      </c>
      <c r="D13" s="36">
        <f>E13/C13</f>
        <v>16.600000000000001</v>
      </c>
      <c r="E13" s="5">
        <f t="shared" ref="E13:J13" si="3">SUM(E11:E12)</f>
        <v>830000</v>
      </c>
      <c r="F13" s="5">
        <f t="shared" si="3"/>
        <v>1660</v>
      </c>
      <c r="G13" s="5">
        <f t="shared" si="3"/>
        <v>56.44</v>
      </c>
      <c r="H13" s="5">
        <f t="shared" si="3"/>
        <v>8.3000000000000007</v>
      </c>
      <c r="I13" s="5">
        <f t="shared" si="3"/>
        <v>120.73180000000002</v>
      </c>
      <c r="J13" s="5">
        <f t="shared" si="3"/>
        <v>831845.47180000006</v>
      </c>
      <c r="K13" s="25"/>
    </row>
    <row r="14" spans="1:11" s="21" customFormat="1">
      <c r="A14" s="14">
        <v>43600</v>
      </c>
      <c r="B14" s="15" t="s">
        <v>14</v>
      </c>
      <c r="C14" s="16">
        <v>40000</v>
      </c>
      <c r="D14" s="41">
        <v>16.600000000000001</v>
      </c>
      <c r="E14" s="18">
        <f>C14*D14</f>
        <v>664000</v>
      </c>
      <c r="F14" s="18">
        <f>E14*0.002</f>
        <v>1328</v>
      </c>
      <c r="G14" s="18">
        <f>E14*0.000068</f>
        <v>45.152000000000001</v>
      </c>
      <c r="H14" s="18">
        <f>E14*0.00001</f>
        <v>6.6400000000000006</v>
      </c>
      <c r="I14" s="18">
        <f>(F14+G14+H14)*0.07</f>
        <v>96.58544000000002</v>
      </c>
      <c r="J14" s="18">
        <f>E14+F14+I14+G14+H14</f>
        <v>665476.37744000007</v>
      </c>
    </row>
    <row r="15" spans="1:11" s="21" customFormat="1">
      <c r="A15" s="14">
        <v>43670</v>
      </c>
      <c r="B15" s="15" t="s">
        <v>1</v>
      </c>
      <c r="C15" s="72">
        <v>7000</v>
      </c>
      <c r="D15" s="41">
        <v>17.100000000000001</v>
      </c>
      <c r="E15" s="18">
        <f>C15*D15</f>
        <v>119700.00000000001</v>
      </c>
      <c r="F15" s="18">
        <f>E15*0.002</f>
        <v>239.40000000000003</v>
      </c>
      <c r="G15" s="18">
        <f>E15*0.000068</f>
        <v>8.1396000000000015</v>
      </c>
      <c r="H15" s="18">
        <f>E15*0.00001</f>
        <v>1.1970000000000003</v>
      </c>
      <c r="I15" s="18">
        <f>(F15+G15+H15)*0.07</f>
        <v>17.411562000000004</v>
      </c>
      <c r="J15" s="18">
        <f>E15+F15+I15+G15+H15</f>
        <v>119966.148162</v>
      </c>
    </row>
    <row r="16" spans="1:11" s="21" customFormat="1">
      <c r="A16" s="42"/>
      <c r="B16" s="4"/>
      <c r="C16" s="5">
        <f>SUM(C14:C15)</f>
        <v>47000</v>
      </c>
      <c r="D16" s="36">
        <f>E16/C16</f>
        <v>16.674468085106383</v>
      </c>
      <c r="E16" s="5">
        <f t="shared" ref="E16:J16" si="4">SUM(E14:E15)</f>
        <v>783700</v>
      </c>
      <c r="F16" s="5">
        <f t="shared" si="4"/>
        <v>1567.4</v>
      </c>
      <c r="G16" s="5">
        <f t="shared" si="4"/>
        <v>53.291600000000003</v>
      </c>
      <c r="H16" s="5">
        <f t="shared" si="4"/>
        <v>7.8370000000000006</v>
      </c>
      <c r="I16" s="5">
        <f t="shared" si="4"/>
        <v>113.99700200000002</v>
      </c>
      <c r="J16" s="5">
        <f t="shared" si="4"/>
        <v>785442.52560200007</v>
      </c>
      <c r="K16" s="25"/>
    </row>
    <row r="17" spans="1:11" s="21" customFormat="1">
      <c r="A17" s="14">
        <v>43710</v>
      </c>
      <c r="B17" s="15" t="s">
        <v>1</v>
      </c>
      <c r="C17" s="72">
        <v>5000</v>
      </c>
      <c r="D17" s="41">
        <v>15.9</v>
      </c>
      <c r="E17" s="18">
        <f>C17*D17</f>
        <v>79500</v>
      </c>
      <c r="F17" s="18">
        <v>0</v>
      </c>
      <c r="G17" s="18">
        <v>0</v>
      </c>
      <c r="H17" s="18">
        <v>0</v>
      </c>
      <c r="I17" s="18">
        <f>(F17+G17+H17)*0.07</f>
        <v>0</v>
      </c>
      <c r="J17" s="18">
        <f>E17+F17+I17+G17+H17</f>
        <v>79500</v>
      </c>
    </row>
    <row r="18" spans="1:11" s="21" customFormat="1">
      <c r="A18" s="42"/>
      <c r="B18" s="4"/>
      <c r="C18" s="5">
        <f>SUM(C16:C17)</f>
        <v>52000</v>
      </c>
      <c r="D18" s="36">
        <f>E18/C18</f>
        <v>16.600000000000001</v>
      </c>
      <c r="E18" s="5">
        <f t="shared" ref="E18:J18" si="5">SUM(E16:E17)</f>
        <v>863200</v>
      </c>
      <c r="F18" s="5">
        <f t="shared" si="5"/>
        <v>1567.4</v>
      </c>
      <c r="G18" s="5">
        <f t="shared" si="5"/>
        <v>53.291600000000003</v>
      </c>
      <c r="H18" s="5">
        <f t="shared" si="5"/>
        <v>7.8370000000000006</v>
      </c>
      <c r="I18" s="5">
        <f t="shared" si="5"/>
        <v>113.99700200000002</v>
      </c>
      <c r="J18" s="5">
        <f t="shared" si="5"/>
        <v>864942.52560200007</v>
      </c>
      <c r="K18" s="25"/>
    </row>
    <row r="19" spans="1:11" s="21" customFormat="1">
      <c r="A19" s="8">
        <v>43710</v>
      </c>
      <c r="B19" s="13" t="s">
        <v>1</v>
      </c>
      <c r="C19" s="73">
        <v>8000</v>
      </c>
      <c r="D19" s="46">
        <v>16.600000000000001</v>
      </c>
      <c r="E19" s="20">
        <f>C19*D19</f>
        <v>132800</v>
      </c>
      <c r="F19" s="20">
        <v>0</v>
      </c>
      <c r="G19" s="20">
        <v>0</v>
      </c>
      <c r="H19" s="20">
        <v>0</v>
      </c>
      <c r="I19" s="20">
        <f>(F19+G19+H19)*0.07</f>
        <v>0</v>
      </c>
      <c r="J19" s="20">
        <f>E19+F19+I19+G19+H19</f>
        <v>132800</v>
      </c>
    </row>
    <row r="20" spans="1:11" s="21" customFormat="1">
      <c r="A20" s="44"/>
      <c r="C20" s="22">
        <f>SUM(C18:C19)</f>
        <v>60000</v>
      </c>
      <c r="D20" s="33">
        <f>E20/C20</f>
        <v>16.600000000000001</v>
      </c>
      <c r="E20" s="22">
        <f t="shared" ref="E20:J20" si="6">SUM(E18:E19)</f>
        <v>996000</v>
      </c>
      <c r="F20" s="22">
        <f t="shared" si="6"/>
        <v>1567.4</v>
      </c>
      <c r="G20" s="22">
        <f t="shared" si="6"/>
        <v>53.291600000000003</v>
      </c>
      <c r="H20" s="22">
        <f t="shared" si="6"/>
        <v>7.8370000000000006</v>
      </c>
      <c r="I20" s="22">
        <f t="shared" si="6"/>
        <v>113.99700200000002</v>
      </c>
      <c r="J20" s="22">
        <f t="shared" si="6"/>
        <v>997742.52560200007</v>
      </c>
      <c r="K20" s="25"/>
    </row>
    <row r="21" spans="1:11" s="21" customFormat="1">
      <c r="A21" s="14">
        <v>44106</v>
      </c>
      <c r="B21" s="15" t="s">
        <v>6</v>
      </c>
      <c r="C21" s="16">
        <v>60000</v>
      </c>
      <c r="D21" s="41">
        <v>16.399999999999999</v>
      </c>
      <c r="E21" s="18">
        <f>C21*D21</f>
        <v>983999.99999999988</v>
      </c>
      <c r="F21" s="18">
        <v>0</v>
      </c>
      <c r="G21" s="18">
        <v>0</v>
      </c>
      <c r="H21" s="18">
        <v>0</v>
      </c>
      <c r="I21" s="18">
        <f>(F21+G21+H21)*0.07</f>
        <v>0</v>
      </c>
      <c r="J21" s="18">
        <f>E21+F21+I21+G21+H21</f>
        <v>983999.99999999988</v>
      </c>
    </row>
    <row r="22" spans="1:11" s="21" customFormat="1">
      <c r="A22" s="14">
        <v>44113</v>
      </c>
      <c r="B22" s="15" t="s">
        <v>1</v>
      </c>
      <c r="C22" s="16">
        <v>2000</v>
      </c>
      <c r="D22" s="41">
        <v>13.3</v>
      </c>
      <c r="E22" s="18">
        <f>C22*D22</f>
        <v>26600</v>
      </c>
      <c r="F22" s="18">
        <f>E22*0.002</f>
        <v>53.2</v>
      </c>
      <c r="G22" s="18">
        <f>E22*0.000068</f>
        <v>1.8088</v>
      </c>
      <c r="H22" s="18">
        <f>E22*0.00001</f>
        <v>0.26600000000000001</v>
      </c>
      <c r="I22" s="18">
        <f>(F22+G22+H22)*0.07</f>
        <v>3.8692360000000003</v>
      </c>
      <c r="J22" s="18">
        <f>E22+F22+I22+G22+H22</f>
        <v>26659.144035999998</v>
      </c>
    </row>
    <row r="23" spans="1:11" s="21" customFormat="1">
      <c r="A23" s="42"/>
      <c r="B23" s="4"/>
      <c r="C23" s="5">
        <f>SUM(C21:C22)</f>
        <v>62000</v>
      </c>
      <c r="D23" s="36">
        <f>E23/C23</f>
        <v>16.299999999999997</v>
      </c>
      <c r="E23" s="5">
        <f t="shared" ref="E23:J23" si="7">SUM(E21:E22)</f>
        <v>1010599.9999999999</v>
      </c>
      <c r="F23" s="5">
        <f t="shared" si="7"/>
        <v>53.2</v>
      </c>
      <c r="G23" s="5">
        <f t="shared" si="7"/>
        <v>1.8088</v>
      </c>
      <c r="H23" s="5">
        <f t="shared" si="7"/>
        <v>0.26600000000000001</v>
      </c>
      <c r="I23" s="5">
        <f t="shared" si="7"/>
        <v>3.8692360000000003</v>
      </c>
      <c r="J23" s="5">
        <f t="shared" si="7"/>
        <v>1010659.1440359999</v>
      </c>
      <c r="K23" s="25"/>
    </row>
    <row r="24" spans="1:11" s="21" customFormat="1">
      <c r="A24" s="14">
        <v>44124</v>
      </c>
      <c r="B24" s="15" t="s">
        <v>1</v>
      </c>
      <c r="C24" s="16">
        <v>8000</v>
      </c>
      <c r="D24" s="41">
        <v>12.8</v>
      </c>
      <c r="E24" s="18">
        <f>C24*D24</f>
        <v>102400</v>
      </c>
      <c r="F24" s="18">
        <f>E24*0.002</f>
        <v>204.8</v>
      </c>
      <c r="G24" s="18">
        <f>E24*0.000068</f>
        <v>6.9631999999999996</v>
      </c>
      <c r="H24" s="18">
        <f>E24*0.00001</f>
        <v>1.024</v>
      </c>
      <c r="I24" s="18">
        <f>(F24+G24+H24)*0.07</f>
        <v>14.895104000000002</v>
      </c>
      <c r="J24" s="18">
        <f>E24+F24+I24+G24+H24</f>
        <v>102627.682304</v>
      </c>
    </row>
    <row r="25" spans="1:11" s="21" customFormat="1">
      <c r="A25" s="42"/>
      <c r="B25" s="4"/>
      <c r="C25" s="5">
        <f>SUM(C23:C24)</f>
        <v>70000</v>
      </c>
      <c r="D25" s="36">
        <f>E25/C25</f>
        <v>15.9</v>
      </c>
      <c r="E25" s="5">
        <f t="shared" ref="E25:J25" si="8">SUM(E23:E24)</f>
        <v>1113000</v>
      </c>
      <c r="F25" s="5">
        <f t="shared" si="8"/>
        <v>258</v>
      </c>
      <c r="G25" s="5">
        <f t="shared" si="8"/>
        <v>8.7720000000000002</v>
      </c>
      <c r="H25" s="5">
        <f t="shared" si="8"/>
        <v>1.29</v>
      </c>
      <c r="I25" s="5">
        <f t="shared" si="8"/>
        <v>18.764340000000001</v>
      </c>
      <c r="J25" s="5">
        <f t="shared" si="8"/>
        <v>1113286.8263399999</v>
      </c>
      <c r="K25" s="25"/>
    </row>
    <row r="26" spans="1:11" s="21" customFormat="1">
      <c r="A26" s="14">
        <v>44244</v>
      </c>
      <c r="B26" s="15" t="s">
        <v>1</v>
      </c>
      <c r="C26" s="16">
        <v>10000</v>
      </c>
      <c r="D26" s="41">
        <v>12.7</v>
      </c>
      <c r="E26" s="18">
        <f>C26*D26</f>
        <v>127000</v>
      </c>
      <c r="F26" s="18">
        <f>E26*0.002</f>
        <v>254</v>
      </c>
      <c r="G26" s="18">
        <f>E26*0.000068</f>
        <v>8.6359999999999992</v>
      </c>
      <c r="H26" s="18">
        <f>E26*0.00001</f>
        <v>1.27</v>
      </c>
      <c r="I26" s="18">
        <f>(F26+G26+H26)*0.07</f>
        <v>18.473420000000001</v>
      </c>
      <c r="J26" s="18">
        <f>E26+F26+I26+G26+H26</f>
        <v>127282.37942</v>
      </c>
    </row>
    <row r="27" spans="1:11" s="21" customFormat="1">
      <c r="A27" s="42"/>
      <c r="B27" s="4"/>
      <c r="C27" s="5">
        <f>SUM(C25:C26)</f>
        <v>80000</v>
      </c>
      <c r="D27" s="36">
        <f>E27/C27</f>
        <v>15.5</v>
      </c>
      <c r="E27" s="5">
        <f t="shared" ref="E27:J27" si="9">SUM(E25:E26)</f>
        <v>1240000</v>
      </c>
      <c r="F27" s="5">
        <f t="shared" si="9"/>
        <v>512</v>
      </c>
      <c r="G27" s="5">
        <f t="shared" si="9"/>
        <v>17.408000000000001</v>
      </c>
      <c r="H27" s="5">
        <f t="shared" si="9"/>
        <v>2.56</v>
      </c>
      <c r="I27" s="5">
        <f t="shared" si="9"/>
        <v>37.237760000000002</v>
      </c>
      <c r="J27" s="5">
        <f t="shared" si="9"/>
        <v>1240569.2057599998</v>
      </c>
      <c r="K27" s="25"/>
    </row>
    <row r="28" spans="1:11" s="21" customFormat="1">
      <c r="A28" s="14">
        <v>44257</v>
      </c>
      <c r="B28" s="15" t="s">
        <v>1</v>
      </c>
      <c r="C28" s="16">
        <v>10000</v>
      </c>
      <c r="D28" s="41">
        <v>11.6</v>
      </c>
      <c r="E28" s="18">
        <f>C28*D28</f>
        <v>116000</v>
      </c>
      <c r="F28" s="18">
        <f>E28*0.002</f>
        <v>232</v>
      </c>
      <c r="G28" s="18">
        <f>E28*0.000068</f>
        <v>7.8879999999999999</v>
      </c>
      <c r="H28" s="18">
        <f>E28*0.00001</f>
        <v>1.1600000000000001</v>
      </c>
      <c r="I28" s="18">
        <f>(F28+G28+H28)*0.07</f>
        <v>16.873360000000002</v>
      </c>
      <c r="J28" s="18">
        <f>E28+F28+I28+G28+H28</f>
        <v>116257.92136000001</v>
      </c>
    </row>
    <row r="29" spans="1:11" s="21" customFormat="1">
      <c r="A29" s="42"/>
      <c r="B29" s="4"/>
      <c r="C29" s="5">
        <f>SUM(C27:C28)</f>
        <v>90000</v>
      </c>
      <c r="D29" s="36">
        <f>E29/C29</f>
        <v>15.066666666666666</v>
      </c>
      <c r="E29" s="5">
        <f t="shared" ref="E29:J29" si="10">SUM(E27:E28)</f>
        <v>1356000</v>
      </c>
      <c r="F29" s="5">
        <f t="shared" si="10"/>
        <v>744</v>
      </c>
      <c r="G29" s="5">
        <f t="shared" si="10"/>
        <v>25.295999999999999</v>
      </c>
      <c r="H29" s="5">
        <f t="shared" si="10"/>
        <v>3.72</v>
      </c>
      <c r="I29" s="5">
        <f t="shared" si="10"/>
        <v>54.11112</v>
      </c>
      <c r="J29" s="5">
        <f t="shared" si="10"/>
        <v>1356827.1271199998</v>
      </c>
      <c r="K29" s="25"/>
    </row>
    <row r="30" spans="1:11" s="21" customFormat="1">
      <c r="A30" s="14">
        <v>44260</v>
      </c>
      <c r="B30" s="15" t="s">
        <v>1</v>
      </c>
      <c r="C30" s="16">
        <v>10000</v>
      </c>
      <c r="D30" s="41">
        <v>11.4</v>
      </c>
      <c r="E30" s="18">
        <f>C30*D30</f>
        <v>114000</v>
      </c>
      <c r="F30" s="18">
        <f>E30*0.002</f>
        <v>228</v>
      </c>
      <c r="G30" s="18">
        <f>E30*0.000068</f>
        <v>7.7519999999999998</v>
      </c>
      <c r="H30" s="18">
        <f>E30*0.00001</f>
        <v>1.1400000000000001</v>
      </c>
      <c r="I30" s="18">
        <f>(F30+G30+H30)*0.07</f>
        <v>16.582440000000002</v>
      </c>
      <c r="J30" s="18">
        <f>E30+F30+I30+G30+H30</f>
        <v>114253.47443999999</v>
      </c>
    </row>
    <row r="31" spans="1:11" s="21" customFormat="1">
      <c r="A31" s="42"/>
      <c r="B31" s="4"/>
      <c r="C31" s="5">
        <f>SUM(C29:C30)</f>
        <v>100000</v>
      </c>
      <c r="D31" s="36">
        <f>E31/C31</f>
        <v>14.7</v>
      </c>
      <c r="E31" s="5">
        <f t="shared" ref="E31:J32" si="11">SUM(E29:E30)</f>
        <v>1470000</v>
      </c>
      <c r="F31" s="5">
        <f t="shared" si="11"/>
        <v>972</v>
      </c>
      <c r="G31" s="5">
        <f t="shared" si="11"/>
        <v>33.048000000000002</v>
      </c>
      <c r="H31" s="5">
        <f t="shared" si="11"/>
        <v>4.8600000000000003</v>
      </c>
      <c r="I31" s="5">
        <f t="shared" si="11"/>
        <v>70.693560000000005</v>
      </c>
      <c r="J31" s="5">
        <f t="shared" si="11"/>
        <v>1471080.6015599999</v>
      </c>
      <c r="K31" s="25"/>
    </row>
    <row r="32" spans="1:11" s="21" customFormat="1">
      <c r="A32" s="42">
        <v>44351</v>
      </c>
      <c r="B32" s="4" t="s">
        <v>6</v>
      </c>
      <c r="C32" s="5">
        <v>80000</v>
      </c>
      <c r="D32" s="36">
        <v>14.7</v>
      </c>
      <c r="E32" s="18">
        <f>C32*D32</f>
        <v>1176000</v>
      </c>
      <c r="F32" s="18">
        <f>E32*0.002</f>
        <v>2352</v>
      </c>
      <c r="G32" s="18">
        <f>E32*0.000068</f>
        <v>79.968000000000004</v>
      </c>
      <c r="H32" s="18">
        <f>E32*0.00001</f>
        <v>11.760000000000002</v>
      </c>
      <c r="I32" s="18">
        <f>(F32+G32+H32)*0.07</f>
        <v>171.06096000000002</v>
      </c>
      <c r="J32" s="18">
        <f>E32+F32+I32+G32+H32</f>
        <v>1178614.78896</v>
      </c>
      <c r="K32" s="25"/>
    </row>
    <row r="33" spans="1:11" s="21" customFormat="1">
      <c r="A33" s="42">
        <v>44355</v>
      </c>
      <c r="B33" s="4" t="s">
        <v>6</v>
      </c>
      <c r="C33" s="5">
        <v>70000</v>
      </c>
      <c r="D33" s="36">
        <v>14.7</v>
      </c>
      <c r="E33" s="18">
        <f>C33*D33</f>
        <v>1029000</v>
      </c>
      <c r="F33" s="18">
        <f>E33*0.002</f>
        <v>2058</v>
      </c>
      <c r="G33" s="18">
        <f>E33*0.000068</f>
        <v>69.971999999999994</v>
      </c>
      <c r="H33" s="18">
        <f>E33*0.00001</f>
        <v>10.290000000000001</v>
      </c>
      <c r="I33" s="18">
        <f>(F33+G33+H33)*0.07</f>
        <v>149.67834000000002</v>
      </c>
      <c r="J33" s="18">
        <f>E33+F33+I33+G33+H33</f>
        <v>1031287.94034</v>
      </c>
      <c r="K33" s="25"/>
    </row>
    <row r="34" spans="1:11" s="21" customFormat="1">
      <c r="A34" s="42">
        <v>44356</v>
      </c>
      <c r="B34" s="4" t="s">
        <v>6</v>
      </c>
      <c r="C34" s="5">
        <v>60000</v>
      </c>
      <c r="D34" s="36">
        <v>14.7</v>
      </c>
      <c r="E34" s="18">
        <f>C34*D34</f>
        <v>882000</v>
      </c>
      <c r="F34" s="18">
        <f>E34*0.002</f>
        <v>1764</v>
      </c>
      <c r="G34" s="18">
        <f>E34*0.000068</f>
        <v>59.975999999999999</v>
      </c>
      <c r="H34" s="18">
        <f>E34*0.00001</f>
        <v>8.82</v>
      </c>
      <c r="I34" s="18">
        <f>(F34+G34+H34)*0.07</f>
        <v>128.29572000000002</v>
      </c>
      <c r="J34" s="18">
        <f>E34+F34+I34+G34+H34</f>
        <v>883961.09172000003</v>
      </c>
      <c r="K34" s="25"/>
    </row>
    <row r="35" spans="1:11" s="13" customFormat="1">
      <c r="A35" s="14">
        <v>44610</v>
      </c>
      <c r="B35" s="15" t="s">
        <v>3</v>
      </c>
      <c r="C35" s="16">
        <v>10000</v>
      </c>
      <c r="D35" s="26">
        <v>14.3</v>
      </c>
      <c r="E35" s="17">
        <f>C35*D35</f>
        <v>143000</v>
      </c>
      <c r="F35" s="27">
        <f>E35*0.002</f>
        <v>286</v>
      </c>
      <c r="G35" s="26">
        <f>E35*0.000068</f>
        <v>9.7240000000000002</v>
      </c>
      <c r="H35" s="26">
        <f>E35*0.00001</f>
        <v>1.4300000000000002</v>
      </c>
      <c r="I35" s="26">
        <f>(F35+G35+H35)*0.07</f>
        <v>20.800780000000003</v>
      </c>
      <c r="J35" s="26">
        <f>E35-F35-G35-H35-I35</f>
        <v>142682.04522000003</v>
      </c>
    </row>
    <row r="36" spans="1:11" s="31" customFormat="1" ht="18.75">
      <c r="A36" s="14">
        <v>44610</v>
      </c>
      <c r="B36" s="15" t="s">
        <v>6</v>
      </c>
      <c r="C36" s="16">
        <f>C34-C35</f>
        <v>50000</v>
      </c>
      <c r="D36" s="17">
        <v>14.7</v>
      </c>
      <c r="E36" s="18">
        <f>C36*D36</f>
        <v>735000</v>
      </c>
      <c r="F36" s="18">
        <f>E36*0.002</f>
        <v>1470</v>
      </c>
      <c r="G36" s="18">
        <f>E36*0.000068</f>
        <v>49.98</v>
      </c>
      <c r="H36" s="18">
        <f>E36*0.00001</f>
        <v>7.3500000000000005</v>
      </c>
      <c r="I36" s="18">
        <f>(F36+G36+H36)*0.07</f>
        <v>106.9131</v>
      </c>
      <c r="J36" s="18">
        <f>E36+F36+I36+G36+H36</f>
        <v>736634.24309999996</v>
      </c>
      <c r="K36" s="12"/>
    </row>
    <row r="37" spans="1:11" s="13" customFormat="1">
      <c r="A37" s="14">
        <v>44725</v>
      </c>
      <c r="B37" s="15" t="s">
        <v>3</v>
      </c>
      <c r="C37" s="16">
        <v>10000</v>
      </c>
      <c r="D37" s="26">
        <v>13.5</v>
      </c>
      <c r="E37" s="17">
        <f>C37*D37</f>
        <v>135000</v>
      </c>
      <c r="F37" s="27">
        <f>E37*0.002</f>
        <v>270</v>
      </c>
      <c r="G37" s="26">
        <f>E37*0.000068</f>
        <v>9.18</v>
      </c>
      <c r="H37" s="26">
        <f>E37*0.00001</f>
        <v>1.35</v>
      </c>
      <c r="I37" s="26">
        <f>(F37+G37+H37)*0.07</f>
        <v>19.637100000000004</v>
      </c>
      <c r="J37" s="26">
        <f>E37-F37-G37-H37-I37</f>
        <v>134699.83290000001</v>
      </c>
    </row>
    <row r="38" spans="1:11" s="31" customFormat="1" ht="18.75">
      <c r="A38" s="14">
        <v>44610</v>
      </c>
      <c r="B38" s="15" t="s">
        <v>6</v>
      </c>
      <c r="C38" s="16">
        <f>C36-C37</f>
        <v>40000</v>
      </c>
      <c r="D38" s="17">
        <v>14.7</v>
      </c>
      <c r="E38" s="18">
        <f>C38*D38</f>
        <v>588000</v>
      </c>
      <c r="F38" s="18">
        <f>E38*0.002</f>
        <v>1176</v>
      </c>
      <c r="G38" s="18">
        <f>E38*0.000068</f>
        <v>39.984000000000002</v>
      </c>
      <c r="H38" s="18">
        <f>E38*0.00001</f>
        <v>5.8800000000000008</v>
      </c>
      <c r="I38" s="18">
        <f>(F38+G38+H38)*0.07</f>
        <v>85.530480000000011</v>
      </c>
      <c r="J38" s="18">
        <f>E38+F38+I38+G38+H38</f>
        <v>589307.39448000002</v>
      </c>
      <c r="K38" s="12"/>
    </row>
    <row r="39" spans="1:11" s="21" customFormat="1">
      <c r="A39" s="8">
        <v>44260</v>
      </c>
      <c r="B39" s="13" t="s">
        <v>1</v>
      </c>
      <c r="C39" s="10">
        <v>10000</v>
      </c>
      <c r="D39" s="46">
        <v>13.2</v>
      </c>
      <c r="E39" s="20">
        <f>C39*D39</f>
        <v>132000</v>
      </c>
      <c r="F39" s="20">
        <f>E39*0.002</f>
        <v>264</v>
      </c>
      <c r="G39" s="20">
        <f>E39*0.000068</f>
        <v>8.9759999999999991</v>
      </c>
      <c r="H39" s="20">
        <f>E39*0.00001</f>
        <v>1.32</v>
      </c>
      <c r="I39" s="20">
        <f>(F39+G39+H39)*0.07</f>
        <v>19.20072</v>
      </c>
      <c r="J39" s="20">
        <f>E39+F39+I39+G39+H39</f>
        <v>132293.49672</v>
      </c>
    </row>
    <row r="40" spans="1:11" s="21" customFormat="1">
      <c r="A40" s="44"/>
      <c r="B40" s="25">
        <f>(D39-D36)/D36</f>
        <v>-0.10204081632653061</v>
      </c>
      <c r="C40" s="22">
        <f>C38+C39</f>
        <v>50000</v>
      </c>
      <c r="D40" s="33">
        <f>E40/C40</f>
        <v>14.4</v>
      </c>
      <c r="E40" s="22">
        <f t="shared" ref="E40:J40" si="12">E38+E39</f>
        <v>720000</v>
      </c>
      <c r="F40" s="22">
        <f t="shared" si="12"/>
        <v>1440</v>
      </c>
      <c r="G40" s="22">
        <f t="shared" si="12"/>
        <v>48.96</v>
      </c>
      <c r="H40" s="22">
        <f t="shared" si="12"/>
        <v>7.2000000000000011</v>
      </c>
      <c r="I40" s="22">
        <f t="shared" si="12"/>
        <v>104.73120000000002</v>
      </c>
      <c r="J40" s="22">
        <f t="shared" si="12"/>
        <v>721600.89119999995</v>
      </c>
      <c r="K40" s="25"/>
    </row>
    <row r="42" spans="1:11" s="21" customFormat="1">
      <c r="A42" s="14">
        <v>43630</v>
      </c>
      <c r="B42" s="15" t="s">
        <v>1</v>
      </c>
      <c r="C42" s="16">
        <v>10000</v>
      </c>
      <c r="D42" s="41">
        <v>16.600000000000001</v>
      </c>
      <c r="E42" s="18">
        <f>C42*D42</f>
        <v>166000</v>
      </c>
      <c r="F42" s="18">
        <f>E42*0.002</f>
        <v>332</v>
      </c>
      <c r="G42" s="18">
        <f>E42*0.000068</f>
        <v>11.288</v>
      </c>
      <c r="H42" s="18">
        <f>E42*0.00001</f>
        <v>1.6600000000000001</v>
      </c>
      <c r="I42" s="18">
        <f>(F42+G42+H42)*0.07</f>
        <v>24.146360000000005</v>
      </c>
      <c r="J42" s="18">
        <f>E42+F42+I42+G42+H42</f>
        <v>166369.09436000002</v>
      </c>
    </row>
    <row r="43" spans="1:11" s="13" customFormat="1">
      <c r="A43" s="14">
        <v>43643</v>
      </c>
      <c r="B43" s="15" t="s">
        <v>3</v>
      </c>
      <c r="C43" s="16">
        <f>C42</f>
        <v>10000</v>
      </c>
      <c r="D43" s="26">
        <v>16.7</v>
      </c>
      <c r="E43" s="17">
        <f>C43*D43</f>
        <v>167000</v>
      </c>
      <c r="F43" s="27">
        <f>E43*0.002</f>
        <v>334</v>
      </c>
      <c r="G43" s="26">
        <f>E43*0.000068</f>
        <v>11.356</v>
      </c>
      <c r="H43" s="26">
        <f>E43*0.00001</f>
        <v>1.6700000000000002</v>
      </c>
      <c r="I43" s="26">
        <f>(F43+G43+H43)*0.07</f>
        <v>24.291820000000001</v>
      </c>
      <c r="J43" s="26">
        <f>E43-F43-G43-H43-I43</f>
        <v>166628.68217999997</v>
      </c>
    </row>
    <row r="44" spans="1:11" s="31" customFormat="1" ht="18.75">
      <c r="A44" s="14" t="s">
        <v>4</v>
      </c>
      <c r="B44" s="15"/>
      <c r="C44" s="16"/>
      <c r="D44" s="17"/>
      <c r="E44" s="18">
        <f>E43-E42</f>
        <v>1000</v>
      </c>
      <c r="F44" s="18"/>
      <c r="G44" s="18"/>
      <c r="H44" s="18"/>
      <c r="I44" s="18"/>
      <c r="J44" s="18">
        <f>J43-J42</f>
        <v>259.58781999995699</v>
      </c>
      <c r="K44" s="12"/>
    </row>
    <row r="45" spans="1:11" s="21" customFormat="1">
      <c r="A45" s="8">
        <v>43630</v>
      </c>
      <c r="B45" s="13" t="s">
        <v>1</v>
      </c>
      <c r="C45" s="10">
        <v>10000</v>
      </c>
      <c r="D45" s="46">
        <v>11.6</v>
      </c>
      <c r="E45" s="20">
        <f>C45*D45</f>
        <v>116000</v>
      </c>
      <c r="F45" s="20">
        <f>E45*0.002</f>
        <v>232</v>
      </c>
      <c r="G45" s="20">
        <f>E45*0.000068</f>
        <v>7.8879999999999999</v>
      </c>
      <c r="H45" s="20">
        <f>E45*0.00001</f>
        <v>1.1600000000000001</v>
      </c>
      <c r="I45" s="20">
        <f>(F45+G45+H45)*0.07</f>
        <v>16.873360000000002</v>
      </c>
      <c r="J45" s="20">
        <f>E45+F45+I45+G45+H45</f>
        <v>116257.92136000001</v>
      </c>
    </row>
    <row r="46" spans="1:11" s="13" customFormat="1">
      <c r="A46" s="8">
        <v>43643</v>
      </c>
      <c r="B46" s="13" t="s">
        <v>3</v>
      </c>
      <c r="C46" s="10">
        <f>C45</f>
        <v>10000</v>
      </c>
      <c r="D46" s="34">
        <v>11.8</v>
      </c>
      <c r="E46" s="11">
        <f>C46*D46</f>
        <v>118000</v>
      </c>
      <c r="F46" s="35">
        <f>E46*0.002</f>
        <v>236</v>
      </c>
      <c r="G46" s="34">
        <f>E46*0.000068</f>
        <v>8.0239999999999991</v>
      </c>
      <c r="H46" s="34">
        <f>E46*0.00001</f>
        <v>1.1800000000000002</v>
      </c>
      <c r="I46" s="34">
        <f>(F46+G46+H46)*0.07</f>
        <v>17.164280000000002</v>
      </c>
      <c r="J46" s="34">
        <f>E46-F46-G46-H46-I46</f>
        <v>117737.63172</v>
      </c>
    </row>
    <row r="47" spans="1:11" s="31" customFormat="1" ht="18.75">
      <c r="A47" s="8" t="s">
        <v>4</v>
      </c>
      <c r="B47" s="13"/>
      <c r="C47" s="10"/>
      <c r="D47" s="11"/>
      <c r="E47" s="20">
        <f>E46-E45</f>
        <v>2000</v>
      </c>
      <c r="F47" s="20"/>
      <c r="G47" s="20"/>
      <c r="H47" s="20"/>
      <c r="I47" s="20"/>
      <c r="J47" s="20">
        <f>J46-J45</f>
        <v>1479.7103599999973</v>
      </c>
      <c r="K47" s="1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4F34-1A94-4023-9770-717C53C33E1B}">
  <dimension ref="A1:M26"/>
  <sheetViews>
    <sheetView workbookViewId="0">
      <selection activeCell="E14" sqref="E14"/>
    </sheetView>
  </sheetViews>
  <sheetFormatPr defaultColWidth="8.875" defaultRowHeight="14.25"/>
  <cols>
    <col min="1" max="1" width="10.125" style="50" customWidth="1"/>
    <col min="2" max="2" width="7.125" style="1" customWidth="1"/>
    <col min="3" max="3" width="6.625" style="2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3">
      <c r="B1" s="50" t="s">
        <v>15</v>
      </c>
    </row>
    <row r="2" spans="1:13" s="19" customFormat="1" ht="16.5">
      <c r="A2" s="49">
        <v>44428</v>
      </c>
      <c r="B2" s="15" t="s">
        <v>1</v>
      </c>
      <c r="C2" s="16">
        <v>8000</v>
      </c>
      <c r="D2" s="41">
        <v>25</v>
      </c>
      <c r="E2" s="18">
        <f>C2*D2</f>
        <v>200000</v>
      </c>
      <c r="F2" s="18">
        <f>E2*0.002</f>
        <v>400</v>
      </c>
      <c r="G2" s="18">
        <f>E2*0.00006</f>
        <v>12</v>
      </c>
      <c r="H2" s="18">
        <f>E2*0.00001</f>
        <v>2</v>
      </c>
      <c r="I2" s="18">
        <f>(F2+G2+H2)*0.07</f>
        <v>28.980000000000004</v>
      </c>
      <c r="J2" s="18">
        <f>E2+F2+I2+G2+H2</f>
        <v>200442.98</v>
      </c>
    </row>
    <row r="3" spans="1:13" s="78" customFormat="1">
      <c r="A3" s="82">
        <v>44566</v>
      </c>
      <c r="B3" s="83" t="s">
        <v>1</v>
      </c>
      <c r="C3" s="84">
        <v>4000</v>
      </c>
      <c r="D3" s="85">
        <v>22.9</v>
      </c>
      <c r="E3" s="86">
        <f>C3*D3</f>
        <v>91600</v>
      </c>
      <c r="F3" s="86">
        <f>E3*0.002</f>
        <v>183.20000000000002</v>
      </c>
      <c r="G3" s="86">
        <f>E3*0.000068</f>
        <v>6.2287999999999997</v>
      </c>
      <c r="H3" s="86">
        <f>E3*0.00001</f>
        <v>0.91600000000000004</v>
      </c>
      <c r="I3" s="86">
        <f>(F3+G3+H3)*0.07</f>
        <v>13.324136000000003</v>
      </c>
      <c r="J3" s="86">
        <f>E3+F3+I3+G3+H3</f>
        <v>91803.668935999987</v>
      </c>
    </row>
    <row r="4" spans="1:13" s="78" customFormat="1">
      <c r="A4" s="82"/>
      <c r="B4" s="87">
        <f>(D3-D2)/D2</f>
        <v>-8.4000000000000061E-2</v>
      </c>
      <c r="C4" s="84">
        <f>SUM(C2:C3)</f>
        <v>12000</v>
      </c>
      <c r="D4" s="85">
        <f>E4/C4</f>
        <v>24.3</v>
      </c>
      <c r="E4" s="84">
        <f t="shared" ref="E4:J4" si="0">SUM(E2:E3)</f>
        <v>291600</v>
      </c>
      <c r="F4" s="84">
        <f t="shared" si="0"/>
        <v>583.20000000000005</v>
      </c>
      <c r="G4" s="84">
        <f t="shared" si="0"/>
        <v>18.2288</v>
      </c>
      <c r="H4" s="84">
        <f t="shared" si="0"/>
        <v>2.9159999999999999</v>
      </c>
      <c r="I4" s="84">
        <f t="shared" si="0"/>
        <v>42.304136000000007</v>
      </c>
      <c r="J4" s="84">
        <f t="shared" si="0"/>
        <v>292246.64893600001</v>
      </c>
      <c r="K4" s="81"/>
    </row>
    <row r="5" spans="1:13">
      <c r="A5" s="54">
        <v>44624</v>
      </c>
      <c r="B5" s="55" t="s">
        <v>16</v>
      </c>
      <c r="C5" s="51">
        <f>C4*6/5</f>
        <v>14400</v>
      </c>
      <c r="D5" s="52">
        <f>E5/C5</f>
        <v>20.25</v>
      </c>
      <c r="E5" s="55">
        <v>291600</v>
      </c>
      <c r="F5" s="55">
        <v>583.20000000000005</v>
      </c>
      <c r="G5" s="55">
        <v>18.2288</v>
      </c>
      <c r="H5" s="55">
        <v>2.9159999999999999</v>
      </c>
      <c r="I5" s="55">
        <v>42.304136000000007</v>
      </c>
      <c r="J5" s="55">
        <v>292246.64893600001</v>
      </c>
    </row>
    <row r="6" spans="1:13" s="13" customFormat="1">
      <c r="A6" s="49">
        <v>44630</v>
      </c>
      <c r="B6" s="15" t="s">
        <v>3</v>
      </c>
      <c r="C6" s="16">
        <v>4800</v>
      </c>
      <c r="D6" s="26">
        <v>22.5</v>
      </c>
      <c r="E6" s="17">
        <f>C6*D6</f>
        <v>108000</v>
      </c>
      <c r="F6" s="27">
        <f>E6*0.002</f>
        <v>216</v>
      </c>
      <c r="G6" s="26">
        <f>E6*0.000068</f>
        <v>7.3440000000000003</v>
      </c>
      <c r="H6" s="26">
        <f>E6*0.00001</f>
        <v>1.08</v>
      </c>
      <c r="I6" s="26">
        <f>(F6+G6+H6)*0.07</f>
        <v>15.709680000000002</v>
      </c>
      <c r="J6" s="26">
        <f>E6-F6-G6-H6-I6</f>
        <v>107759.86632</v>
      </c>
    </row>
    <row r="7" spans="1:13" s="78" customFormat="1">
      <c r="A7" s="82">
        <v>44630</v>
      </c>
      <c r="B7" s="83" t="s">
        <v>2</v>
      </c>
      <c r="C7" s="84">
        <v>9600</v>
      </c>
      <c r="D7" s="85">
        <f>D5</f>
        <v>20.25</v>
      </c>
      <c r="E7" s="86">
        <f>C7*D7</f>
        <v>194400</v>
      </c>
      <c r="F7" s="86">
        <f>E7*0.002</f>
        <v>388.8</v>
      </c>
      <c r="G7" s="86">
        <f>E7*0.000068</f>
        <v>13.219200000000001</v>
      </c>
      <c r="H7" s="86">
        <f>E7*0.00001</f>
        <v>1.9440000000000002</v>
      </c>
      <c r="I7" s="86">
        <f>(F7+G7+H7)*0.07</f>
        <v>28.277424000000003</v>
      </c>
      <c r="J7" s="86">
        <f>E7+F7+I7+G7+H7</f>
        <v>194832.24062399997</v>
      </c>
    </row>
    <row r="8" spans="1:13" s="78" customFormat="1">
      <c r="A8" s="82">
        <v>44691</v>
      </c>
      <c r="B8" s="83" t="s">
        <v>2</v>
      </c>
      <c r="C8" s="84">
        <v>7200</v>
      </c>
      <c r="D8" s="85">
        <v>20.25</v>
      </c>
      <c r="E8" s="86">
        <f>C8*D8</f>
        <v>145800</v>
      </c>
      <c r="F8" s="86">
        <f>E8*0.002</f>
        <v>291.60000000000002</v>
      </c>
      <c r="G8" s="86">
        <f>E8*0.000068</f>
        <v>9.9144000000000005</v>
      </c>
      <c r="H8" s="86">
        <f>E8*0.00001</f>
        <v>1.4580000000000002</v>
      </c>
      <c r="I8" s="86">
        <f>(F8+G8+H8)*0.07</f>
        <v>21.208068000000004</v>
      </c>
      <c r="J8" s="86">
        <f>E8+F8+I8+G8+H8</f>
        <v>146124.18046800004</v>
      </c>
    </row>
    <row r="9" spans="1:13" s="78" customFormat="1" ht="12.75">
      <c r="A9" s="82">
        <v>44880</v>
      </c>
      <c r="B9" s="83" t="s">
        <v>2</v>
      </c>
      <c r="C9" s="84">
        <v>4800</v>
      </c>
      <c r="D9" s="85">
        <v>20.25</v>
      </c>
      <c r="E9" s="86">
        <f>C9*D9</f>
        <v>97200</v>
      </c>
      <c r="F9" s="86">
        <f>E9*0.002</f>
        <v>194.4</v>
      </c>
      <c r="G9" s="86">
        <f>E9*0.000068</f>
        <v>6.6096000000000004</v>
      </c>
      <c r="H9" s="86">
        <f>E9*0.00001</f>
        <v>0.97200000000000009</v>
      </c>
      <c r="I9" s="86">
        <f>(F9+G9+H9)*0.07</f>
        <v>14.138712000000002</v>
      </c>
      <c r="J9" s="86">
        <f>E9+F9+I9+G9+H9</f>
        <v>97416.120311999985</v>
      </c>
    </row>
    <row r="10" spans="1:13" s="78" customFormat="1" ht="12.75">
      <c r="A10" s="82">
        <v>44886</v>
      </c>
      <c r="B10" s="83" t="s">
        <v>2</v>
      </c>
      <c r="C10" s="84">
        <v>2400</v>
      </c>
      <c r="D10" s="85">
        <v>20.25</v>
      </c>
      <c r="E10" s="86">
        <f>C10*D10</f>
        <v>48600</v>
      </c>
      <c r="F10" s="86">
        <f>E10*0.002</f>
        <v>97.2</v>
      </c>
      <c r="G10" s="86">
        <f>E10*0.000068</f>
        <v>3.3048000000000002</v>
      </c>
      <c r="H10" s="86">
        <f>E10*0.00001</f>
        <v>0.48600000000000004</v>
      </c>
      <c r="I10" s="86">
        <f>(F10+G10+H10)*0.07</f>
        <v>7.0693560000000009</v>
      </c>
      <c r="J10" s="86">
        <f>E10+F10+I10+G10+H10</f>
        <v>48708.060155999992</v>
      </c>
    </row>
    <row r="11" spans="1:13" s="78" customFormat="1" ht="12.75">
      <c r="A11" s="77"/>
      <c r="C11" s="79"/>
      <c r="D11" s="80"/>
      <c r="E11" s="94"/>
      <c r="F11" s="94"/>
      <c r="G11" s="94"/>
      <c r="H11" s="94"/>
      <c r="I11" s="94"/>
      <c r="J11" s="94"/>
    </row>
    <row r="12" spans="1:13" s="78" customFormat="1" ht="12.75">
      <c r="A12" s="77"/>
      <c r="B12" s="81"/>
      <c r="C12" s="79"/>
      <c r="D12" s="80"/>
      <c r="E12" s="79"/>
      <c r="F12" s="79"/>
      <c r="G12" s="79"/>
      <c r="H12" s="79"/>
      <c r="I12" s="79"/>
      <c r="J12" s="79"/>
      <c r="K12" s="81"/>
    </row>
    <row r="13" spans="1:13" s="78" customFormat="1">
      <c r="A13" s="82">
        <v>44691</v>
      </c>
      <c r="B13" s="83" t="s">
        <v>1</v>
      </c>
      <c r="C13" s="84">
        <v>2400</v>
      </c>
      <c r="D13" s="85">
        <v>20.25</v>
      </c>
      <c r="E13" s="86">
        <f>C13*D13</f>
        <v>48600</v>
      </c>
      <c r="F13" s="86">
        <f>E13*0.002</f>
        <v>97.2</v>
      </c>
      <c r="G13" s="86">
        <f>E13*0.000068</f>
        <v>3.3048000000000002</v>
      </c>
      <c r="H13" s="86">
        <f>E13*0.00001</f>
        <v>0.48600000000000004</v>
      </c>
      <c r="I13" s="86">
        <f>(F13+G13+H13)*0.07</f>
        <v>7.0693560000000009</v>
      </c>
      <c r="J13" s="86">
        <f>E13+F13+I13+G13+H13</f>
        <v>48708.060155999992</v>
      </c>
    </row>
    <row r="14" spans="1:13" s="13" customFormat="1">
      <c r="A14" s="49">
        <v>44886</v>
      </c>
      <c r="B14" s="15" t="s">
        <v>3</v>
      </c>
      <c r="C14" s="16">
        <f>C13</f>
        <v>2400</v>
      </c>
      <c r="D14" s="26">
        <v>14.2</v>
      </c>
      <c r="E14" s="17">
        <f>C14*D14</f>
        <v>34080</v>
      </c>
      <c r="F14" s="27">
        <f>E14*0.002</f>
        <v>68.16</v>
      </c>
      <c r="G14" s="26">
        <f>E14*0.000068</f>
        <v>2.3174399999999999</v>
      </c>
      <c r="H14" s="26">
        <f>E14*0.00001</f>
        <v>0.34080000000000005</v>
      </c>
      <c r="I14" s="26">
        <f>(F14+G14+H14)*0.07</f>
        <v>4.9572768000000007</v>
      </c>
      <c r="J14" s="26">
        <f>E14-F14-G14-H14-I14</f>
        <v>34004.2244832</v>
      </c>
    </row>
    <row r="15" spans="1:13" s="31" customFormat="1" ht="18.75">
      <c r="A15" s="28">
        <f>DAYS360(A13,A14)</f>
        <v>191</v>
      </c>
      <c r="B15" s="30">
        <f>(D14-D13)/D13</f>
        <v>-0.29876543209876549</v>
      </c>
      <c r="C15" s="16"/>
      <c r="D15" s="17"/>
      <c r="E15" s="18">
        <f>E14-E13</f>
        <v>-14520</v>
      </c>
      <c r="F15" s="18"/>
      <c r="G15" s="18"/>
      <c r="H15" s="18"/>
      <c r="I15" s="18"/>
      <c r="J15" s="18">
        <f>J14-J13</f>
        <v>-14703.835672799993</v>
      </c>
      <c r="K15" s="32"/>
      <c r="L15" s="12"/>
      <c r="M15" s="12"/>
    </row>
    <row r="16" spans="1:13" s="13" customFormat="1">
      <c r="A16" s="49"/>
      <c r="B16" s="15"/>
      <c r="C16" s="16"/>
      <c r="D16" s="26"/>
      <c r="E16" s="17"/>
      <c r="F16" s="27"/>
      <c r="G16" s="26"/>
      <c r="H16" s="26"/>
      <c r="I16" s="26"/>
      <c r="J16" s="26"/>
    </row>
    <row r="17" spans="1:13" s="78" customFormat="1">
      <c r="A17" s="82">
        <v>44691</v>
      </c>
      <c r="B17" s="83" t="s">
        <v>1</v>
      </c>
      <c r="C17" s="84">
        <v>2400</v>
      </c>
      <c r="D17" s="85">
        <v>20.25</v>
      </c>
      <c r="E17" s="86">
        <f>C17*D17</f>
        <v>48600</v>
      </c>
      <c r="F17" s="86">
        <f>E17*0.002</f>
        <v>97.2</v>
      </c>
      <c r="G17" s="86">
        <f>E17*0.000068</f>
        <v>3.3048000000000002</v>
      </c>
      <c r="H17" s="86">
        <f>E17*0.00001</f>
        <v>0.48600000000000004</v>
      </c>
      <c r="I17" s="86">
        <f>(F17+G17+H17)*0.07</f>
        <v>7.0693560000000009</v>
      </c>
      <c r="J17" s="86">
        <f>E17+F17+I17+G17+H17</f>
        <v>48708.060155999992</v>
      </c>
    </row>
    <row r="18" spans="1:13" s="13" customFormat="1">
      <c r="A18" s="49">
        <v>44880</v>
      </c>
      <c r="B18" s="15" t="s">
        <v>3</v>
      </c>
      <c r="C18" s="16">
        <f>C17</f>
        <v>2400</v>
      </c>
      <c r="D18" s="26">
        <v>13.7</v>
      </c>
      <c r="E18" s="17">
        <f>C18*D18</f>
        <v>32880</v>
      </c>
      <c r="F18" s="27">
        <f>E18*0.002</f>
        <v>65.760000000000005</v>
      </c>
      <c r="G18" s="26">
        <f>E18*0.000068</f>
        <v>2.23584</v>
      </c>
      <c r="H18" s="26">
        <f>E18*0.00001</f>
        <v>0.32880000000000004</v>
      </c>
      <c r="I18" s="26">
        <f>(F18+G18+H18)*0.07</f>
        <v>4.7827248000000004</v>
      </c>
      <c r="J18" s="26">
        <f>E18-F18-G18-H18-I18</f>
        <v>32806.892635199991</v>
      </c>
    </row>
    <row r="19" spans="1:13" s="31" customFormat="1" ht="18.75">
      <c r="A19" s="28">
        <f>DAYS360(A17,A18)</f>
        <v>185</v>
      </c>
      <c r="B19" s="30">
        <f>(D18-D17)/D17</f>
        <v>-0.32345679012345685</v>
      </c>
      <c r="C19" s="16"/>
      <c r="D19" s="17"/>
      <c r="E19" s="18">
        <f>E18-E17</f>
        <v>-15720</v>
      </c>
      <c r="F19" s="18"/>
      <c r="G19" s="18"/>
      <c r="H19" s="18"/>
      <c r="I19" s="18"/>
      <c r="J19" s="18">
        <f>J18-J17</f>
        <v>-15901.167520800002</v>
      </c>
      <c r="K19" s="32"/>
      <c r="L19" s="12"/>
      <c r="M19" s="12"/>
    </row>
    <row r="20" spans="1:13" s="13" customFormat="1" ht="12.75">
      <c r="A20" s="49"/>
      <c r="B20" s="15"/>
      <c r="C20" s="16"/>
      <c r="D20" s="26"/>
      <c r="E20" s="17"/>
      <c r="F20" s="27"/>
      <c r="G20" s="26"/>
      <c r="H20" s="26"/>
      <c r="I20" s="26"/>
      <c r="J20" s="26"/>
    </row>
    <row r="21" spans="1:13" s="78" customFormat="1">
      <c r="A21" s="82">
        <v>44644</v>
      </c>
      <c r="B21" s="83" t="s">
        <v>1</v>
      </c>
      <c r="C21" s="84">
        <v>2400</v>
      </c>
      <c r="D21" s="85">
        <v>21.3</v>
      </c>
      <c r="E21" s="86">
        <f>C21*D21</f>
        <v>51120</v>
      </c>
      <c r="F21" s="86">
        <f>E21*0.002</f>
        <v>102.24000000000001</v>
      </c>
      <c r="G21" s="86">
        <f>E21*0.000068</f>
        <v>3.4761600000000001</v>
      </c>
      <c r="H21" s="86">
        <f>E21*0.00001</f>
        <v>0.51119999999999999</v>
      </c>
      <c r="I21" s="86">
        <f>(F21+G21+H21)*0.07</f>
        <v>7.4359152000000011</v>
      </c>
      <c r="J21" s="86">
        <f>E21+F21+I21+G21+H21</f>
        <v>51233.6632752</v>
      </c>
    </row>
    <row r="22" spans="1:13" s="13" customFormat="1">
      <c r="A22" s="49">
        <v>44671</v>
      </c>
      <c r="B22" s="15" t="s">
        <v>3</v>
      </c>
      <c r="C22" s="16">
        <f>C21</f>
        <v>2400</v>
      </c>
      <c r="D22" s="26">
        <v>22.4</v>
      </c>
      <c r="E22" s="17">
        <f>C22*D22</f>
        <v>53760</v>
      </c>
      <c r="F22" s="27">
        <f>E22*0.002</f>
        <v>107.52</v>
      </c>
      <c r="G22" s="26">
        <f>E22*0.000068</f>
        <v>3.6556799999999998</v>
      </c>
      <c r="H22" s="26">
        <f>E22*0.00001</f>
        <v>0.53760000000000008</v>
      </c>
      <c r="I22" s="26">
        <f>(F22+G22+H22)*0.07</f>
        <v>7.8199296000000009</v>
      </c>
      <c r="J22" s="26">
        <f>E22-F22-G22-H22-I22</f>
        <v>53640.466790399994</v>
      </c>
    </row>
    <row r="23" spans="1:13" s="31" customFormat="1" ht="18.75">
      <c r="A23" s="28">
        <f>DAYS360(A21,A22)</f>
        <v>26</v>
      </c>
      <c r="B23" s="30">
        <f>(D22-D21)/D21</f>
        <v>5.164319248826281E-2</v>
      </c>
      <c r="C23" s="16"/>
      <c r="D23" s="17"/>
      <c r="E23" s="18">
        <f>E22-E21</f>
        <v>2640</v>
      </c>
      <c r="F23" s="18"/>
      <c r="G23" s="18"/>
      <c r="H23" s="18"/>
      <c r="I23" s="18"/>
      <c r="J23" s="18">
        <f>J22-J21</f>
        <v>2406.8035151999939</v>
      </c>
      <c r="K23" s="32"/>
      <c r="L23" s="12"/>
      <c r="M23" s="12"/>
    </row>
    <row r="24" spans="1:13" s="21" customFormat="1">
      <c r="A24" s="49">
        <v>44538</v>
      </c>
      <c r="B24" s="15" t="s">
        <v>1</v>
      </c>
      <c r="C24" s="16">
        <f>C5/3</f>
        <v>4800</v>
      </c>
      <c r="D24" s="17">
        <f>D5</f>
        <v>20.25</v>
      </c>
      <c r="E24" s="18">
        <f>C24*D24</f>
        <v>97200</v>
      </c>
      <c r="F24" s="18">
        <f>E24*0.002</f>
        <v>194.4</v>
      </c>
      <c r="G24" s="18">
        <f>E24*0.000068</f>
        <v>6.6096000000000004</v>
      </c>
      <c r="H24" s="18">
        <f>E24*0.00001</f>
        <v>0.97200000000000009</v>
      </c>
      <c r="I24" s="18">
        <f>(F24+G24+H24)*0.07</f>
        <v>14.138712000000002</v>
      </c>
      <c r="J24" s="18">
        <f>E24+F24+I24+G24+H24</f>
        <v>97416.120311999985</v>
      </c>
      <c r="L24" s="25"/>
    </row>
    <row r="25" spans="1:13" s="13" customFormat="1">
      <c r="A25" s="49">
        <v>44630</v>
      </c>
      <c r="B25" s="15" t="s">
        <v>3</v>
      </c>
      <c r="C25" s="16">
        <f>C24</f>
        <v>4800</v>
      </c>
      <c r="D25" s="26">
        <v>22.5</v>
      </c>
      <c r="E25" s="17">
        <f>C25*D25</f>
        <v>108000</v>
      </c>
      <c r="F25" s="27">
        <f>E25*0.002</f>
        <v>216</v>
      </c>
      <c r="G25" s="26">
        <f>E25*0.000068</f>
        <v>7.3440000000000003</v>
      </c>
      <c r="H25" s="26">
        <f>E25*0.00001</f>
        <v>1.08</v>
      </c>
      <c r="I25" s="26">
        <f>(F25+G25+H25)*0.07</f>
        <v>15.709680000000002</v>
      </c>
      <c r="J25" s="26">
        <f>E25-F25-G25-H25-I25</f>
        <v>107759.86632</v>
      </c>
    </row>
    <row r="26" spans="1:13" s="31" customFormat="1" ht="18.75">
      <c r="A26" s="28">
        <f>DAYS360(A24,A25)</f>
        <v>92</v>
      </c>
      <c r="B26" s="30">
        <f>(D25-D24)/D24</f>
        <v>0.1111111111111111</v>
      </c>
      <c r="C26" s="16"/>
      <c r="D26" s="17"/>
      <c r="E26" s="18">
        <f>E25-E24</f>
        <v>10800</v>
      </c>
      <c r="F26" s="18"/>
      <c r="G26" s="18"/>
      <c r="H26" s="18"/>
      <c r="I26" s="18"/>
      <c r="J26" s="18">
        <f>J25-J24</f>
        <v>10343.746008000016</v>
      </c>
      <c r="K26" s="32"/>
      <c r="L26" s="12"/>
      <c r="M26" s="1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5D497-67E5-4755-A37C-D801F1CE1CC8}">
  <dimension ref="A1:N25"/>
  <sheetViews>
    <sheetView workbookViewId="0">
      <selection activeCell="A7" sqref="A7:J8"/>
    </sheetView>
  </sheetViews>
  <sheetFormatPr defaultColWidth="8.875" defaultRowHeight="14.25"/>
  <cols>
    <col min="1" max="1" width="10.125" style="50" customWidth="1"/>
    <col min="2" max="2" width="7.125" style="1" customWidth="1"/>
    <col min="3" max="3" width="6.625" style="2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4">
      <c r="B1" s="50" t="s">
        <v>17</v>
      </c>
    </row>
    <row r="2" spans="1:14" s="19" customFormat="1" ht="16.5">
      <c r="A2" s="49">
        <v>44797</v>
      </c>
      <c r="B2" s="15" t="s">
        <v>1</v>
      </c>
      <c r="C2" s="16">
        <v>10000</v>
      </c>
      <c r="D2" s="41">
        <v>9.15</v>
      </c>
      <c r="E2" s="18">
        <f>C2*D2</f>
        <v>91500</v>
      </c>
      <c r="F2" s="18">
        <f>E2*0.002</f>
        <v>183</v>
      </c>
      <c r="G2" s="18">
        <f>E2*0.00006</f>
        <v>5.49</v>
      </c>
      <c r="H2" s="18">
        <f>E2*0.00001</f>
        <v>0.91500000000000004</v>
      </c>
      <c r="I2" s="18">
        <f>(F2+G2+H2)*0.07</f>
        <v>13.258350000000002</v>
      </c>
      <c r="J2" s="18">
        <f>E2+F2+I2+G2+H2</f>
        <v>91702.663350000003</v>
      </c>
    </row>
    <row r="3" spans="1:14" s="21" customFormat="1" ht="12.75">
      <c r="A3" s="14">
        <v>44860</v>
      </c>
      <c r="B3" s="15" t="s">
        <v>1</v>
      </c>
      <c r="C3" s="16">
        <v>10000</v>
      </c>
      <c r="D3" s="17">
        <v>8.65</v>
      </c>
      <c r="E3" s="18">
        <f>C3*D3</f>
        <v>86500</v>
      </c>
      <c r="F3" s="18">
        <f>E3*0.002</f>
        <v>173</v>
      </c>
      <c r="G3" s="18">
        <f>E3*0.000068</f>
        <v>5.8819999999999997</v>
      </c>
      <c r="H3" s="18">
        <f>E3*0.00001</f>
        <v>0.8650000000000001</v>
      </c>
      <c r="I3" s="18">
        <f>(F3+G3+H3)*0.07</f>
        <v>12.582290000000002</v>
      </c>
      <c r="J3" s="18">
        <f>E3+F3+I3+G3+H3</f>
        <v>86692.329290000009</v>
      </c>
    </row>
    <row r="4" spans="1:14" s="21" customFormat="1" ht="12.75">
      <c r="A4" s="42"/>
      <c r="B4" s="7">
        <f>(D3-D2)/D2</f>
        <v>-5.4644808743169397E-2</v>
      </c>
      <c r="C4" s="5">
        <f>SUM(C2:C3)</f>
        <v>20000</v>
      </c>
      <c r="D4" s="66">
        <f>E4/C4</f>
        <v>8.9</v>
      </c>
      <c r="E4" s="5">
        <f t="shared" ref="E4:J4" si="0">SUM(E2:E3)</f>
        <v>178000</v>
      </c>
      <c r="F4" s="5">
        <f t="shared" si="0"/>
        <v>356</v>
      </c>
      <c r="G4" s="5">
        <f t="shared" si="0"/>
        <v>11.372</v>
      </c>
      <c r="H4" s="5">
        <f t="shared" si="0"/>
        <v>1.7800000000000002</v>
      </c>
      <c r="I4" s="5">
        <f t="shared" si="0"/>
        <v>25.840640000000004</v>
      </c>
      <c r="J4" s="5">
        <f t="shared" si="0"/>
        <v>178394.99264000001</v>
      </c>
      <c r="K4" s="24"/>
      <c r="L4" s="25"/>
    </row>
    <row r="5" spans="1:14" s="21" customFormat="1" ht="12.75">
      <c r="A5" s="14">
        <v>44943</v>
      </c>
      <c r="B5" s="15" t="s">
        <v>1</v>
      </c>
      <c r="C5" s="16">
        <v>10000</v>
      </c>
      <c r="D5" s="17">
        <v>8.9</v>
      </c>
      <c r="E5" s="18">
        <f>C5*D5</f>
        <v>89000</v>
      </c>
      <c r="F5" s="18">
        <f>E5*0.002</f>
        <v>178</v>
      </c>
      <c r="G5" s="18">
        <f>E5*0.000068</f>
        <v>6.0519999999999996</v>
      </c>
      <c r="H5" s="18">
        <f>E5*0.00001</f>
        <v>0.89000000000000012</v>
      </c>
      <c r="I5" s="18">
        <f>(F5+G5+H5)*0.07</f>
        <v>12.94594</v>
      </c>
      <c r="J5" s="18">
        <f>E5+F5+I5+G5+H5</f>
        <v>89197.887940000001</v>
      </c>
    </row>
    <row r="6" spans="1:14" s="21" customFormat="1" ht="12.75">
      <c r="A6" s="42"/>
      <c r="B6" s="7">
        <f>(D5-D4)/D4</f>
        <v>0</v>
      </c>
      <c r="C6" s="5">
        <f>SUM(C4:C5)</f>
        <v>30000</v>
      </c>
      <c r="D6" s="66">
        <f>E6/C6</f>
        <v>8.9</v>
      </c>
      <c r="E6" s="5">
        <f t="shared" ref="E6:J6" si="1">SUM(E4:E5)</f>
        <v>267000</v>
      </c>
      <c r="F6" s="5">
        <f t="shared" si="1"/>
        <v>534</v>
      </c>
      <c r="G6" s="5">
        <f t="shared" si="1"/>
        <v>17.423999999999999</v>
      </c>
      <c r="H6" s="5">
        <f t="shared" si="1"/>
        <v>2.6700000000000004</v>
      </c>
      <c r="I6" s="5">
        <f t="shared" si="1"/>
        <v>38.786580000000001</v>
      </c>
      <c r="J6" s="5">
        <f t="shared" si="1"/>
        <v>267592.88058</v>
      </c>
      <c r="K6" s="24"/>
      <c r="L6" s="25"/>
    </row>
    <row r="7" spans="1:14" s="21" customFormat="1" ht="12.75">
      <c r="A7" s="14">
        <v>44944</v>
      </c>
      <c r="B7" s="15" t="s">
        <v>1</v>
      </c>
      <c r="C7" s="16">
        <v>10000</v>
      </c>
      <c r="D7" s="17">
        <v>8.9</v>
      </c>
      <c r="E7" s="18">
        <f>C7*D7</f>
        <v>89000</v>
      </c>
      <c r="F7" s="18">
        <f>E7*0.002</f>
        <v>178</v>
      </c>
      <c r="G7" s="18">
        <f>E7*0.000068</f>
        <v>6.0519999999999996</v>
      </c>
      <c r="H7" s="18">
        <f>E7*0.00001</f>
        <v>0.89000000000000012</v>
      </c>
      <c r="I7" s="18">
        <f>(F7+G7+H7)*0.07</f>
        <v>12.94594</v>
      </c>
      <c r="J7" s="18">
        <f>E7+F7+I7+G7+H7</f>
        <v>89197.887940000001</v>
      </c>
    </row>
    <row r="8" spans="1:14" s="21" customFormat="1" ht="12.75">
      <c r="A8" s="42"/>
      <c r="B8" s="7">
        <f>(D7-D6)/D6</f>
        <v>0</v>
      </c>
      <c r="C8" s="5">
        <f>SUM(C6:C7)</f>
        <v>40000</v>
      </c>
      <c r="D8" s="66">
        <f>E8/C8</f>
        <v>8.9</v>
      </c>
      <c r="E8" s="5">
        <f t="shared" ref="E8:J8" si="2">SUM(E6:E7)</f>
        <v>356000</v>
      </c>
      <c r="F8" s="5">
        <f t="shared" si="2"/>
        <v>712</v>
      </c>
      <c r="G8" s="5">
        <f t="shared" si="2"/>
        <v>23.475999999999999</v>
      </c>
      <c r="H8" s="5">
        <f t="shared" si="2"/>
        <v>3.5600000000000005</v>
      </c>
      <c r="I8" s="5">
        <f t="shared" si="2"/>
        <v>51.732520000000001</v>
      </c>
      <c r="J8" s="5">
        <f t="shared" si="2"/>
        <v>356790.76851999998</v>
      </c>
      <c r="K8" s="24"/>
      <c r="L8" s="25"/>
    </row>
    <row r="9" spans="1:14" s="21" customFormat="1" ht="12.75">
      <c r="A9" s="8">
        <v>44944</v>
      </c>
      <c r="B9" s="13" t="s">
        <v>1</v>
      </c>
      <c r="C9" s="10">
        <v>10000</v>
      </c>
      <c r="D9" s="11">
        <v>8.4</v>
      </c>
      <c r="E9" s="20">
        <f>C9*D9</f>
        <v>84000</v>
      </c>
      <c r="F9" s="20">
        <f>E9*0.002</f>
        <v>168</v>
      </c>
      <c r="G9" s="20">
        <f>E9*0.000068</f>
        <v>5.7119999999999997</v>
      </c>
      <c r="H9" s="20">
        <f>E9*0.00001</f>
        <v>0.84000000000000008</v>
      </c>
      <c r="I9" s="20">
        <f>(F9+G9+H9)*0.07</f>
        <v>12.218640000000001</v>
      </c>
      <c r="J9" s="20">
        <f>E9+F9+I9+G9+H9</f>
        <v>84186.770640000002</v>
      </c>
    </row>
    <row r="10" spans="1:14" s="21" customFormat="1" ht="12.75">
      <c r="A10" s="44"/>
      <c r="B10" s="25">
        <f>(D9-D8)/D8</f>
        <v>-5.6179775280898875E-2</v>
      </c>
      <c r="C10" s="22">
        <f>SUM(C8:C9)</f>
        <v>50000</v>
      </c>
      <c r="D10" s="65">
        <f>E10/C10</f>
        <v>8.8000000000000007</v>
      </c>
      <c r="E10" s="22">
        <f t="shared" ref="E10:J10" si="3">SUM(E8:E9)</f>
        <v>440000</v>
      </c>
      <c r="F10" s="22">
        <f t="shared" si="3"/>
        <v>880</v>
      </c>
      <c r="G10" s="22">
        <f t="shared" si="3"/>
        <v>29.187999999999999</v>
      </c>
      <c r="H10" s="22">
        <f t="shared" si="3"/>
        <v>4.4000000000000004</v>
      </c>
      <c r="I10" s="22">
        <f t="shared" si="3"/>
        <v>63.951160000000002</v>
      </c>
      <c r="J10" s="22">
        <f t="shared" si="3"/>
        <v>440977.53915999999</v>
      </c>
      <c r="K10" s="24"/>
      <c r="L10" s="25"/>
    </row>
    <row r="11" spans="1:14" s="21" customFormat="1" ht="12.75">
      <c r="A11" s="44"/>
      <c r="B11" s="25"/>
      <c r="C11" s="22"/>
      <c r="D11" s="65"/>
      <c r="E11" s="22"/>
      <c r="F11" s="22"/>
      <c r="G11" s="22"/>
      <c r="H11" s="22"/>
      <c r="I11" s="22"/>
      <c r="J11" s="22"/>
      <c r="K11" s="24"/>
      <c r="L11" s="25"/>
    </row>
    <row r="12" spans="1:14" s="63" customFormat="1" ht="21.75">
      <c r="A12" s="56">
        <v>44799</v>
      </c>
      <c r="C12" s="10">
        <f>C4</f>
        <v>20000</v>
      </c>
      <c r="D12" s="64">
        <v>0.19109999999999999</v>
      </c>
      <c r="E12" s="60">
        <v>0</v>
      </c>
      <c r="F12" s="32">
        <v>0</v>
      </c>
      <c r="G12" s="60">
        <v>0</v>
      </c>
      <c r="H12" s="11">
        <f>G12-E12</f>
        <v>0</v>
      </c>
      <c r="I12" s="12">
        <v>0</v>
      </c>
      <c r="J12" s="61">
        <f>C12*D12*0.9</f>
        <v>3439.8</v>
      </c>
      <c r="K12" s="11"/>
      <c r="L12" s="13"/>
      <c r="M12" s="62"/>
      <c r="N12" s="62"/>
    </row>
    <row r="13" spans="1:14">
      <c r="A13" s="56">
        <v>44242</v>
      </c>
      <c r="B13" s="13" t="s">
        <v>1</v>
      </c>
      <c r="C13" s="10">
        <f>C4</f>
        <v>20000</v>
      </c>
      <c r="D13" s="46">
        <f>D4</f>
        <v>8.9</v>
      </c>
      <c r="E13" s="20">
        <f>C13*D13</f>
        <v>178000</v>
      </c>
      <c r="F13" s="20">
        <f>E13*0.002</f>
        <v>356</v>
      </c>
      <c r="G13" s="20">
        <f>E13*0.00006</f>
        <v>10.68</v>
      </c>
      <c r="H13" s="20">
        <f>E13*0.00001</f>
        <v>1.7800000000000002</v>
      </c>
      <c r="I13" s="20">
        <f>(F13+G13+H13)*0.07</f>
        <v>25.792200000000001</v>
      </c>
      <c r="J13" s="20">
        <f>E13+F13+I13+G13+H13</f>
        <v>178394.25219999999</v>
      </c>
    </row>
    <row r="14" spans="1:14">
      <c r="A14" s="56">
        <v>44277</v>
      </c>
      <c r="B14" s="13" t="s">
        <v>3</v>
      </c>
      <c r="C14" s="10">
        <f>C13</f>
        <v>20000</v>
      </c>
      <c r="D14" s="34">
        <v>8.9499999999999993</v>
      </c>
      <c r="E14" s="11">
        <f>C14*D14</f>
        <v>179000</v>
      </c>
      <c r="F14" s="35">
        <f>E14*0.002</f>
        <v>358</v>
      </c>
      <c r="G14" s="34">
        <f>E14*0.000068</f>
        <v>12.172000000000001</v>
      </c>
      <c r="H14" s="34">
        <f>E14*0.00001</f>
        <v>1.79</v>
      </c>
      <c r="I14" s="34">
        <f>(F14+G14+H14)*0.07</f>
        <v>26.037340000000004</v>
      </c>
      <c r="J14" s="34">
        <f>E14-F14-G14-H14-I14</f>
        <v>178602.00065999999</v>
      </c>
    </row>
    <row r="15" spans="1:14" ht="12.75">
      <c r="A15" s="56" t="s">
        <v>4</v>
      </c>
      <c r="B15" s="25">
        <f>(D14-D13)/D13</f>
        <v>5.6179775280897678E-3</v>
      </c>
      <c r="C15" s="10"/>
      <c r="D15" s="11"/>
      <c r="E15" s="20">
        <f>E14-E13</f>
        <v>1000</v>
      </c>
      <c r="F15" s="20"/>
      <c r="G15" s="20"/>
      <c r="H15" s="20"/>
      <c r="I15" s="20"/>
      <c r="J15" s="20">
        <f>J14-J13</f>
        <v>207.74846000000252</v>
      </c>
    </row>
    <row r="16" spans="1:14">
      <c r="J16" s="53">
        <f>J12+J15</f>
        <v>3647.5484600000027</v>
      </c>
    </row>
    <row r="17" spans="1:13" s="78" customFormat="1">
      <c r="A17" s="82"/>
      <c r="B17" s="83"/>
      <c r="C17" s="84"/>
      <c r="D17" s="85"/>
      <c r="E17" s="86"/>
      <c r="F17" s="86"/>
      <c r="G17" s="86"/>
      <c r="H17" s="86"/>
      <c r="I17" s="86"/>
      <c r="J17" s="86"/>
    </row>
    <row r="18" spans="1:13" s="13" customFormat="1">
      <c r="A18" s="49"/>
      <c r="B18" s="15"/>
      <c r="C18" s="16"/>
      <c r="D18" s="26"/>
      <c r="E18" s="17"/>
      <c r="F18" s="27"/>
      <c r="G18" s="26"/>
      <c r="H18" s="26"/>
      <c r="I18" s="26"/>
      <c r="J18" s="26"/>
    </row>
    <row r="19" spans="1:13" s="31" customFormat="1" ht="18.75">
      <c r="A19" s="28"/>
      <c r="B19" s="30"/>
      <c r="C19" s="16"/>
      <c r="D19" s="17"/>
      <c r="E19" s="18"/>
      <c r="F19" s="18"/>
      <c r="G19" s="18"/>
      <c r="H19" s="18"/>
      <c r="I19" s="18"/>
      <c r="J19" s="18"/>
      <c r="K19" s="32"/>
      <c r="L19" s="12"/>
      <c r="M19" s="12"/>
    </row>
    <row r="20" spans="1:13" s="21" customFormat="1">
      <c r="A20" s="49"/>
      <c r="B20" s="15"/>
      <c r="C20" s="16"/>
      <c r="D20" s="17"/>
      <c r="E20" s="18"/>
      <c r="F20" s="18"/>
      <c r="G20" s="18"/>
      <c r="H20" s="18"/>
      <c r="I20" s="18"/>
      <c r="J20" s="18"/>
      <c r="L20" s="25"/>
    </row>
    <row r="21" spans="1:13" s="13" customFormat="1">
      <c r="A21" s="49"/>
      <c r="B21" s="15"/>
      <c r="C21" s="16"/>
      <c r="D21" s="26"/>
      <c r="E21" s="17"/>
      <c r="F21" s="27"/>
      <c r="G21" s="26"/>
      <c r="H21" s="26"/>
      <c r="I21" s="26"/>
      <c r="J21" s="26"/>
    </row>
    <row r="22" spans="1:13" s="31" customFormat="1" ht="18.75">
      <c r="A22" s="28"/>
      <c r="B22" s="30"/>
      <c r="C22" s="16"/>
      <c r="D22" s="17"/>
      <c r="E22" s="18"/>
      <c r="F22" s="18"/>
      <c r="G22" s="18"/>
      <c r="H22" s="18"/>
      <c r="I22" s="18"/>
      <c r="J22" s="18"/>
      <c r="K22" s="32"/>
      <c r="L22" s="12"/>
      <c r="M22" s="12"/>
    </row>
    <row r="23" spans="1:13" ht="12"/>
    <row r="24" spans="1:13" ht="12"/>
    <row r="25" spans="1:13" ht="12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E484-9DAC-4EE9-A8FE-27A01698073E}">
  <dimension ref="A1:N22"/>
  <sheetViews>
    <sheetView workbookViewId="0">
      <selection activeCell="D6" sqref="D6"/>
    </sheetView>
  </sheetViews>
  <sheetFormatPr defaultColWidth="8.875" defaultRowHeight="14.25"/>
  <cols>
    <col min="1" max="1" width="10.125" style="50" customWidth="1"/>
    <col min="2" max="2" width="7.125" style="1" customWidth="1"/>
    <col min="3" max="3" width="6.625" style="2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4">
      <c r="B1" s="50" t="s">
        <v>18</v>
      </c>
    </row>
    <row r="2" spans="1:14" s="19" customFormat="1" ht="16.5">
      <c r="A2" s="49">
        <v>44797</v>
      </c>
      <c r="B2" s="15" t="s">
        <v>1</v>
      </c>
      <c r="C2" s="16">
        <v>2400</v>
      </c>
      <c r="D2" s="41">
        <v>44</v>
      </c>
      <c r="E2" s="18">
        <f>C2*D2</f>
        <v>105600</v>
      </c>
      <c r="F2" s="18">
        <f>E2*0.002</f>
        <v>211.20000000000002</v>
      </c>
      <c r="G2" s="18">
        <f>E2*0.00006</f>
        <v>6.3360000000000003</v>
      </c>
      <c r="H2" s="18">
        <f>E2*0.00001</f>
        <v>1.056</v>
      </c>
      <c r="I2" s="18">
        <f>(F2+G2+H2)*0.07</f>
        <v>15.301440000000005</v>
      </c>
      <c r="J2" s="18">
        <f>E2+F2+I2+G2+H2</f>
        <v>105833.89343999999</v>
      </c>
    </row>
    <row r="3" spans="1:14" s="13" customFormat="1" ht="12.75">
      <c r="A3" s="39">
        <v>44952</v>
      </c>
      <c r="B3" s="15" t="s">
        <v>1</v>
      </c>
      <c r="C3" s="16">
        <v>2400</v>
      </c>
      <c r="D3" s="17">
        <v>40</v>
      </c>
      <c r="E3" s="18">
        <f>C3*D3</f>
        <v>96000</v>
      </c>
      <c r="F3" s="18">
        <f>E3*0.002</f>
        <v>192</v>
      </c>
      <c r="G3" s="18">
        <f>E3*0.00006</f>
        <v>5.76</v>
      </c>
      <c r="H3" s="18">
        <f>E3*0.00001</f>
        <v>0.96000000000000008</v>
      </c>
      <c r="I3" s="18">
        <f>(F3+G3+H3)*0.07</f>
        <v>13.910400000000001</v>
      </c>
      <c r="J3" s="18">
        <f>E3+F3+I3+G3+H3</f>
        <v>96212.630399999995</v>
      </c>
      <c r="K3" s="32"/>
      <c r="L3" s="11"/>
      <c r="M3" s="12"/>
    </row>
    <row r="4" spans="1:14" s="63" customFormat="1" ht="21.75">
      <c r="A4" s="49"/>
      <c r="B4" s="75">
        <f>(D3-D2)/D2</f>
        <v>-9.0909090909090912E-2</v>
      </c>
      <c r="C4" s="16">
        <f>SUM(C2:C3)</f>
        <v>4800</v>
      </c>
      <c r="D4" s="40">
        <f>E4/C4</f>
        <v>42</v>
      </c>
      <c r="E4" s="16">
        <f>SUM(E2:E3)</f>
        <v>201600</v>
      </c>
      <c r="F4" s="16">
        <f>SUM(F2:F3)</f>
        <v>403.20000000000005</v>
      </c>
      <c r="G4" s="16">
        <f>SUM(G2:G3)</f>
        <v>12.096</v>
      </c>
      <c r="H4" s="16">
        <f>SUM(H2:H3)</f>
        <v>2.016</v>
      </c>
      <c r="I4" s="16">
        <f>SUM(I2:I3)</f>
        <v>29.211840000000006</v>
      </c>
      <c r="J4" s="16">
        <f>SUM(J2:J3)</f>
        <v>202046.52383999998</v>
      </c>
      <c r="K4" s="11"/>
      <c r="L4" s="13"/>
      <c r="M4" s="62"/>
      <c r="N4" s="62"/>
    </row>
    <row r="5" spans="1:14" s="13" customFormat="1" ht="12.75">
      <c r="A5" s="67">
        <v>44952</v>
      </c>
      <c r="B5" s="13" t="s">
        <v>1</v>
      </c>
      <c r="C5" s="10">
        <v>2400</v>
      </c>
      <c r="D5" s="11">
        <v>36</v>
      </c>
      <c r="E5" s="20">
        <f>C5*D5</f>
        <v>86400</v>
      </c>
      <c r="F5" s="20">
        <f>E5*0.002</f>
        <v>172.8</v>
      </c>
      <c r="G5" s="20">
        <f>E5*0.00006</f>
        <v>5.1840000000000002</v>
      </c>
      <c r="H5" s="20">
        <f>E5*0.00001</f>
        <v>0.8640000000000001</v>
      </c>
      <c r="I5" s="20">
        <f>(F5+G5+H5)*0.07</f>
        <v>12.519360000000002</v>
      </c>
      <c r="J5" s="20">
        <f>E5+F5+I5+G5+H5</f>
        <v>86591.367360000004</v>
      </c>
      <c r="K5" s="32"/>
      <c r="L5" s="11"/>
      <c r="M5" s="12"/>
    </row>
    <row r="6" spans="1:14" s="63" customFormat="1" ht="21.75">
      <c r="A6" s="56"/>
      <c r="B6" s="76">
        <f>(D5-D4)/D4</f>
        <v>-0.14285714285714285</v>
      </c>
      <c r="C6" s="10">
        <f>SUM(C4:C5)</f>
        <v>7200</v>
      </c>
      <c r="D6" s="64">
        <f>E6/C6</f>
        <v>40</v>
      </c>
      <c r="E6" s="10">
        <f>SUM(E4:E5)</f>
        <v>288000</v>
      </c>
      <c r="F6" s="10">
        <f>SUM(F4:F5)</f>
        <v>576</v>
      </c>
      <c r="G6" s="10">
        <f>SUM(G4:G5)</f>
        <v>17.28</v>
      </c>
      <c r="H6" s="10">
        <f>SUM(H4:H5)</f>
        <v>2.88</v>
      </c>
      <c r="I6" s="10">
        <f>SUM(I4:I5)</f>
        <v>41.731200000000008</v>
      </c>
      <c r="J6" s="10">
        <f>SUM(J4:J5)</f>
        <v>288637.89119999995</v>
      </c>
      <c r="K6" s="11"/>
      <c r="L6" s="13"/>
      <c r="M6" s="62"/>
      <c r="N6" s="62"/>
    </row>
    <row r="7" spans="1:14">
      <c r="A7" s="54"/>
      <c r="B7" s="55"/>
      <c r="C7" s="51"/>
      <c r="D7" s="52"/>
      <c r="E7" s="55"/>
      <c r="F7" s="55"/>
      <c r="G7" s="55"/>
      <c r="H7" s="55"/>
      <c r="I7" s="55"/>
      <c r="J7" s="55"/>
    </row>
    <row r="8" spans="1:14">
      <c r="A8" s="54"/>
      <c r="B8" s="55"/>
      <c r="C8" s="51"/>
      <c r="D8" s="52"/>
      <c r="E8" s="55"/>
      <c r="F8" s="55"/>
      <c r="G8" s="55"/>
      <c r="H8" s="55"/>
      <c r="I8" s="55"/>
      <c r="J8" s="55"/>
    </row>
    <row r="9" spans="1:14" s="63" customFormat="1" ht="21.75">
      <c r="A9" s="56">
        <v>44799</v>
      </c>
      <c r="C9" s="10">
        <f>C2</f>
        <v>2400</v>
      </c>
      <c r="D9" s="64">
        <v>0.4</v>
      </c>
      <c r="E9" s="60">
        <v>0</v>
      </c>
      <c r="F9" s="32">
        <v>0</v>
      </c>
      <c r="G9" s="60">
        <v>0</v>
      </c>
      <c r="H9" s="11">
        <f>G9-E9</f>
        <v>0</v>
      </c>
      <c r="I9" s="12">
        <v>0</v>
      </c>
      <c r="J9" s="61">
        <f>C9*D9*0.9</f>
        <v>864</v>
      </c>
      <c r="K9" s="11"/>
      <c r="L9" s="13"/>
      <c r="M9" s="62"/>
      <c r="N9" s="62"/>
    </row>
    <row r="10" spans="1:14">
      <c r="A10" s="56">
        <v>44242</v>
      </c>
      <c r="B10" s="13" t="s">
        <v>1</v>
      </c>
      <c r="C10" s="10">
        <f>C4</f>
        <v>4800</v>
      </c>
      <c r="D10" s="46">
        <f>D4</f>
        <v>42</v>
      </c>
      <c r="E10" s="20">
        <f>C10*D10</f>
        <v>201600</v>
      </c>
      <c r="F10" s="20">
        <f>E10*0.002</f>
        <v>403.2</v>
      </c>
      <c r="G10" s="20">
        <f>E10*0.00006</f>
        <v>12.096</v>
      </c>
      <c r="H10" s="20">
        <f>E10*0.00001</f>
        <v>2.016</v>
      </c>
      <c r="I10" s="20">
        <f>(F10+G10+H10)*0.07</f>
        <v>29.211840000000002</v>
      </c>
      <c r="J10" s="20">
        <f>E10+F10+I10+G10+H10</f>
        <v>202046.52384000001</v>
      </c>
    </row>
    <row r="11" spans="1:14">
      <c r="A11" s="56">
        <v>44277</v>
      </c>
      <c r="B11" s="13" t="s">
        <v>3</v>
      </c>
      <c r="C11" s="10">
        <f>C10</f>
        <v>4800</v>
      </c>
      <c r="D11" s="34">
        <v>44.5</v>
      </c>
      <c r="E11" s="11">
        <f>C11*D11</f>
        <v>213600</v>
      </c>
      <c r="F11" s="35">
        <f>E11*0.002</f>
        <v>427.2</v>
      </c>
      <c r="G11" s="34">
        <f>E11*0.000068</f>
        <v>14.524799999999999</v>
      </c>
      <c r="H11" s="34">
        <f>E11*0.00001</f>
        <v>2.1360000000000001</v>
      </c>
      <c r="I11" s="34">
        <f>(F11+G11+H11)*0.07</f>
        <v>31.070256000000001</v>
      </c>
      <c r="J11" s="34">
        <f>E11-F11-G11-H11-I11</f>
        <v>213125.06894399997</v>
      </c>
    </row>
    <row r="12" spans="1:14" ht="21.75">
      <c r="A12" s="56" t="s">
        <v>4</v>
      </c>
      <c r="B12" s="76">
        <f>(D11-D10)/D10</f>
        <v>5.9523809523809521E-2</v>
      </c>
      <c r="C12" s="10"/>
      <c r="D12" s="11"/>
      <c r="E12" s="20">
        <f>E11-E10</f>
        <v>12000</v>
      </c>
      <c r="F12" s="20"/>
      <c r="G12" s="20"/>
      <c r="H12" s="20"/>
      <c r="I12" s="20"/>
      <c r="J12" s="20">
        <f>J11-J10</f>
        <v>11078.545103999961</v>
      </c>
    </row>
    <row r="13" spans="1:14">
      <c r="J13" s="53">
        <f>J9+J12</f>
        <v>11942.545103999961</v>
      </c>
    </row>
    <row r="14" spans="1:14" s="78" customFormat="1">
      <c r="A14" s="82"/>
      <c r="B14" s="83"/>
      <c r="C14" s="84"/>
      <c r="D14" s="85"/>
      <c r="E14" s="86"/>
      <c r="F14" s="86"/>
      <c r="G14" s="86"/>
      <c r="H14" s="86"/>
      <c r="I14" s="86"/>
      <c r="J14" s="86"/>
    </row>
    <row r="15" spans="1:14" s="13" customFormat="1">
      <c r="A15" s="49"/>
      <c r="B15" s="15"/>
      <c r="C15" s="16"/>
      <c r="D15" s="26"/>
      <c r="E15" s="17"/>
      <c r="F15" s="27"/>
      <c r="G15" s="26"/>
      <c r="H15" s="26"/>
      <c r="I15" s="26"/>
      <c r="J15" s="26"/>
    </row>
    <row r="16" spans="1:14" s="31" customFormat="1" ht="18.75">
      <c r="A16" s="28"/>
      <c r="B16" s="30"/>
      <c r="C16" s="16"/>
      <c r="D16" s="17"/>
      <c r="E16" s="18"/>
      <c r="F16" s="18"/>
      <c r="G16" s="18"/>
      <c r="H16" s="18"/>
      <c r="I16" s="18"/>
      <c r="J16" s="18"/>
      <c r="K16" s="32"/>
      <c r="L16" s="12"/>
      <c r="M16" s="12"/>
    </row>
    <row r="17" spans="1:13" s="21" customFormat="1">
      <c r="A17" s="49"/>
      <c r="B17" s="15"/>
      <c r="C17" s="16"/>
      <c r="D17" s="17"/>
      <c r="E17" s="18"/>
      <c r="F17" s="18"/>
      <c r="G17" s="18"/>
      <c r="H17" s="18"/>
      <c r="I17" s="18"/>
      <c r="J17" s="18"/>
      <c r="L17" s="25"/>
    </row>
    <row r="18" spans="1:13" s="13" customFormat="1">
      <c r="A18" s="49"/>
      <c r="B18" s="15"/>
      <c r="C18" s="16"/>
      <c r="D18" s="26"/>
      <c r="E18" s="17"/>
      <c r="F18" s="27"/>
      <c r="G18" s="26"/>
      <c r="H18" s="26"/>
      <c r="I18" s="26"/>
      <c r="J18" s="26"/>
    </row>
    <row r="19" spans="1:13" s="31" customFormat="1" ht="18.75">
      <c r="A19" s="28"/>
      <c r="B19" s="30"/>
      <c r="C19" s="16"/>
      <c r="D19" s="17"/>
      <c r="E19" s="18"/>
      <c r="F19" s="18"/>
      <c r="G19" s="18"/>
      <c r="H19" s="18"/>
      <c r="I19" s="18"/>
      <c r="J19" s="18"/>
      <c r="K19" s="32"/>
      <c r="L19" s="12"/>
      <c r="M19" s="12"/>
    </row>
    <row r="20" spans="1:13" ht="12"/>
    <row r="21" spans="1:13" ht="12"/>
    <row r="22" spans="1:13" ht="12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9"/>
  <sheetViews>
    <sheetView topLeftCell="A15" workbookViewId="0">
      <selection activeCell="B30" sqref="B30"/>
    </sheetView>
  </sheetViews>
  <sheetFormatPr defaultColWidth="8.875" defaultRowHeight="14.25"/>
  <cols>
    <col min="1" max="1" width="10.125" style="43" customWidth="1"/>
    <col min="2" max="2" width="7.125" style="1" customWidth="1"/>
    <col min="3" max="3" width="7.375" style="1" bestFit="1" customWidth="1"/>
    <col min="4" max="4" width="7.625" style="45" bestFit="1" customWidth="1"/>
    <col min="5" max="5" width="11.25" style="1" customWidth="1"/>
    <col min="6" max="6" width="8.875" style="1"/>
    <col min="7" max="7" width="10" style="1" bestFit="1" customWidth="1"/>
    <col min="8" max="8" width="5.75" style="1" customWidth="1"/>
    <col min="9" max="9" width="6.75" style="1" customWidth="1"/>
    <col min="10" max="10" width="11.25" style="1" customWidth="1"/>
    <col min="11" max="16384" width="8.875" style="1"/>
  </cols>
  <sheetData>
    <row r="1" spans="1:11">
      <c r="B1" s="1" t="s">
        <v>19</v>
      </c>
    </row>
    <row r="2" spans="1:11" s="19" customFormat="1" ht="16.5">
      <c r="A2" s="14">
        <v>43237</v>
      </c>
      <c r="B2" s="15" t="s">
        <v>1</v>
      </c>
      <c r="C2" s="16">
        <v>60000</v>
      </c>
      <c r="D2" s="40">
        <v>10.7</v>
      </c>
      <c r="E2" s="18">
        <f>C2*D2</f>
        <v>642000</v>
      </c>
      <c r="F2" s="18">
        <f>E2*0.002</f>
        <v>1284</v>
      </c>
      <c r="G2" s="18">
        <f>E2*0.00006</f>
        <v>38.520000000000003</v>
      </c>
      <c r="H2" s="18">
        <f>E2*0.00001</f>
        <v>6.4200000000000008</v>
      </c>
      <c r="I2" s="18">
        <f>(F2+G2+H2)*0.07</f>
        <v>93.025800000000018</v>
      </c>
      <c r="J2" s="18">
        <f>E2+F2+I2+G2+H2</f>
        <v>643421.96580000001</v>
      </c>
    </row>
    <row r="3" spans="1:11" s="21" customFormat="1">
      <c r="A3" s="14">
        <v>43739</v>
      </c>
      <c r="B3" s="15" t="s">
        <v>1</v>
      </c>
      <c r="C3" s="16">
        <v>20000</v>
      </c>
      <c r="D3" s="41">
        <v>10.5</v>
      </c>
      <c r="E3" s="18">
        <f>C3*D3</f>
        <v>210000</v>
      </c>
      <c r="F3" s="18">
        <f>E3*0.002</f>
        <v>420</v>
      </c>
      <c r="G3" s="18">
        <f>E3*0.000068</f>
        <v>14.28</v>
      </c>
      <c r="H3" s="18">
        <f>E3*0.00001</f>
        <v>2.1</v>
      </c>
      <c r="I3" s="18">
        <f>(F3+G3+H3)*0.07</f>
        <v>30.546600000000002</v>
      </c>
      <c r="J3" s="18">
        <f>E3+F3+I3+G3+H3</f>
        <v>210466.92660000001</v>
      </c>
    </row>
    <row r="4" spans="1:11" s="21" customFormat="1">
      <c r="A4" s="42"/>
      <c r="B4" s="4"/>
      <c r="C4" s="5">
        <f>SUM(C2:C3)</f>
        <v>80000</v>
      </c>
      <c r="D4" s="36">
        <f>E4/C4</f>
        <v>10.65</v>
      </c>
      <c r="E4" s="5">
        <f t="shared" ref="E4:J4" si="0">SUM(E2:E3)</f>
        <v>852000</v>
      </c>
      <c r="F4" s="5">
        <f t="shared" si="0"/>
        <v>1704</v>
      </c>
      <c r="G4" s="5">
        <f t="shared" si="0"/>
        <v>52.800000000000004</v>
      </c>
      <c r="H4" s="5">
        <f t="shared" si="0"/>
        <v>8.5200000000000014</v>
      </c>
      <c r="I4" s="5">
        <f t="shared" si="0"/>
        <v>123.57240000000002</v>
      </c>
      <c r="J4" s="5">
        <f t="shared" si="0"/>
        <v>853888.89240000001</v>
      </c>
      <c r="K4" s="25"/>
    </row>
    <row r="5" spans="1:11" s="21" customFormat="1">
      <c r="A5" s="14">
        <v>43739</v>
      </c>
      <c r="B5" s="15" t="s">
        <v>1</v>
      </c>
      <c r="C5" s="16">
        <v>10000</v>
      </c>
      <c r="D5" s="41">
        <v>10.199999999999999</v>
      </c>
      <c r="E5" s="18">
        <f>C5*D5</f>
        <v>102000</v>
      </c>
      <c r="F5" s="18">
        <f>E5*0.002</f>
        <v>204</v>
      </c>
      <c r="G5" s="18">
        <f>E5*0.000068</f>
        <v>6.9359999999999999</v>
      </c>
      <c r="H5" s="18">
        <f>E5*0.00001</f>
        <v>1.02</v>
      </c>
      <c r="I5" s="18">
        <f>(F5+G5+H5)*0.07</f>
        <v>14.836920000000003</v>
      </c>
      <c r="J5" s="18">
        <f>E5+F5+I5+G5+H5</f>
        <v>102226.79292000001</v>
      </c>
    </row>
    <row r="6" spans="1:11" s="21" customFormat="1">
      <c r="A6" s="42"/>
      <c r="B6" s="4"/>
      <c r="C6" s="5">
        <f>SUM(C4:C5)</f>
        <v>90000</v>
      </c>
      <c r="D6" s="36">
        <f>E6/C6</f>
        <v>10.6</v>
      </c>
      <c r="E6" s="48">
        <f t="shared" ref="E6:J6" si="1">SUM(E4:E5)</f>
        <v>954000</v>
      </c>
      <c r="F6" s="5">
        <f t="shared" si="1"/>
        <v>1908</v>
      </c>
      <c r="G6" s="5">
        <f t="shared" si="1"/>
        <v>59.736000000000004</v>
      </c>
      <c r="H6" s="5">
        <f t="shared" si="1"/>
        <v>9.5400000000000009</v>
      </c>
      <c r="I6" s="5">
        <f t="shared" si="1"/>
        <v>138.40932000000001</v>
      </c>
      <c r="J6" s="5">
        <f t="shared" si="1"/>
        <v>956115.68532000005</v>
      </c>
      <c r="K6" s="25"/>
    </row>
    <row r="7" spans="1:11" s="21" customFormat="1">
      <c r="A7" s="14">
        <v>43739</v>
      </c>
      <c r="B7" s="15" t="s">
        <v>6</v>
      </c>
      <c r="C7" s="16">
        <v>100000</v>
      </c>
      <c r="D7" s="41">
        <v>10.1</v>
      </c>
      <c r="E7" s="18">
        <f>C7*D7</f>
        <v>1010000</v>
      </c>
      <c r="F7" s="18">
        <f>E7*0.002</f>
        <v>2020</v>
      </c>
      <c r="G7" s="18">
        <f>E7*0.000068</f>
        <v>68.679999999999993</v>
      </c>
      <c r="H7" s="18">
        <f>E7*0.00001</f>
        <v>10.100000000000001</v>
      </c>
      <c r="I7" s="18">
        <f>(F7+G7+H7)*0.07</f>
        <v>146.91460000000001</v>
      </c>
      <c r="J7" s="18">
        <f>E7+F7+I7+G7+H7</f>
        <v>1012245.6946</v>
      </c>
    </row>
    <row r="8" spans="1:11" s="21" customFormat="1">
      <c r="A8" s="14">
        <v>44088</v>
      </c>
      <c r="B8" s="15" t="s">
        <v>1</v>
      </c>
      <c r="C8" s="16">
        <v>10000</v>
      </c>
      <c r="D8" s="41">
        <v>9.6</v>
      </c>
      <c r="E8" s="18">
        <f>C8*D8</f>
        <v>96000</v>
      </c>
      <c r="F8" s="18">
        <f>E8*0.002</f>
        <v>192</v>
      </c>
      <c r="G8" s="18">
        <f>E8*0.000068</f>
        <v>6.5279999999999996</v>
      </c>
      <c r="H8" s="18">
        <f>E8*0.00001</f>
        <v>0.96000000000000008</v>
      </c>
      <c r="I8" s="18">
        <f>(F8+G8+H8)*0.07</f>
        <v>13.964160000000001</v>
      </c>
      <c r="J8" s="18">
        <f>E8+F8+I8+G8+H8</f>
        <v>96213.452160000015</v>
      </c>
    </row>
    <row r="9" spans="1:11" s="21" customFormat="1">
      <c r="A9" s="42"/>
      <c r="B9" s="4"/>
      <c r="C9" s="5">
        <f>SUM(C7:C8)</f>
        <v>110000</v>
      </c>
      <c r="D9" s="36">
        <f>E9/C9</f>
        <v>10.054545454545455</v>
      </c>
      <c r="E9" s="48">
        <f t="shared" ref="E9:J9" si="2">SUM(E7:E8)</f>
        <v>1106000</v>
      </c>
      <c r="F9" s="5">
        <f t="shared" si="2"/>
        <v>2212</v>
      </c>
      <c r="G9" s="5">
        <f t="shared" si="2"/>
        <v>75.207999999999998</v>
      </c>
      <c r="H9" s="5">
        <f t="shared" si="2"/>
        <v>11.060000000000002</v>
      </c>
      <c r="I9" s="5">
        <f t="shared" si="2"/>
        <v>160.87876</v>
      </c>
      <c r="J9" s="5">
        <f t="shared" si="2"/>
        <v>1108459.1467600001</v>
      </c>
      <c r="K9" s="25"/>
    </row>
    <row r="10" spans="1:11" s="21" customFormat="1">
      <c r="A10" s="14">
        <v>44089</v>
      </c>
      <c r="B10" s="15" t="s">
        <v>1</v>
      </c>
      <c r="C10" s="16">
        <v>10000</v>
      </c>
      <c r="D10" s="41">
        <v>9.6</v>
      </c>
      <c r="E10" s="18">
        <f>C10*D10</f>
        <v>96000</v>
      </c>
      <c r="F10" s="18">
        <f>E10*0.002</f>
        <v>192</v>
      </c>
      <c r="G10" s="18">
        <f>E10*0.000068</f>
        <v>6.5279999999999996</v>
      </c>
      <c r="H10" s="18">
        <f>E10*0.00001</f>
        <v>0.96000000000000008</v>
      </c>
      <c r="I10" s="18">
        <f>(F10+G10+H10)*0.07</f>
        <v>13.964160000000001</v>
      </c>
      <c r="J10" s="18">
        <f>E10+F10+I10+G10+H10</f>
        <v>96213.452160000015</v>
      </c>
    </row>
    <row r="11" spans="1:11" s="21" customFormat="1">
      <c r="A11" s="42"/>
      <c r="B11" s="4"/>
      <c r="C11" s="5">
        <f>SUM(C9:C10)</f>
        <v>120000</v>
      </c>
      <c r="D11" s="36">
        <f>E11/C11</f>
        <v>10.016666666666667</v>
      </c>
      <c r="E11" s="48">
        <f t="shared" ref="E11:J11" si="3">SUM(E9:E10)</f>
        <v>1202000</v>
      </c>
      <c r="F11" s="5">
        <f t="shared" si="3"/>
        <v>2404</v>
      </c>
      <c r="G11" s="5">
        <f t="shared" si="3"/>
        <v>81.736000000000004</v>
      </c>
      <c r="H11" s="5">
        <f t="shared" si="3"/>
        <v>12.020000000000003</v>
      </c>
      <c r="I11" s="5">
        <f t="shared" si="3"/>
        <v>174.84291999999999</v>
      </c>
      <c r="J11" s="5">
        <f t="shared" si="3"/>
        <v>1204672.5989200003</v>
      </c>
      <c r="K11" s="25"/>
    </row>
    <row r="12" spans="1:11" s="21" customFormat="1">
      <c r="A12" s="14">
        <v>44146</v>
      </c>
      <c r="B12" s="15" t="s">
        <v>1</v>
      </c>
      <c r="C12" s="16">
        <v>10000</v>
      </c>
      <c r="D12" s="41">
        <v>9.8000000000000007</v>
      </c>
      <c r="E12" s="18">
        <f>C12*D12</f>
        <v>98000</v>
      </c>
      <c r="F12" s="18">
        <f>E12*0.002</f>
        <v>196</v>
      </c>
      <c r="G12" s="18">
        <f>E12*0.000068</f>
        <v>6.6639999999999997</v>
      </c>
      <c r="H12" s="18">
        <f>E12*0.00001</f>
        <v>0.98000000000000009</v>
      </c>
      <c r="I12" s="18">
        <f>(F12+G12+H12)*0.07</f>
        <v>14.25508</v>
      </c>
      <c r="J12" s="18">
        <f>E12+F12+I12+G12+H12</f>
        <v>98217.899080000003</v>
      </c>
    </row>
    <row r="13" spans="1:11" s="21" customFormat="1">
      <c r="A13" s="42"/>
      <c r="B13" s="4"/>
      <c r="C13" s="5">
        <f>SUM(C11:C12)</f>
        <v>130000</v>
      </c>
      <c r="D13" s="36">
        <f>E13/C13</f>
        <v>10</v>
      </c>
      <c r="E13" s="48">
        <f t="shared" ref="E13:J13" si="4">SUM(E11:E12)</f>
        <v>1300000</v>
      </c>
      <c r="F13" s="5">
        <f t="shared" si="4"/>
        <v>2600</v>
      </c>
      <c r="G13" s="5">
        <f t="shared" si="4"/>
        <v>88.4</v>
      </c>
      <c r="H13" s="5">
        <f t="shared" si="4"/>
        <v>13.000000000000004</v>
      </c>
      <c r="I13" s="5">
        <f t="shared" si="4"/>
        <v>189.09799999999998</v>
      </c>
      <c r="J13" s="5">
        <f t="shared" si="4"/>
        <v>1302890.4980000001</v>
      </c>
      <c r="K13" s="25"/>
    </row>
    <row r="14" spans="1:11" s="21" customFormat="1">
      <c r="A14" s="14">
        <v>44467</v>
      </c>
      <c r="B14" s="15" t="s">
        <v>2</v>
      </c>
      <c r="C14" s="16">
        <v>120000</v>
      </c>
      <c r="D14" s="41">
        <v>10</v>
      </c>
      <c r="E14" s="18">
        <f>C14*D14</f>
        <v>1200000</v>
      </c>
      <c r="F14" s="18">
        <f>E14*0.002</f>
        <v>2400</v>
      </c>
      <c r="G14" s="18">
        <f>E14*0.000068</f>
        <v>81.599999999999994</v>
      </c>
      <c r="H14" s="18">
        <f>E14*0.00001</f>
        <v>12.000000000000002</v>
      </c>
      <c r="I14" s="18">
        <f>(F14+G14+H14)*0.07</f>
        <v>174.55200000000002</v>
      </c>
      <c r="J14" s="18">
        <f>E14+F14+I14+G14+H14</f>
        <v>1202668.152</v>
      </c>
    </row>
    <row r="15" spans="1:11" s="21" customFormat="1">
      <c r="A15" s="14">
        <v>44475</v>
      </c>
      <c r="B15" s="15" t="s">
        <v>2</v>
      </c>
      <c r="C15" s="16">
        <v>110000</v>
      </c>
      <c r="D15" s="41">
        <v>10</v>
      </c>
      <c r="E15" s="18">
        <f>C15*D15</f>
        <v>1100000</v>
      </c>
      <c r="F15" s="18">
        <f>E15*0.002</f>
        <v>2200</v>
      </c>
      <c r="G15" s="18">
        <f>E15*0.000068</f>
        <v>74.8</v>
      </c>
      <c r="H15" s="18">
        <f>E15*0.00001</f>
        <v>11.000000000000002</v>
      </c>
      <c r="I15" s="18">
        <f>(F15+G15+H15)*0.07</f>
        <v>160.00600000000003</v>
      </c>
      <c r="J15" s="18">
        <f>E15+F15+I15+G15+H15</f>
        <v>1102445.8060000001</v>
      </c>
    </row>
    <row r="16" spans="1:11" s="21" customFormat="1">
      <c r="A16" s="14">
        <v>44480</v>
      </c>
      <c r="B16" s="15" t="s">
        <v>2</v>
      </c>
      <c r="C16" s="16">
        <v>100000</v>
      </c>
      <c r="D16" s="41">
        <v>10</v>
      </c>
      <c r="E16" s="18">
        <f>C16*D16</f>
        <v>1000000</v>
      </c>
      <c r="F16" s="18">
        <f>E16*0.002</f>
        <v>2000</v>
      </c>
      <c r="G16" s="18">
        <f>E16*0.000068</f>
        <v>68</v>
      </c>
      <c r="H16" s="18">
        <f>E16*0.00001</f>
        <v>10</v>
      </c>
      <c r="I16" s="18">
        <f>(F16+G16+H16)*0.07</f>
        <v>145.46</v>
      </c>
      <c r="J16" s="18">
        <f>E16+F16+I16+G16+H16</f>
        <v>1002223.46</v>
      </c>
    </row>
    <row r="17" spans="1:13" s="21" customFormat="1">
      <c r="A17" s="14">
        <v>44700</v>
      </c>
      <c r="B17" s="15" t="s">
        <v>1</v>
      </c>
      <c r="C17" s="16">
        <v>10000</v>
      </c>
      <c r="D17" s="41">
        <v>11</v>
      </c>
      <c r="E17" s="18">
        <f>C17*D17</f>
        <v>110000</v>
      </c>
      <c r="F17" s="18">
        <f>E17*0.002</f>
        <v>220</v>
      </c>
      <c r="G17" s="18">
        <f>E17*0.000068</f>
        <v>7.4799999999999995</v>
      </c>
      <c r="H17" s="18">
        <f>E17*0.00001</f>
        <v>1.1000000000000001</v>
      </c>
      <c r="I17" s="18">
        <f>(F17+G17+H17)*0.07</f>
        <v>16.000600000000002</v>
      </c>
      <c r="J17" s="18">
        <f>E17+F17+I17+G17+H17</f>
        <v>110244.5806</v>
      </c>
    </row>
    <row r="18" spans="1:13" s="21" customFormat="1" ht="12.75">
      <c r="A18" s="42"/>
      <c r="B18" s="4"/>
      <c r="C18" s="5">
        <f>SUM(C16:C17)</f>
        <v>110000</v>
      </c>
      <c r="D18" s="36">
        <v>10.1</v>
      </c>
      <c r="E18" s="18">
        <f>C18*D18</f>
        <v>1111000</v>
      </c>
      <c r="F18" s="18">
        <f>E18*0.002</f>
        <v>2222</v>
      </c>
      <c r="G18" s="18">
        <f>E18*0.000068</f>
        <v>75.548000000000002</v>
      </c>
      <c r="H18" s="18">
        <f>E18*0.00001</f>
        <v>11.110000000000001</v>
      </c>
      <c r="I18" s="18">
        <f>(F18+G18+H18)*0.07</f>
        <v>161.60606000000001</v>
      </c>
      <c r="J18" s="18">
        <f>E18+F18+I18+G18+H18</f>
        <v>1113470.26406</v>
      </c>
      <c r="K18" s="25"/>
    </row>
    <row r="19" spans="1:13" s="21" customFormat="1" ht="12.75">
      <c r="A19" s="14">
        <v>44735</v>
      </c>
      <c r="B19" s="15" t="s">
        <v>1</v>
      </c>
      <c r="C19" s="16">
        <v>10000</v>
      </c>
      <c r="D19" s="41">
        <v>9.75</v>
      </c>
      <c r="E19" s="18">
        <f>C19*D19</f>
        <v>97500</v>
      </c>
      <c r="F19" s="18">
        <f>E19*0.002</f>
        <v>195</v>
      </c>
      <c r="G19" s="18">
        <f>E19*0.000068</f>
        <v>6.63</v>
      </c>
      <c r="H19" s="18">
        <f>E19*0.00001</f>
        <v>0.97500000000000009</v>
      </c>
      <c r="I19" s="18">
        <f>(F19+G19+H19)*0.07</f>
        <v>14.182350000000001</v>
      </c>
      <c r="J19" s="18">
        <f>E19+F19+I19+G19+H19</f>
        <v>97716.787350000013</v>
      </c>
    </row>
    <row r="20" spans="1:13" s="21" customFormat="1" ht="12.75">
      <c r="A20" s="42"/>
      <c r="B20" s="4"/>
      <c r="C20" s="5">
        <f>SUM(C18:C19)</f>
        <v>120000</v>
      </c>
      <c r="D20" s="36">
        <f>E20/C20</f>
        <v>10.070833333333333</v>
      </c>
      <c r="E20" s="48">
        <f t="shared" ref="E20:J20" si="5">SUM(E18:E19)</f>
        <v>1208500</v>
      </c>
      <c r="F20" s="5">
        <f t="shared" si="5"/>
        <v>2417</v>
      </c>
      <c r="G20" s="5">
        <f t="shared" si="5"/>
        <v>82.177999999999997</v>
      </c>
      <c r="H20" s="5">
        <f t="shared" si="5"/>
        <v>12.085000000000001</v>
      </c>
      <c r="I20" s="5">
        <f t="shared" si="5"/>
        <v>175.78841000000003</v>
      </c>
      <c r="J20" s="5">
        <f t="shared" si="5"/>
        <v>1211187.0514100001</v>
      </c>
      <c r="K20" s="25"/>
    </row>
    <row r="21" spans="1:13" s="21" customFormat="1" ht="12.75">
      <c r="A21" s="14">
        <v>44746</v>
      </c>
      <c r="B21" s="15" t="s">
        <v>1</v>
      </c>
      <c r="C21" s="16">
        <v>10000</v>
      </c>
      <c r="D21" s="41">
        <v>9.15</v>
      </c>
      <c r="E21" s="18">
        <f>C21*D21</f>
        <v>91500</v>
      </c>
      <c r="F21" s="18">
        <f>E21*0.002</f>
        <v>183</v>
      </c>
      <c r="G21" s="18">
        <f>E21*0.000068</f>
        <v>6.2219999999999995</v>
      </c>
      <c r="H21" s="18">
        <f>E21*0.00001</f>
        <v>0.91500000000000004</v>
      </c>
      <c r="I21" s="18">
        <f>(F21+G21+H21)*0.07</f>
        <v>13.309590000000002</v>
      </c>
      <c r="J21" s="18">
        <f>E21+F21+I21+G21+H21</f>
        <v>91703.446589999992</v>
      </c>
    </row>
    <row r="22" spans="1:13" s="21" customFormat="1" ht="12.75">
      <c r="A22" s="28" t="s">
        <v>4</v>
      </c>
      <c r="B22" s="30">
        <f>(D21-D20)/D20</f>
        <v>-9.1435664046338364E-2</v>
      </c>
      <c r="C22" s="5">
        <f>SUM(C20:C21)</f>
        <v>130000</v>
      </c>
      <c r="D22" s="36">
        <f>E22/C22</f>
        <v>10</v>
      </c>
      <c r="E22" s="48">
        <f t="shared" ref="E22:J22" si="6">SUM(E20:E21)</f>
        <v>1300000</v>
      </c>
      <c r="F22" s="5">
        <f t="shared" si="6"/>
        <v>2600</v>
      </c>
      <c r="G22" s="5">
        <f t="shared" si="6"/>
        <v>88.399999999999991</v>
      </c>
      <c r="H22" s="5">
        <f t="shared" si="6"/>
        <v>13</v>
      </c>
      <c r="I22" s="5">
        <f t="shared" si="6"/>
        <v>189.09800000000004</v>
      </c>
      <c r="J22" s="5">
        <f t="shared" si="6"/>
        <v>1302890.4980000001</v>
      </c>
      <c r="K22" s="25"/>
    </row>
    <row r="23" spans="1:13" s="21" customFormat="1" ht="12.75">
      <c r="A23" s="8">
        <v>44812</v>
      </c>
      <c r="B23" s="13" t="s">
        <v>1</v>
      </c>
      <c r="C23" s="10">
        <v>10000</v>
      </c>
      <c r="D23" s="46">
        <v>7.2</v>
      </c>
      <c r="E23" s="20">
        <f>C23*D23</f>
        <v>72000</v>
      </c>
      <c r="F23" s="20">
        <f>E23*0.002</f>
        <v>144</v>
      </c>
      <c r="G23" s="20">
        <f>E23*0.000068</f>
        <v>4.8959999999999999</v>
      </c>
      <c r="H23" s="20">
        <f>E23*0.00001</f>
        <v>0.72000000000000008</v>
      </c>
      <c r="I23" s="20">
        <f>(F23+G23+H23)*0.07</f>
        <v>10.47312</v>
      </c>
      <c r="J23" s="20">
        <f>E23+F23+I23+G23+H23</f>
        <v>72160.08911999999</v>
      </c>
    </row>
    <row r="24" spans="1:13" s="21" customFormat="1" ht="12.75">
      <c r="A24" s="9" t="s">
        <v>4</v>
      </c>
      <c r="B24" s="12">
        <f>(D23-D22)/D22</f>
        <v>-0.27999999999999997</v>
      </c>
      <c r="C24" s="22">
        <f>SUM(C22:C23)</f>
        <v>140000</v>
      </c>
      <c r="D24" s="33">
        <f>E24/C24</f>
        <v>9.8000000000000007</v>
      </c>
      <c r="E24" s="95">
        <f t="shared" ref="E24:J24" si="7">SUM(E22:E23)</f>
        <v>1372000</v>
      </c>
      <c r="F24" s="22">
        <f t="shared" si="7"/>
        <v>2744</v>
      </c>
      <c r="G24" s="22">
        <f t="shared" si="7"/>
        <v>93.295999999999992</v>
      </c>
      <c r="H24" s="22">
        <f t="shared" si="7"/>
        <v>13.72</v>
      </c>
      <c r="I24" s="22">
        <f t="shared" si="7"/>
        <v>199.57112000000004</v>
      </c>
      <c r="J24" s="22">
        <f t="shared" si="7"/>
        <v>1375050.58712</v>
      </c>
      <c r="K24" s="25"/>
    </row>
    <row r="25" spans="1:13" s="21" customFormat="1" ht="12.75">
      <c r="A25" s="8">
        <v>44746</v>
      </c>
      <c r="B25" s="13" t="s">
        <v>1</v>
      </c>
      <c r="C25" s="10">
        <v>10000</v>
      </c>
      <c r="D25" s="46">
        <v>6.8</v>
      </c>
      <c r="E25" s="20">
        <f>C25*D25</f>
        <v>68000</v>
      </c>
      <c r="F25" s="20">
        <f>E25*0.002</f>
        <v>136</v>
      </c>
      <c r="G25" s="20">
        <f>E25*0.000068</f>
        <v>4.6239999999999997</v>
      </c>
      <c r="H25" s="20">
        <f>E25*0.00001</f>
        <v>0.68</v>
      </c>
      <c r="I25" s="20">
        <f>(F25+G25+H25)*0.07</f>
        <v>9.8912800000000018</v>
      </c>
      <c r="J25" s="20">
        <f>E25+F25+I25+G25+H25</f>
        <v>68151.195279999985</v>
      </c>
    </row>
    <row r="26" spans="1:13" s="21" customFormat="1" ht="12.75">
      <c r="A26" s="9" t="s">
        <v>4</v>
      </c>
      <c r="B26" s="12">
        <f>(D25-D24)/D24</f>
        <v>-0.3061224489795919</v>
      </c>
      <c r="C26" s="22">
        <f>SUM(C24:C25)</f>
        <v>150000</v>
      </c>
      <c r="D26" s="33">
        <f>E26/C26</f>
        <v>9.6</v>
      </c>
      <c r="E26" s="95">
        <f t="shared" ref="E26:J26" si="8">SUM(E24:E25)</f>
        <v>1440000</v>
      </c>
      <c r="F26" s="22">
        <f t="shared" si="8"/>
        <v>2880</v>
      </c>
      <c r="G26" s="22">
        <f t="shared" si="8"/>
        <v>97.919999999999987</v>
      </c>
      <c r="H26" s="22">
        <f t="shared" si="8"/>
        <v>14.4</v>
      </c>
      <c r="I26" s="22">
        <f t="shared" si="8"/>
        <v>209.46240000000003</v>
      </c>
      <c r="J26" s="22">
        <f t="shared" si="8"/>
        <v>1443201.7823999999</v>
      </c>
      <c r="K26" s="25"/>
    </row>
    <row r="27" spans="1:13" s="21" customFormat="1" ht="12.75">
      <c r="A27" s="9"/>
      <c r="B27" s="12"/>
      <c r="C27" s="22"/>
      <c r="D27" s="33"/>
      <c r="E27" s="95"/>
      <c r="F27" s="22"/>
      <c r="G27" s="22"/>
      <c r="H27" s="22"/>
      <c r="I27" s="22"/>
      <c r="J27" s="22"/>
      <c r="K27" s="25"/>
    </row>
    <row r="28" spans="1:13" s="21" customFormat="1" ht="12.75">
      <c r="A28" s="49">
        <v>44812</v>
      </c>
      <c r="B28" s="15" t="s">
        <v>1</v>
      </c>
      <c r="C28" s="16">
        <v>10000</v>
      </c>
      <c r="D28" s="17">
        <v>7.85</v>
      </c>
      <c r="E28" s="18">
        <f>C28*D28</f>
        <v>78500</v>
      </c>
      <c r="F28" s="18">
        <f>E28*0.002</f>
        <v>157</v>
      </c>
      <c r="G28" s="18">
        <f>E28*0.000068</f>
        <v>5.3380000000000001</v>
      </c>
      <c r="H28" s="18">
        <f>E28*0.00001</f>
        <v>0.78500000000000003</v>
      </c>
      <c r="I28" s="18">
        <f>(F28+G28+H28)*0.07</f>
        <v>11.418610000000001</v>
      </c>
      <c r="J28" s="18">
        <f>E28+F28+I28+G28+H28</f>
        <v>78674.54161</v>
      </c>
      <c r="L28" s="25"/>
    </row>
    <row r="29" spans="1:13" s="13" customFormat="1" ht="12.75">
      <c r="A29" s="49">
        <v>44813</v>
      </c>
      <c r="B29" s="15" t="s">
        <v>3</v>
      </c>
      <c r="C29" s="16">
        <f>C28</f>
        <v>10000</v>
      </c>
      <c r="D29" s="26">
        <v>8.25</v>
      </c>
      <c r="E29" s="17">
        <f>C29*D29</f>
        <v>82500</v>
      </c>
      <c r="F29" s="27">
        <f>E29*0.002</f>
        <v>165</v>
      </c>
      <c r="G29" s="26">
        <f>E29*0.000068</f>
        <v>5.61</v>
      </c>
      <c r="H29" s="26">
        <f>E29*0.00001</f>
        <v>0.82500000000000007</v>
      </c>
      <c r="I29" s="26">
        <f>(F29+G29+H29)*0.07</f>
        <v>12.000450000000001</v>
      </c>
      <c r="J29" s="26">
        <f>E29-F29-G29-H29-I29</f>
        <v>82316.564549999996</v>
      </c>
    </row>
    <row r="30" spans="1:13" s="31" customFormat="1" ht="18.75">
      <c r="A30" s="28">
        <f>DAYS360(A28,A29)</f>
        <v>1</v>
      </c>
      <c r="B30" s="30">
        <f>(D29-D28)/D28</f>
        <v>5.0955414012738898E-2</v>
      </c>
      <c r="C30" s="16"/>
      <c r="D30" s="17"/>
      <c r="E30" s="18">
        <f>E29-E28</f>
        <v>4000</v>
      </c>
      <c r="F30" s="18"/>
      <c r="G30" s="18"/>
      <c r="H30" s="18"/>
      <c r="I30" s="18"/>
      <c r="J30" s="18">
        <f>J29-J28</f>
        <v>3642.0229399999953</v>
      </c>
      <c r="K30" s="32"/>
      <c r="L30" s="12"/>
      <c r="M30" s="12"/>
    </row>
    <row r="31" spans="1:13" s="21" customFormat="1">
      <c r="A31" s="8"/>
      <c r="B31" s="13"/>
      <c r="C31" s="10"/>
      <c r="D31" s="11"/>
      <c r="E31" s="20"/>
      <c r="F31" s="20"/>
      <c r="G31" s="20"/>
      <c r="H31" s="20"/>
      <c r="I31" s="20"/>
      <c r="J31" s="20"/>
    </row>
    <row r="32" spans="1:13" s="13" customFormat="1">
      <c r="A32" s="8"/>
      <c r="C32" s="10"/>
      <c r="D32" s="34"/>
      <c r="E32" s="11"/>
      <c r="F32" s="35"/>
      <c r="G32" s="34"/>
      <c r="H32" s="34"/>
      <c r="I32" s="34"/>
      <c r="J32" s="34"/>
    </row>
    <row r="33" spans="1:11" s="31" customFormat="1" ht="18.75">
      <c r="A33" s="9"/>
      <c r="B33" s="13"/>
      <c r="C33" s="10"/>
      <c r="D33" s="11"/>
      <c r="E33" s="20"/>
      <c r="F33" s="20"/>
      <c r="G33" s="20"/>
      <c r="H33" s="20"/>
      <c r="I33" s="20"/>
      <c r="J33" s="20"/>
      <c r="K33" s="12"/>
    </row>
    <row r="34" spans="1:11" s="31" customFormat="1" ht="18.75">
      <c r="A34" s="14"/>
      <c r="B34" s="15"/>
      <c r="C34" s="16"/>
      <c r="D34" s="40"/>
      <c r="E34" s="18"/>
      <c r="F34" s="18"/>
      <c r="G34" s="18"/>
      <c r="H34" s="18"/>
      <c r="I34" s="18"/>
      <c r="J34" s="18"/>
      <c r="K34" s="30"/>
    </row>
    <row r="35" spans="1:11" s="19" customFormat="1" ht="16.5">
      <c r="A35" s="14"/>
      <c r="B35" s="15"/>
      <c r="C35" s="16"/>
      <c r="D35" s="40"/>
      <c r="E35" s="16"/>
      <c r="F35" s="18"/>
      <c r="G35" s="18"/>
      <c r="H35" s="18"/>
      <c r="I35" s="18"/>
      <c r="J35" s="18"/>
    </row>
    <row r="36" spans="1:11" s="13" customFormat="1">
      <c r="A36" s="14"/>
      <c r="B36" s="15"/>
      <c r="C36" s="16"/>
      <c r="D36" s="40"/>
      <c r="E36" s="16"/>
      <c r="F36" s="27"/>
      <c r="G36" s="26"/>
      <c r="H36" s="26"/>
      <c r="I36" s="26"/>
      <c r="J36" s="26"/>
      <c r="K36" s="15"/>
    </row>
    <row r="37" spans="1:11" s="31" customFormat="1" ht="18.75">
      <c r="A37" s="14"/>
      <c r="B37" s="15"/>
      <c r="C37" s="16"/>
      <c r="D37" s="40"/>
      <c r="E37" s="16"/>
      <c r="F37" s="18"/>
      <c r="G37" s="18"/>
      <c r="H37" s="18"/>
      <c r="I37" s="18"/>
      <c r="J37" s="18"/>
      <c r="K37" s="30"/>
    </row>
    <row r="38" spans="1:11">
      <c r="C38" s="16"/>
      <c r="D38" s="40"/>
      <c r="E38" s="16"/>
      <c r="F38" s="27"/>
      <c r="G38" s="26"/>
    </row>
    <row r="39" spans="1:11" ht="12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165D-6E4D-45AE-A027-1F0635508A9D}">
  <dimension ref="A1:M9"/>
  <sheetViews>
    <sheetView workbookViewId="0">
      <selection activeCell="D8" sqref="D8"/>
    </sheetView>
  </sheetViews>
  <sheetFormatPr defaultColWidth="8.875" defaultRowHeight="12.75"/>
  <cols>
    <col min="1" max="1" width="10.625" style="38" customWidth="1"/>
    <col min="2" max="2" width="7.125" style="21" customWidth="1"/>
    <col min="3" max="3" width="7.625" style="22" bestFit="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2.75" style="2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20</v>
      </c>
    </row>
    <row r="2" spans="1:13" s="13" customFormat="1">
      <c r="A2" s="39">
        <v>44946</v>
      </c>
      <c r="B2" s="15" t="s">
        <v>1</v>
      </c>
      <c r="C2" s="16">
        <v>3600</v>
      </c>
      <c r="D2" s="17">
        <v>39.5</v>
      </c>
      <c r="E2" s="18">
        <f>C2*D2</f>
        <v>142200</v>
      </c>
      <c r="F2" s="18">
        <f>E2*0.002</f>
        <v>284.40000000000003</v>
      </c>
      <c r="G2" s="18">
        <f>E2*0.00006</f>
        <v>8.532</v>
      </c>
      <c r="H2" s="18">
        <f>E2*0.00001</f>
        <v>1.4220000000000002</v>
      </c>
      <c r="I2" s="18">
        <f>(F2+G2+H2)*0.07</f>
        <v>20.604780000000005</v>
      </c>
      <c r="J2" s="18">
        <f>E2+F2+I2+G2+H2</f>
        <v>142514.95877999999</v>
      </c>
      <c r="K2" s="29"/>
      <c r="L2" s="17"/>
      <c r="M2" s="30"/>
    </row>
    <row r="3" spans="1:13" s="1" customFormat="1">
      <c r="A3" s="56">
        <v>44277</v>
      </c>
      <c r="B3" s="13" t="s">
        <v>3</v>
      </c>
      <c r="C3" s="10">
        <f>C2</f>
        <v>3600</v>
      </c>
      <c r="D3" s="34">
        <v>41.5</v>
      </c>
      <c r="E3" s="11">
        <f>C3*D3</f>
        <v>149400</v>
      </c>
      <c r="F3" s="35">
        <f>E3*0.002</f>
        <v>298.8</v>
      </c>
      <c r="G3" s="34">
        <f>E3*0.000068</f>
        <v>10.1592</v>
      </c>
      <c r="H3" s="34">
        <f>E3*0.00001</f>
        <v>1.4940000000000002</v>
      </c>
      <c r="I3" s="34">
        <f>(F3+G3+H3)*0.07</f>
        <v>21.731724000000003</v>
      </c>
      <c r="J3" s="34">
        <f>E3-F3-G3-H3-I3</f>
        <v>149067.815076</v>
      </c>
    </row>
    <row r="4" spans="1:13" s="1" customFormat="1">
      <c r="A4" s="56" t="s">
        <v>4</v>
      </c>
      <c r="B4" s="12">
        <f>(D3-D2)/D2</f>
        <v>5.0632911392405063E-2</v>
      </c>
      <c r="C4" s="10"/>
      <c r="D4" s="11"/>
      <c r="E4" s="20">
        <f>E3-E2</f>
        <v>7200</v>
      </c>
      <c r="F4" s="20"/>
      <c r="G4" s="20"/>
      <c r="H4" s="20"/>
      <c r="I4" s="20"/>
      <c r="J4" s="20">
        <f>J3-J2</f>
        <v>6552.8562960000127</v>
      </c>
    </row>
    <row r="5" spans="1:13" s="1" customFormat="1" ht="12">
      <c r="A5" s="50"/>
      <c r="C5" s="2"/>
      <c r="D5" s="47"/>
      <c r="J5" s="53">
        <f>J1+J4</f>
        <v>6552.8562960000127</v>
      </c>
    </row>
    <row r="6" spans="1:13" s="13" customFormat="1">
      <c r="A6" s="39">
        <v>44946</v>
      </c>
      <c r="B6" s="15" t="s">
        <v>1</v>
      </c>
      <c r="C6" s="16">
        <v>3600</v>
      </c>
      <c r="D6" s="17">
        <v>39.5</v>
      </c>
      <c r="E6" s="18">
        <f>C6*D6</f>
        <v>142200</v>
      </c>
      <c r="F6" s="18">
        <f>E6*0.002</f>
        <v>284.40000000000003</v>
      </c>
      <c r="G6" s="18">
        <f>E6*0.00006</f>
        <v>8.532</v>
      </c>
      <c r="H6" s="18">
        <f>E6*0.00001</f>
        <v>1.4220000000000002</v>
      </c>
      <c r="I6" s="18">
        <f>(F6+G6+H6)*0.07</f>
        <v>20.604780000000005</v>
      </c>
      <c r="J6" s="18">
        <f>E6+F6+I6+G6+H6</f>
        <v>142514.95877999999</v>
      </c>
      <c r="K6" s="29"/>
      <c r="L6" s="17"/>
      <c r="M6" s="30"/>
    </row>
    <row r="7" spans="1:13" s="1" customFormat="1" ht="14.25">
      <c r="A7" s="56">
        <v>44676</v>
      </c>
      <c r="B7" s="13" t="s">
        <v>1</v>
      </c>
      <c r="C7" s="10">
        <v>1200</v>
      </c>
      <c r="D7" s="46">
        <v>33.5</v>
      </c>
      <c r="E7" s="20">
        <f>C7*D7</f>
        <v>40200</v>
      </c>
      <c r="F7" s="20">
        <f>E7*0.002</f>
        <v>80.400000000000006</v>
      </c>
      <c r="G7" s="20">
        <f>E7*0.00006</f>
        <v>2.4119999999999999</v>
      </c>
      <c r="H7" s="20">
        <f>E7*0.00001</f>
        <v>0.40200000000000002</v>
      </c>
      <c r="I7" s="20">
        <f>(F7+G7+H7)*0.07</f>
        <v>5.8249800000000018</v>
      </c>
      <c r="J7" s="20">
        <f>E7+F7+I7+G7+H7</f>
        <v>40289.038979999998</v>
      </c>
    </row>
    <row r="8" spans="1:13" s="1" customFormat="1" ht="14.25">
      <c r="A8" s="56"/>
      <c r="B8" s="12">
        <f>(D7-D6)/D6</f>
        <v>-0.15189873417721519</v>
      </c>
      <c r="C8" s="10">
        <f>SUM(C6:C7)</f>
        <v>4800</v>
      </c>
      <c r="D8" s="11">
        <f>E8/C8</f>
        <v>38</v>
      </c>
      <c r="E8" s="10">
        <f t="shared" ref="E8:J8" si="0">SUM(E6:E7)</f>
        <v>182400</v>
      </c>
      <c r="F8" s="10">
        <f t="shared" si="0"/>
        <v>364.80000000000007</v>
      </c>
      <c r="G8" s="10">
        <f t="shared" si="0"/>
        <v>10.943999999999999</v>
      </c>
      <c r="H8" s="10">
        <f t="shared" si="0"/>
        <v>1.8240000000000003</v>
      </c>
      <c r="I8" s="10">
        <f t="shared" si="0"/>
        <v>26.429760000000009</v>
      </c>
      <c r="J8" s="10">
        <f t="shared" si="0"/>
        <v>182803.99776</v>
      </c>
    </row>
    <row r="9" spans="1:13" s="1" customFormat="1" ht="12">
      <c r="A9" s="50"/>
      <c r="C9" s="2"/>
      <c r="D9" s="47"/>
      <c r="J9" s="53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A6BF-841A-4E49-8659-89A8DE11562A}">
  <dimension ref="A1:M6"/>
  <sheetViews>
    <sheetView workbookViewId="0">
      <selection activeCell="C6" sqref="C6"/>
    </sheetView>
  </sheetViews>
  <sheetFormatPr defaultColWidth="8.875" defaultRowHeight="12.75"/>
  <cols>
    <col min="1" max="1" width="10.625" style="38" customWidth="1"/>
    <col min="2" max="2" width="7.125" style="21" customWidth="1"/>
    <col min="3" max="3" width="7.625" style="22" bestFit="1" customWidth="1"/>
    <col min="4" max="4" width="7.625" style="21" customWidth="1"/>
    <col min="5" max="5" width="11.25" style="68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68" customWidth="1"/>
    <col min="11" max="11" width="12.75" style="2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21</v>
      </c>
    </row>
    <row r="2" spans="1:13" s="13" customFormat="1">
      <c r="A2" s="39">
        <v>44946</v>
      </c>
      <c r="B2" s="15" t="s">
        <v>1</v>
      </c>
      <c r="C2" s="16">
        <v>2400</v>
      </c>
      <c r="D2" s="17">
        <v>58.5</v>
      </c>
      <c r="E2" s="69">
        <f>C2*D2</f>
        <v>140400</v>
      </c>
      <c r="F2" s="18">
        <f>E2*0.002</f>
        <v>280.8</v>
      </c>
      <c r="G2" s="18">
        <f>E2*0.00006</f>
        <v>8.4239999999999995</v>
      </c>
      <c r="H2" s="18">
        <f>E2*0.00001</f>
        <v>1.4040000000000001</v>
      </c>
      <c r="I2" s="18">
        <f>(F2+G2+H2)*0.07</f>
        <v>20.343960000000003</v>
      </c>
      <c r="J2" s="69">
        <f>E2+F2+I2+G2+H2</f>
        <v>140710.97196</v>
      </c>
      <c r="K2" s="29"/>
      <c r="L2" s="17"/>
      <c r="M2" s="30"/>
    </row>
    <row r="3" spans="1:13" s="1" customFormat="1">
      <c r="A3" s="49">
        <v>44956</v>
      </c>
      <c r="B3" s="15" t="s">
        <v>1</v>
      </c>
      <c r="C3" s="16">
        <v>900</v>
      </c>
      <c r="D3" s="41">
        <v>53</v>
      </c>
      <c r="E3" s="69">
        <f>C3*D3</f>
        <v>47700</v>
      </c>
      <c r="F3" s="18">
        <f>E3*0.002</f>
        <v>95.4</v>
      </c>
      <c r="G3" s="18">
        <f>E3*0.00006</f>
        <v>2.8620000000000001</v>
      </c>
      <c r="H3" s="18">
        <f>E3*0.00001</f>
        <v>0.47700000000000004</v>
      </c>
      <c r="I3" s="18">
        <f>(F3+G3+H3)*0.07</f>
        <v>6.9117300000000013</v>
      </c>
      <c r="J3" s="69">
        <f>E3+F3+I3+G3+H3</f>
        <v>47805.650730000001</v>
      </c>
    </row>
    <row r="4" spans="1:13" s="1" customFormat="1">
      <c r="A4" s="49"/>
      <c r="B4" s="30">
        <f>(D3-D2)/D2</f>
        <v>-9.4017094017094016E-2</v>
      </c>
      <c r="C4" s="16">
        <f>SUM(C2:C3)</f>
        <v>3300</v>
      </c>
      <c r="D4" s="17">
        <f>E4/C4</f>
        <v>57</v>
      </c>
      <c r="E4" s="69">
        <f t="shared" ref="E4:J4" si="0">SUM(E2:E3)</f>
        <v>188100</v>
      </c>
      <c r="F4" s="16">
        <f t="shared" si="0"/>
        <v>376.20000000000005</v>
      </c>
      <c r="G4" s="16">
        <f t="shared" si="0"/>
        <v>11.286</v>
      </c>
      <c r="H4" s="16">
        <f t="shared" si="0"/>
        <v>1.8810000000000002</v>
      </c>
      <c r="I4" s="16">
        <f t="shared" si="0"/>
        <v>27.255690000000005</v>
      </c>
      <c r="J4" s="69">
        <f t="shared" si="0"/>
        <v>188516.62268999999</v>
      </c>
    </row>
    <row r="5" spans="1:13" s="1" customFormat="1">
      <c r="A5" s="56">
        <v>44676</v>
      </c>
      <c r="B5" s="13" t="s">
        <v>1</v>
      </c>
      <c r="C5" s="10">
        <v>900</v>
      </c>
      <c r="D5" s="46">
        <v>50</v>
      </c>
      <c r="E5" s="62">
        <f>C5*D5</f>
        <v>45000</v>
      </c>
      <c r="F5" s="20">
        <f>E5*0.002</f>
        <v>90</v>
      </c>
      <c r="G5" s="20">
        <f>E5*0.00006</f>
        <v>2.7</v>
      </c>
      <c r="H5" s="20">
        <f>E5*0.00001</f>
        <v>0.45</v>
      </c>
      <c r="I5" s="20">
        <f>(F5+G5+H5)*0.07</f>
        <v>6.5205000000000011</v>
      </c>
      <c r="J5" s="62">
        <f>E5+F5+I5+G5+H5</f>
        <v>45099.670499999993</v>
      </c>
    </row>
    <row r="6" spans="1:13" s="1" customFormat="1">
      <c r="A6" s="56"/>
      <c r="B6" s="12">
        <f>(D5-D4)/D4</f>
        <v>-0.12280701754385964</v>
      </c>
      <c r="C6" s="10">
        <f>SUM(C4:C5)</f>
        <v>4200</v>
      </c>
      <c r="D6" s="11">
        <f>E6/C6</f>
        <v>55.5</v>
      </c>
      <c r="E6" s="62">
        <f t="shared" ref="E6:J6" si="1">SUM(E4:E5)</f>
        <v>233100</v>
      </c>
      <c r="F6" s="10">
        <f t="shared" si="1"/>
        <v>466.20000000000005</v>
      </c>
      <c r="G6" s="10">
        <f t="shared" si="1"/>
        <v>13.986000000000001</v>
      </c>
      <c r="H6" s="10">
        <f t="shared" si="1"/>
        <v>2.3310000000000004</v>
      </c>
      <c r="I6" s="10">
        <f t="shared" si="1"/>
        <v>33.776190000000007</v>
      </c>
      <c r="J6" s="62">
        <f t="shared" si="1"/>
        <v>233616.29319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68"/>
  <sheetViews>
    <sheetView topLeftCell="A57" workbookViewId="0">
      <selection activeCell="D57" sqref="D57"/>
    </sheetView>
  </sheetViews>
  <sheetFormatPr defaultColWidth="8.875" defaultRowHeight="14.25"/>
  <cols>
    <col min="1" max="1" width="10.625" style="44" customWidth="1"/>
    <col min="2" max="2" width="7.25" style="21" bestFit="1" customWidth="1"/>
    <col min="3" max="3" width="7.375" style="21" bestFit="1" customWidth="1"/>
    <col min="4" max="4" width="7.875" style="21" customWidth="1"/>
    <col min="5" max="5" width="12.25" style="21" customWidth="1"/>
    <col min="6" max="6" width="10" style="21" customWidth="1"/>
    <col min="7" max="7" width="7.375" style="21" customWidth="1"/>
    <col min="8" max="8" width="6.375" style="21" customWidth="1"/>
    <col min="9" max="9" width="7.375" style="21" customWidth="1"/>
    <col min="10" max="10" width="12.25" style="21" customWidth="1"/>
    <col min="11" max="16384" width="8.875" style="21"/>
  </cols>
  <sheetData>
    <row r="1" spans="1:13">
      <c r="B1" s="21" t="s">
        <v>22</v>
      </c>
    </row>
    <row r="2" spans="1:13" s="15" customFormat="1">
      <c r="A2" s="14">
        <v>42608</v>
      </c>
      <c r="B2" s="14" t="s">
        <v>1</v>
      </c>
      <c r="C2" s="16">
        <v>20000</v>
      </c>
      <c r="D2" s="40">
        <v>14</v>
      </c>
      <c r="E2" s="26">
        <f>C2*D2</f>
        <v>280000</v>
      </c>
      <c r="F2" s="26">
        <f>E2*0.002</f>
        <v>560</v>
      </c>
      <c r="G2" s="26">
        <f>E2*0.000068</f>
        <v>19.04</v>
      </c>
      <c r="H2" s="26">
        <f>E2*0.00001</f>
        <v>2.8000000000000003</v>
      </c>
      <c r="I2" s="26">
        <f>(F2+G2+H2)*0.07</f>
        <v>40.7288</v>
      </c>
      <c r="J2" s="17">
        <f>E2+F2+I2+G2+H2</f>
        <v>280622.56879999995</v>
      </c>
      <c r="K2" s="17"/>
    </row>
    <row r="3" spans="1:13" s="13" customFormat="1">
      <c r="A3" s="14">
        <v>42633</v>
      </c>
      <c r="B3" s="15" t="s">
        <v>1</v>
      </c>
      <c r="C3" s="16">
        <v>10000</v>
      </c>
      <c r="D3" s="17">
        <v>13.1</v>
      </c>
      <c r="E3" s="18">
        <f>C3*D3</f>
        <v>131000</v>
      </c>
      <c r="F3" s="18">
        <f>E3*0.002</f>
        <v>262</v>
      </c>
      <c r="G3" s="18">
        <f>E3*0.000068</f>
        <v>8.9079999999999995</v>
      </c>
      <c r="H3" s="18">
        <f>E3*0.00001</f>
        <v>1.31</v>
      </c>
      <c r="I3" s="18">
        <f>(F3+G3+H3)*0.07</f>
        <v>19.055260000000004</v>
      </c>
      <c r="J3" s="18">
        <f>E3+F3+I3+G3+H3</f>
        <v>131291.27325999999</v>
      </c>
    </row>
    <row r="4" spans="1:13">
      <c r="C4" s="5">
        <f>SUM(C2:C3)</f>
        <v>30000</v>
      </c>
      <c r="D4" s="6">
        <f>E4/C4</f>
        <v>13.7</v>
      </c>
      <c r="E4" s="37">
        <f t="shared" ref="E4:J4" si="0">SUM(E2:E3)</f>
        <v>411000</v>
      </c>
      <c r="F4" s="37">
        <f t="shared" si="0"/>
        <v>822</v>
      </c>
      <c r="G4" s="37">
        <f t="shared" si="0"/>
        <v>27.948</v>
      </c>
      <c r="H4" s="37">
        <f t="shared" si="0"/>
        <v>4.1100000000000003</v>
      </c>
      <c r="I4" s="37">
        <f t="shared" si="0"/>
        <v>59.784060000000004</v>
      </c>
      <c r="J4" s="37">
        <f t="shared" si="0"/>
        <v>411913.84205999994</v>
      </c>
    </row>
    <row r="5" spans="1:13" s="13" customFormat="1">
      <c r="A5" s="14">
        <v>42656</v>
      </c>
      <c r="B5" s="15" t="s">
        <v>1</v>
      </c>
      <c r="C5" s="16">
        <v>10000</v>
      </c>
      <c r="D5" s="17">
        <v>12.5</v>
      </c>
      <c r="E5" s="18">
        <f>C5*D5</f>
        <v>125000</v>
      </c>
      <c r="F5" s="18">
        <f>E5*0.002</f>
        <v>250</v>
      </c>
      <c r="G5" s="18">
        <f>E5*0.000068</f>
        <v>8.5</v>
      </c>
      <c r="H5" s="18">
        <f>E5*0.00001</f>
        <v>1.25</v>
      </c>
      <c r="I5" s="18">
        <f>(F5+G5+H5)*0.07</f>
        <v>18.182500000000001</v>
      </c>
      <c r="J5" s="18">
        <f>E5+F5+I5+G5+H5</f>
        <v>125277.9325</v>
      </c>
    </row>
    <row r="6" spans="1:13">
      <c r="A6" s="42"/>
      <c r="B6" s="4"/>
      <c r="C6" s="5">
        <f>SUM(C4:C5)</f>
        <v>40000</v>
      </c>
      <c r="D6" s="6">
        <f>E6/C6</f>
        <v>13.4</v>
      </c>
      <c r="E6" s="37">
        <f t="shared" ref="E6:J6" si="1">SUM(E4:E5)</f>
        <v>536000</v>
      </c>
      <c r="F6" s="37">
        <f t="shared" si="1"/>
        <v>1072</v>
      </c>
      <c r="G6" s="37">
        <f t="shared" si="1"/>
        <v>36.448</v>
      </c>
      <c r="H6" s="37">
        <f t="shared" si="1"/>
        <v>5.36</v>
      </c>
      <c r="I6" s="37">
        <f t="shared" si="1"/>
        <v>77.966560000000001</v>
      </c>
      <c r="J6" s="37">
        <f t="shared" si="1"/>
        <v>537191.77455999993</v>
      </c>
    </row>
    <row r="7" spans="1:13" s="13" customFormat="1" ht="18.600000000000001" customHeight="1">
      <c r="A7" s="14">
        <v>42681</v>
      </c>
      <c r="B7" s="15" t="s">
        <v>3</v>
      </c>
      <c r="C7" s="16">
        <v>40000</v>
      </c>
      <c r="D7" s="26">
        <v>15.63</v>
      </c>
      <c r="E7" s="17">
        <f>C7*D7</f>
        <v>625200</v>
      </c>
      <c r="F7" s="27">
        <f>E7*0.002</f>
        <v>1250.4000000000001</v>
      </c>
      <c r="G7" s="26">
        <f>E7*0.000068</f>
        <v>42.513599999999997</v>
      </c>
      <c r="H7" s="26">
        <f>E7*0.00001</f>
        <v>6.2520000000000007</v>
      </c>
      <c r="I7" s="26">
        <f>(F7+G7+H7)*0.07</f>
        <v>90.941592000000014</v>
      </c>
      <c r="J7" s="26">
        <f>E7-F7-G7-H7-I7</f>
        <v>623809.89280800009</v>
      </c>
    </row>
    <row r="8" spans="1:13">
      <c r="E8" s="23">
        <f>E7-E6</f>
        <v>89200</v>
      </c>
      <c r="J8" s="23">
        <f>J7-J6</f>
        <v>86618.118248000159</v>
      </c>
    </row>
    <row r="9" spans="1:13" s="13" customFormat="1" ht="18.600000000000001" customHeight="1">
      <c r="A9" s="14">
        <v>42662</v>
      </c>
      <c r="B9" s="15" t="s">
        <v>3</v>
      </c>
      <c r="C9" s="16">
        <v>10000</v>
      </c>
      <c r="D9" s="26">
        <v>15</v>
      </c>
      <c r="E9" s="17">
        <f>C9*D9</f>
        <v>150000</v>
      </c>
      <c r="F9" s="27">
        <f>E9*0.002</f>
        <v>300</v>
      </c>
      <c r="G9" s="26">
        <f>E9*0.000068</f>
        <v>10.199999999999999</v>
      </c>
      <c r="H9" s="26">
        <f>E9*0.00001</f>
        <v>1.5000000000000002</v>
      </c>
      <c r="I9" s="26">
        <f>(F9+G9+H9)*0.07</f>
        <v>21.819000000000003</v>
      </c>
      <c r="J9" s="26">
        <f>E9-F9-G9-H9-I9</f>
        <v>149666.481</v>
      </c>
    </row>
    <row r="10" spans="1:13" s="13" customFormat="1">
      <c r="A10" s="8">
        <v>42572</v>
      </c>
      <c r="B10" s="13" t="s">
        <v>1</v>
      </c>
      <c r="C10" s="10">
        <f>C9</f>
        <v>10000</v>
      </c>
      <c r="D10" s="34">
        <v>14.5</v>
      </c>
      <c r="E10" s="11">
        <f>C10*D10</f>
        <v>145000</v>
      </c>
      <c r="F10" s="35">
        <f>E10*0.002</f>
        <v>290</v>
      </c>
      <c r="G10" s="34">
        <f>E10*0.000068</f>
        <v>9.86</v>
      </c>
      <c r="H10" s="34">
        <f>E10*0.00001</f>
        <v>1.4500000000000002</v>
      </c>
      <c r="I10" s="34">
        <f>(F10+G10+H10)*0.07</f>
        <v>21.091700000000003</v>
      </c>
      <c r="J10" s="11">
        <f>E10+F10+I10+G10+H10</f>
        <v>145322.40169999999</v>
      </c>
      <c r="K10" s="32"/>
      <c r="L10" s="32"/>
      <c r="M10" s="32"/>
    </row>
    <row r="11" spans="1:13" s="13" customFormat="1">
      <c r="A11" s="8">
        <f>DAYS360(A10,A9)</f>
        <v>88</v>
      </c>
      <c r="C11" s="10"/>
      <c r="D11" s="34"/>
      <c r="E11" s="34">
        <f>E9-E10</f>
        <v>5000</v>
      </c>
      <c r="F11" s="34"/>
      <c r="G11" s="34"/>
      <c r="H11" s="34"/>
      <c r="I11" s="12"/>
      <c r="J11" s="34">
        <f>J9-J10</f>
        <v>4344.0793000000122</v>
      </c>
    </row>
    <row r="12" spans="1:13" s="13" customFormat="1" ht="18.600000000000001" customHeight="1">
      <c r="A12" s="14">
        <v>42664</v>
      </c>
      <c r="B12" s="15" t="s">
        <v>3</v>
      </c>
      <c r="C12" s="16">
        <v>10000</v>
      </c>
      <c r="D12" s="26">
        <v>15.4</v>
      </c>
      <c r="E12" s="17">
        <f>C12*D12</f>
        <v>154000</v>
      </c>
      <c r="F12" s="27">
        <f>E12*0.002</f>
        <v>308</v>
      </c>
      <c r="G12" s="26">
        <f>E12*0.000068</f>
        <v>10.472</v>
      </c>
      <c r="H12" s="26">
        <f>E12*0.00001</f>
        <v>1.54</v>
      </c>
      <c r="I12" s="26">
        <f>(F12+G12+H12)*0.07</f>
        <v>22.400840000000002</v>
      </c>
      <c r="J12" s="26">
        <f>E12-F12-G12-H12-I12</f>
        <v>153657.58716</v>
      </c>
    </row>
    <row r="13" spans="1:13" s="13" customFormat="1">
      <c r="A13" s="8">
        <v>42572</v>
      </c>
      <c r="B13" s="13" t="s">
        <v>1</v>
      </c>
      <c r="C13" s="10">
        <f>C12</f>
        <v>10000</v>
      </c>
      <c r="D13" s="34">
        <v>14.9</v>
      </c>
      <c r="E13" s="11">
        <f>C13*D13</f>
        <v>149000</v>
      </c>
      <c r="F13" s="35">
        <f>E13*0.002</f>
        <v>298</v>
      </c>
      <c r="G13" s="34">
        <f>E13*0.000068</f>
        <v>10.132</v>
      </c>
      <c r="H13" s="34">
        <f>E13*0.00001</f>
        <v>1.4900000000000002</v>
      </c>
      <c r="I13" s="34">
        <f>(F13+G13+H13)*0.07</f>
        <v>21.673540000000003</v>
      </c>
      <c r="J13" s="11">
        <f>E13+F13+I13+G13+H13</f>
        <v>149331.29553999999</v>
      </c>
      <c r="K13" s="32"/>
      <c r="L13" s="32"/>
      <c r="M13" s="32"/>
    </row>
    <row r="14" spans="1:13" s="13" customFormat="1">
      <c r="A14" s="8">
        <f>DAYS360(A13,A12)</f>
        <v>90</v>
      </c>
      <c r="C14" s="10"/>
      <c r="D14" s="34"/>
      <c r="E14" s="34">
        <f>E12-E13</f>
        <v>5000</v>
      </c>
      <c r="F14" s="34"/>
      <c r="G14" s="34"/>
      <c r="H14" s="34"/>
      <c r="I14" s="12"/>
      <c r="J14" s="34">
        <f>J12-J13</f>
        <v>4326.2916200000036</v>
      </c>
    </row>
    <row r="15" spans="1:13" s="13" customFormat="1" ht="18.600000000000001" customHeight="1">
      <c r="A15" s="14">
        <v>42668</v>
      </c>
      <c r="B15" s="15" t="s">
        <v>3</v>
      </c>
      <c r="C15" s="16">
        <v>10000</v>
      </c>
      <c r="D15" s="26">
        <v>15.9</v>
      </c>
      <c r="E15" s="17">
        <f>C15*D15</f>
        <v>159000</v>
      </c>
      <c r="F15" s="27">
        <f>E15*0.002</f>
        <v>318</v>
      </c>
      <c r="G15" s="26">
        <f>E15*0.000068</f>
        <v>10.811999999999999</v>
      </c>
      <c r="H15" s="26">
        <f>E15*0.00001</f>
        <v>1.59</v>
      </c>
      <c r="I15" s="26">
        <f>(F15+G15+H15)*0.07</f>
        <v>23.128140000000002</v>
      </c>
      <c r="J15" s="26">
        <f>E15-F15-G15-H15-I15</f>
        <v>158646.46986000001</v>
      </c>
    </row>
    <row r="16" spans="1:13" s="13" customFormat="1">
      <c r="A16" s="8">
        <v>42674</v>
      </c>
      <c r="B16" s="13" t="s">
        <v>1</v>
      </c>
      <c r="C16" s="10">
        <f>C15</f>
        <v>10000</v>
      </c>
      <c r="D16" s="34">
        <v>15.4</v>
      </c>
      <c r="E16" s="11">
        <f>C16*D16</f>
        <v>154000</v>
      </c>
      <c r="F16" s="35">
        <f>E16*0.002</f>
        <v>308</v>
      </c>
      <c r="G16" s="34">
        <f>E16*0.000068</f>
        <v>10.472</v>
      </c>
      <c r="H16" s="34">
        <f>E16*0.00001</f>
        <v>1.54</v>
      </c>
      <c r="I16" s="34">
        <f>(F16+G16+H16)*0.07</f>
        <v>22.400840000000002</v>
      </c>
      <c r="J16" s="11">
        <f>E16+F16+I16+G16+H16</f>
        <v>154342.41284</v>
      </c>
      <c r="K16" s="32"/>
      <c r="L16" s="32"/>
      <c r="M16" s="32"/>
    </row>
    <row r="17" spans="1:13" s="13" customFormat="1">
      <c r="A17" s="8">
        <f>DAYS360(A15,A16)</f>
        <v>6</v>
      </c>
      <c r="C17" s="10"/>
      <c r="D17" s="34"/>
      <c r="E17" s="34">
        <f>E15-E16</f>
        <v>5000</v>
      </c>
      <c r="F17" s="34"/>
      <c r="G17" s="34"/>
      <c r="H17" s="34"/>
      <c r="I17" s="12"/>
      <c r="J17" s="34">
        <f>J15-J16</f>
        <v>4304.0570200000075</v>
      </c>
    </row>
    <row r="18" spans="1:13" s="13" customFormat="1" ht="18.600000000000001" customHeight="1">
      <c r="A18" s="14">
        <v>42681</v>
      </c>
      <c r="B18" s="15" t="s">
        <v>3</v>
      </c>
      <c r="C18" s="16">
        <v>10000</v>
      </c>
      <c r="D18" s="26">
        <v>16.2</v>
      </c>
      <c r="E18" s="17">
        <f>C18*D18</f>
        <v>162000</v>
      </c>
      <c r="F18" s="27">
        <f>E18*0.002</f>
        <v>324</v>
      </c>
      <c r="G18" s="26">
        <f>E18*0.000068</f>
        <v>11.016</v>
      </c>
      <c r="H18" s="26">
        <f>E18*0.00001</f>
        <v>1.62</v>
      </c>
      <c r="I18" s="26">
        <f>(F18+G18+H18)*0.07</f>
        <v>23.564520000000005</v>
      </c>
      <c r="J18" s="26">
        <f>E18-F18-G18-H18-I18</f>
        <v>161639.79947999999</v>
      </c>
    </row>
    <row r="19" spans="1:13" s="13" customFormat="1">
      <c r="A19" s="8">
        <v>42674</v>
      </c>
      <c r="B19" s="13" t="s">
        <v>1</v>
      </c>
      <c r="C19" s="10">
        <f>C18</f>
        <v>10000</v>
      </c>
      <c r="D19" s="34">
        <v>15.7</v>
      </c>
      <c r="E19" s="11">
        <f>C19*D19</f>
        <v>157000</v>
      </c>
      <c r="F19" s="35">
        <f>E19*0.002</f>
        <v>314</v>
      </c>
      <c r="G19" s="34">
        <f>E19*0.000068</f>
        <v>10.676</v>
      </c>
      <c r="H19" s="34">
        <f>E19*0.00001</f>
        <v>1.57</v>
      </c>
      <c r="I19" s="34">
        <f>(F19+G19+H19)*0.07</f>
        <v>22.837220000000002</v>
      </c>
      <c r="J19" s="11">
        <f>E19+F19+I19+G19+H19</f>
        <v>157349.08322</v>
      </c>
      <c r="K19" s="32"/>
      <c r="L19" s="32"/>
      <c r="M19" s="32"/>
    </row>
    <row r="20" spans="1:13" s="13" customFormat="1">
      <c r="A20" s="8">
        <f>DAYS360(A18,A19)</f>
        <v>-6</v>
      </c>
      <c r="C20" s="10"/>
      <c r="D20" s="34"/>
      <c r="E20" s="34">
        <f>E18-E19</f>
        <v>5000</v>
      </c>
      <c r="F20" s="34"/>
      <c r="G20" s="34"/>
      <c r="H20" s="34"/>
      <c r="I20" s="12"/>
      <c r="J20" s="34">
        <f>J18-J19</f>
        <v>4290.7162599999865</v>
      </c>
    </row>
    <row r="21" spans="1:13" s="13" customFormat="1">
      <c r="A21" s="14">
        <v>42674</v>
      </c>
      <c r="B21" s="15" t="s">
        <v>1</v>
      </c>
      <c r="C21" s="16">
        <v>10000</v>
      </c>
      <c r="D21" s="26">
        <v>15.4</v>
      </c>
      <c r="E21" s="17">
        <f>C21*D21</f>
        <v>154000</v>
      </c>
      <c r="F21" s="27">
        <f>E21*0.002</f>
        <v>308</v>
      </c>
      <c r="G21" s="26">
        <f>E21*0.000068</f>
        <v>10.472</v>
      </c>
      <c r="H21" s="26">
        <f>E21*0.00001</f>
        <v>1.54</v>
      </c>
      <c r="I21" s="26">
        <f>(F21+G21+H21)*0.07</f>
        <v>22.400840000000002</v>
      </c>
      <c r="J21" s="17">
        <f>E21+F21+I21+G21+H21</f>
        <v>154342.41284</v>
      </c>
      <c r="K21" s="32"/>
      <c r="L21" s="32"/>
      <c r="M21" s="32"/>
    </row>
    <row r="22" spans="1:13" s="13" customFormat="1" ht="18.600000000000001" customHeight="1">
      <c r="A22" s="14">
        <v>42677</v>
      </c>
      <c r="B22" s="15" t="s">
        <v>3</v>
      </c>
      <c r="C22" s="16">
        <v>10000</v>
      </c>
      <c r="D22" s="26">
        <v>16.100000000000001</v>
      </c>
      <c r="E22" s="17">
        <f>C22*D22</f>
        <v>161000</v>
      </c>
      <c r="F22" s="27">
        <f>E22*0.002</f>
        <v>322</v>
      </c>
      <c r="G22" s="26">
        <f>E22*0.000068</f>
        <v>10.948</v>
      </c>
      <c r="H22" s="26">
        <f>E22*0.00001</f>
        <v>1.61</v>
      </c>
      <c r="I22" s="26">
        <f>(F22+G22+H22)*0.07</f>
        <v>23.419060000000002</v>
      </c>
      <c r="J22" s="26">
        <f>E22-F22-G22-H22-I22</f>
        <v>160642.02294000002</v>
      </c>
    </row>
    <row r="23" spans="1:13" s="13" customFormat="1">
      <c r="A23" s="14">
        <f>DAYS360(A21,A22)</f>
        <v>3</v>
      </c>
      <c r="B23" s="15"/>
      <c r="C23" s="16"/>
      <c r="D23" s="26"/>
      <c r="E23" s="26">
        <f>E22-E21</f>
        <v>7000</v>
      </c>
      <c r="F23" s="26"/>
      <c r="G23" s="26"/>
      <c r="H23" s="26"/>
      <c r="I23" s="30"/>
      <c r="J23" s="26">
        <f>J22-J21</f>
        <v>6299.6101000000199</v>
      </c>
    </row>
    <row r="24" spans="1:13" s="15" customFormat="1">
      <c r="A24" s="14">
        <v>42685</v>
      </c>
      <c r="B24" s="14" t="s">
        <v>1</v>
      </c>
      <c r="C24" s="16">
        <v>20000</v>
      </c>
      <c r="D24" s="40">
        <v>18.2</v>
      </c>
      <c r="E24" s="26">
        <f>C24*D24</f>
        <v>364000</v>
      </c>
      <c r="F24" s="26">
        <f>E24*0.002</f>
        <v>728</v>
      </c>
      <c r="G24" s="26">
        <f>E24*0.000068</f>
        <v>24.751999999999999</v>
      </c>
      <c r="H24" s="26">
        <f>E24*0.00001</f>
        <v>3.64</v>
      </c>
      <c r="I24" s="26">
        <f>(F24+G24+H24)*0.07</f>
        <v>52.94744</v>
      </c>
      <c r="J24" s="17">
        <f>E24+F24+I24+G24+H24</f>
        <v>364809.33944000001</v>
      </c>
      <c r="K24" s="17"/>
    </row>
    <row r="25" spans="1:13" s="13" customFormat="1">
      <c r="A25" s="14">
        <v>42688</v>
      </c>
      <c r="B25" s="15" t="s">
        <v>1</v>
      </c>
      <c r="C25" s="16">
        <v>10000</v>
      </c>
      <c r="D25" s="17">
        <v>17.899999999999999</v>
      </c>
      <c r="E25" s="18">
        <f>C25*D25</f>
        <v>179000</v>
      </c>
      <c r="F25" s="18">
        <f>E25*0.002</f>
        <v>358</v>
      </c>
      <c r="G25" s="18">
        <f>E25*0.000068</f>
        <v>12.172000000000001</v>
      </c>
      <c r="H25" s="18">
        <f>E25*0.00001</f>
        <v>1.79</v>
      </c>
      <c r="I25" s="18">
        <f>(F25+G25+H25)*0.07</f>
        <v>26.037340000000004</v>
      </c>
      <c r="J25" s="18">
        <f>E25+F25+I25+G25+H25</f>
        <v>179397.99934000001</v>
      </c>
    </row>
    <row r="26" spans="1:13">
      <c r="A26" s="42"/>
      <c r="B26" s="4"/>
      <c r="C26" s="5">
        <f>SUM(C24:C25)</f>
        <v>30000</v>
      </c>
      <c r="D26" s="6">
        <f>E26/C26</f>
        <v>18.100000000000001</v>
      </c>
      <c r="E26" s="37">
        <f t="shared" ref="E26:J26" si="2">SUM(E24:E25)</f>
        <v>543000</v>
      </c>
      <c r="F26" s="37">
        <f t="shared" si="2"/>
        <v>1086</v>
      </c>
      <c r="G26" s="37">
        <f t="shared" si="2"/>
        <v>36.923999999999999</v>
      </c>
      <c r="H26" s="37">
        <f t="shared" si="2"/>
        <v>5.43</v>
      </c>
      <c r="I26" s="37">
        <f t="shared" si="2"/>
        <v>78.984780000000001</v>
      </c>
      <c r="J26" s="37">
        <f t="shared" si="2"/>
        <v>544207.33877999999</v>
      </c>
    </row>
    <row r="27" spans="1:13" s="13" customFormat="1">
      <c r="A27" s="14">
        <v>42688</v>
      </c>
      <c r="B27" s="15" t="s">
        <v>1</v>
      </c>
      <c r="C27" s="16">
        <v>10000</v>
      </c>
      <c r="D27" s="17">
        <v>17.7</v>
      </c>
      <c r="E27" s="18">
        <f>C27*D27</f>
        <v>177000</v>
      </c>
      <c r="F27" s="18">
        <f>E27*0.002</f>
        <v>354</v>
      </c>
      <c r="G27" s="18">
        <f>E27*0.000068</f>
        <v>12.036</v>
      </c>
      <c r="H27" s="18">
        <f>E27*0.00001</f>
        <v>1.7700000000000002</v>
      </c>
      <c r="I27" s="18">
        <f>(F27+G27+H27)*0.07</f>
        <v>25.746420000000001</v>
      </c>
      <c r="J27" s="18">
        <f>E27+F27+I27+G27+H27</f>
        <v>177393.55241999999</v>
      </c>
    </row>
    <row r="28" spans="1:13">
      <c r="A28" s="42"/>
      <c r="B28" s="4"/>
      <c r="C28" s="5">
        <f>SUM(C26:C27)</f>
        <v>40000</v>
      </c>
      <c r="D28" s="6">
        <f>E28/C28</f>
        <v>18</v>
      </c>
      <c r="E28" s="37">
        <f t="shared" ref="E28:J28" si="3">SUM(E26:E27)</f>
        <v>720000</v>
      </c>
      <c r="F28" s="37">
        <f t="shared" si="3"/>
        <v>1440</v>
      </c>
      <c r="G28" s="37">
        <f t="shared" si="3"/>
        <v>48.96</v>
      </c>
      <c r="H28" s="37">
        <f t="shared" si="3"/>
        <v>7.2</v>
      </c>
      <c r="I28" s="37">
        <f t="shared" si="3"/>
        <v>104.7312</v>
      </c>
      <c r="J28" s="37">
        <f t="shared" si="3"/>
        <v>721600.89119999995</v>
      </c>
    </row>
    <row r="29" spans="1:13" s="13" customFormat="1">
      <c r="A29" s="14">
        <v>42688</v>
      </c>
      <c r="B29" s="15" t="s">
        <v>1</v>
      </c>
      <c r="C29" s="16">
        <v>10000</v>
      </c>
      <c r="D29" s="17">
        <v>17.5</v>
      </c>
      <c r="E29" s="18">
        <f>C29*D29</f>
        <v>175000</v>
      </c>
      <c r="F29" s="18">
        <f>E29*0.002</f>
        <v>350</v>
      </c>
      <c r="G29" s="18">
        <f>E29*0.000068</f>
        <v>11.9</v>
      </c>
      <c r="H29" s="18">
        <f>E29*0.00001</f>
        <v>1.7500000000000002</v>
      </c>
      <c r="I29" s="18">
        <f>(F29+G29+H29)*0.07</f>
        <v>25.455500000000001</v>
      </c>
      <c r="J29" s="18">
        <f>E29+F29+I29+G29+H29</f>
        <v>175389.10550000001</v>
      </c>
    </row>
    <row r="30" spans="1:13">
      <c r="A30" s="42"/>
      <c r="B30" s="4"/>
      <c r="C30" s="5">
        <f>SUM(C28:C29)</f>
        <v>50000</v>
      </c>
      <c r="D30" s="6">
        <f>E30/C30</f>
        <v>17.899999999999999</v>
      </c>
      <c r="E30" s="37">
        <f t="shared" ref="E30:J30" si="4">SUM(E28:E29)</f>
        <v>895000</v>
      </c>
      <c r="F30" s="37">
        <f t="shared" si="4"/>
        <v>1790</v>
      </c>
      <c r="G30" s="37">
        <f t="shared" si="4"/>
        <v>60.86</v>
      </c>
      <c r="H30" s="37">
        <f t="shared" si="4"/>
        <v>8.9500000000000011</v>
      </c>
      <c r="I30" s="37">
        <f t="shared" si="4"/>
        <v>130.1867</v>
      </c>
      <c r="J30" s="37">
        <f t="shared" si="4"/>
        <v>896989.99670000002</v>
      </c>
    </row>
    <row r="31" spans="1:13" s="13" customFormat="1">
      <c r="A31" s="14">
        <v>42688</v>
      </c>
      <c r="B31" s="15" t="s">
        <v>1</v>
      </c>
      <c r="C31" s="16">
        <v>10000</v>
      </c>
      <c r="D31" s="17">
        <v>17.3</v>
      </c>
      <c r="E31" s="18">
        <f>C31*D31</f>
        <v>173000</v>
      </c>
      <c r="F31" s="18">
        <f>E31*0.002</f>
        <v>346</v>
      </c>
      <c r="G31" s="18">
        <f>E31*0.000068</f>
        <v>11.763999999999999</v>
      </c>
      <c r="H31" s="18">
        <f>E31*0.00001</f>
        <v>1.7300000000000002</v>
      </c>
      <c r="I31" s="18">
        <f>(F31+G31+H31)*0.07</f>
        <v>25.164580000000004</v>
      </c>
      <c r="J31" s="18">
        <f>E31+F31+I31+G31+H31</f>
        <v>173384.65858000002</v>
      </c>
    </row>
    <row r="32" spans="1:13">
      <c r="A32" s="42"/>
      <c r="B32" s="4"/>
      <c r="C32" s="5">
        <f>SUM(C30:C31)</f>
        <v>60000</v>
      </c>
      <c r="D32" s="6">
        <f>E32/C32</f>
        <v>17.8</v>
      </c>
      <c r="E32" s="37">
        <f t="shared" ref="E32:J32" si="5">SUM(E30:E31)</f>
        <v>1068000</v>
      </c>
      <c r="F32" s="37">
        <f t="shared" si="5"/>
        <v>2136</v>
      </c>
      <c r="G32" s="37">
        <f t="shared" si="5"/>
        <v>72.623999999999995</v>
      </c>
      <c r="H32" s="37">
        <f t="shared" si="5"/>
        <v>10.680000000000001</v>
      </c>
      <c r="I32" s="37">
        <f t="shared" si="5"/>
        <v>155.35128</v>
      </c>
      <c r="J32" s="37">
        <f t="shared" si="5"/>
        <v>1070374.6552800001</v>
      </c>
    </row>
    <row r="33" spans="1:11" s="13" customFormat="1">
      <c r="A33" s="14">
        <v>42691</v>
      </c>
      <c r="B33" s="15" t="s">
        <v>1</v>
      </c>
      <c r="C33" s="16">
        <v>10000</v>
      </c>
      <c r="D33" s="17">
        <v>15.3</v>
      </c>
      <c r="E33" s="18">
        <f>C33*D33</f>
        <v>153000</v>
      </c>
      <c r="F33" s="18">
        <f>E33*0.002</f>
        <v>306</v>
      </c>
      <c r="G33" s="18">
        <f>E33*0.000068</f>
        <v>10.404</v>
      </c>
      <c r="H33" s="18">
        <f>E33*0.00001</f>
        <v>1.53</v>
      </c>
      <c r="I33" s="18">
        <f>(F33+G33+H33)*0.07</f>
        <v>22.255379999999999</v>
      </c>
      <c r="J33" s="18">
        <f>E33+F33+I33+G33+H33</f>
        <v>153340.18938</v>
      </c>
    </row>
    <row r="34" spans="1:11">
      <c r="A34" s="42"/>
      <c r="B34" s="4"/>
      <c r="C34" s="5">
        <f>SUM(C32:C33)</f>
        <v>70000</v>
      </c>
      <c r="D34" s="6">
        <f>E34/C34</f>
        <v>17.442857142857143</v>
      </c>
      <c r="E34" s="37">
        <f t="shared" ref="E34:J34" si="6">SUM(E32:E33)</f>
        <v>1221000</v>
      </c>
      <c r="F34" s="37">
        <f t="shared" si="6"/>
        <v>2442</v>
      </c>
      <c r="G34" s="37">
        <f t="shared" si="6"/>
        <v>83.027999999999992</v>
      </c>
      <c r="H34" s="37">
        <f t="shared" si="6"/>
        <v>12.21</v>
      </c>
      <c r="I34" s="37">
        <f t="shared" si="6"/>
        <v>177.60666000000001</v>
      </c>
      <c r="J34" s="37">
        <f t="shared" si="6"/>
        <v>1223714.8446599999</v>
      </c>
    </row>
    <row r="35" spans="1:11" s="13" customFormat="1">
      <c r="A35" s="14">
        <v>42720</v>
      </c>
      <c r="B35" s="15" t="s">
        <v>1</v>
      </c>
      <c r="C35" s="16">
        <v>10000</v>
      </c>
      <c r="D35" s="17">
        <v>17.100000000000001</v>
      </c>
      <c r="E35" s="18">
        <f>C35*D35</f>
        <v>171000</v>
      </c>
      <c r="F35" s="18">
        <f>E35*0.002</f>
        <v>342</v>
      </c>
      <c r="G35" s="18">
        <f>E35*0.000068</f>
        <v>11.628</v>
      </c>
      <c r="H35" s="18">
        <f>E35*0.00001</f>
        <v>1.7100000000000002</v>
      </c>
      <c r="I35" s="18">
        <f>(F35+G35+H35)*0.07</f>
        <v>24.873660000000001</v>
      </c>
      <c r="J35" s="18">
        <f>E35+F35+I35+G35+H35</f>
        <v>171380.21166</v>
      </c>
    </row>
    <row r="36" spans="1:11">
      <c r="A36" s="42"/>
      <c r="B36" s="4"/>
      <c r="C36" s="5">
        <f>SUM(C34:C35)</f>
        <v>80000</v>
      </c>
      <c r="D36" s="6">
        <f>E36/C36</f>
        <v>17.399999999999999</v>
      </c>
      <c r="E36" s="37">
        <f t="shared" ref="E36:J36" si="7">SUM(E34:E35)</f>
        <v>1392000</v>
      </c>
      <c r="F36" s="37">
        <f t="shared" si="7"/>
        <v>2784</v>
      </c>
      <c r="G36" s="37">
        <f t="shared" si="7"/>
        <v>94.655999999999992</v>
      </c>
      <c r="H36" s="37">
        <f t="shared" si="7"/>
        <v>13.920000000000002</v>
      </c>
      <c r="I36" s="37">
        <f t="shared" si="7"/>
        <v>202.48032000000001</v>
      </c>
      <c r="J36" s="37">
        <f t="shared" si="7"/>
        <v>1395095.05632</v>
      </c>
    </row>
    <row r="38" spans="1:11" s="15" customFormat="1">
      <c r="A38" s="14">
        <v>42685</v>
      </c>
      <c r="B38" s="14" t="s">
        <v>1</v>
      </c>
      <c r="C38" s="16">
        <v>20000</v>
      </c>
      <c r="D38" s="40">
        <v>18.2</v>
      </c>
      <c r="E38" s="26">
        <f t="shared" ref="E38:E44" si="8">C38*D38</f>
        <v>364000</v>
      </c>
      <c r="F38" s="26">
        <f t="shared" ref="F38:F44" si="9">E38*0.002</f>
        <v>728</v>
      </c>
      <c r="G38" s="26">
        <f t="shared" ref="G38:G44" si="10">E38*0.000068</f>
        <v>24.751999999999999</v>
      </c>
      <c r="H38" s="26">
        <f t="shared" ref="H38:H44" si="11">E38*0.00001</f>
        <v>3.64</v>
      </c>
      <c r="I38" s="26">
        <f t="shared" ref="I38:I44" si="12">(F38+G38+H38)*0.07</f>
        <v>52.94744</v>
      </c>
      <c r="J38" s="17">
        <f t="shared" ref="J38:J44" si="13">E38+F38+I38+G38+H38</f>
        <v>364809.33944000001</v>
      </c>
      <c r="K38" s="17"/>
    </row>
    <row r="39" spans="1:11" s="13" customFormat="1">
      <c r="A39" s="14">
        <v>42688</v>
      </c>
      <c r="B39" s="15" t="s">
        <v>1</v>
      </c>
      <c r="C39" s="16">
        <v>10000</v>
      </c>
      <c r="D39" s="17">
        <v>17.899999999999999</v>
      </c>
      <c r="E39" s="18">
        <f t="shared" si="8"/>
        <v>179000</v>
      </c>
      <c r="F39" s="18">
        <f t="shared" si="9"/>
        <v>358</v>
      </c>
      <c r="G39" s="18">
        <f t="shared" si="10"/>
        <v>12.172000000000001</v>
      </c>
      <c r="H39" s="18">
        <f t="shared" si="11"/>
        <v>1.79</v>
      </c>
      <c r="I39" s="18">
        <f t="shared" si="12"/>
        <v>26.037340000000004</v>
      </c>
      <c r="J39" s="18">
        <f t="shared" si="13"/>
        <v>179397.99934000001</v>
      </c>
    </row>
    <row r="40" spans="1:11" s="13" customFormat="1">
      <c r="A40" s="14">
        <v>42688</v>
      </c>
      <c r="B40" s="15" t="s">
        <v>1</v>
      </c>
      <c r="C40" s="16">
        <v>10000</v>
      </c>
      <c r="D40" s="17">
        <v>17.7</v>
      </c>
      <c r="E40" s="18">
        <f t="shared" si="8"/>
        <v>177000</v>
      </c>
      <c r="F40" s="18">
        <f t="shared" si="9"/>
        <v>354</v>
      </c>
      <c r="G40" s="18">
        <f t="shared" si="10"/>
        <v>12.036</v>
      </c>
      <c r="H40" s="18">
        <f t="shared" si="11"/>
        <v>1.7700000000000002</v>
      </c>
      <c r="I40" s="18">
        <f t="shared" si="12"/>
        <v>25.746420000000001</v>
      </c>
      <c r="J40" s="18">
        <f t="shared" si="13"/>
        <v>177393.55241999999</v>
      </c>
    </row>
    <row r="41" spans="1:11" s="13" customFormat="1">
      <c r="A41" s="14">
        <v>42688</v>
      </c>
      <c r="B41" s="15" t="s">
        <v>1</v>
      </c>
      <c r="C41" s="16">
        <v>10000</v>
      </c>
      <c r="D41" s="17">
        <v>17.5</v>
      </c>
      <c r="E41" s="18">
        <f t="shared" si="8"/>
        <v>175000</v>
      </c>
      <c r="F41" s="18">
        <f t="shared" si="9"/>
        <v>350</v>
      </c>
      <c r="G41" s="18">
        <f t="shared" si="10"/>
        <v>11.9</v>
      </c>
      <c r="H41" s="18">
        <f t="shared" si="11"/>
        <v>1.7500000000000002</v>
      </c>
      <c r="I41" s="18">
        <f t="shared" si="12"/>
        <v>25.455500000000001</v>
      </c>
      <c r="J41" s="18">
        <f t="shared" si="13"/>
        <v>175389.10550000001</v>
      </c>
    </row>
    <row r="42" spans="1:11" s="13" customFormat="1">
      <c r="A42" s="14">
        <v>42688</v>
      </c>
      <c r="B42" s="15" t="s">
        <v>1</v>
      </c>
      <c r="C42" s="16">
        <v>10000</v>
      </c>
      <c r="D42" s="17">
        <v>17.3</v>
      </c>
      <c r="E42" s="18">
        <f t="shared" si="8"/>
        <v>173000</v>
      </c>
      <c r="F42" s="18">
        <f t="shared" si="9"/>
        <v>346</v>
      </c>
      <c r="G42" s="18">
        <f t="shared" si="10"/>
        <v>11.763999999999999</v>
      </c>
      <c r="H42" s="18">
        <f t="shared" si="11"/>
        <v>1.7300000000000002</v>
      </c>
      <c r="I42" s="18">
        <f t="shared" si="12"/>
        <v>25.164580000000004</v>
      </c>
      <c r="J42" s="18">
        <f t="shared" si="13"/>
        <v>173384.65858000002</v>
      </c>
    </row>
    <row r="43" spans="1:11" s="13" customFormat="1">
      <c r="A43" s="14">
        <v>42691</v>
      </c>
      <c r="B43" s="15" t="s">
        <v>1</v>
      </c>
      <c r="C43" s="16">
        <v>10000</v>
      </c>
      <c r="D43" s="17">
        <v>15.3</v>
      </c>
      <c r="E43" s="18">
        <f t="shared" si="8"/>
        <v>153000</v>
      </c>
      <c r="F43" s="18">
        <f t="shared" si="9"/>
        <v>306</v>
      </c>
      <c r="G43" s="18">
        <f t="shared" si="10"/>
        <v>10.404</v>
      </c>
      <c r="H43" s="18">
        <f t="shared" si="11"/>
        <v>1.53</v>
      </c>
      <c r="I43" s="18">
        <f t="shared" si="12"/>
        <v>22.255379999999999</v>
      </c>
      <c r="J43" s="18">
        <f t="shared" si="13"/>
        <v>153340.18938</v>
      </c>
    </row>
    <row r="44" spans="1:11" s="13" customFormat="1">
      <c r="A44" s="14">
        <v>42720</v>
      </c>
      <c r="B44" s="15" t="s">
        <v>1</v>
      </c>
      <c r="C44" s="16">
        <v>10000</v>
      </c>
      <c r="D44" s="17">
        <v>17.100000000000001</v>
      </c>
      <c r="E44" s="18">
        <f t="shared" si="8"/>
        <v>171000</v>
      </c>
      <c r="F44" s="18">
        <f t="shared" si="9"/>
        <v>342</v>
      </c>
      <c r="G44" s="18">
        <f t="shared" si="10"/>
        <v>11.628</v>
      </c>
      <c r="H44" s="18">
        <f t="shared" si="11"/>
        <v>1.7100000000000002</v>
      </c>
      <c r="I44" s="18">
        <f t="shared" si="12"/>
        <v>24.873660000000001</v>
      </c>
      <c r="J44" s="18">
        <f t="shared" si="13"/>
        <v>171380.21166</v>
      </c>
    </row>
    <row r="45" spans="1:11">
      <c r="C45" s="22">
        <f>SUM(C38:C44)</f>
        <v>80000</v>
      </c>
      <c r="D45" s="21">
        <f>E45/C45</f>
        <v>17.399999999999999</v>
      </c>
      <c r="E45" s="22">
        <f t="shared" ref="E45:J45" si="14">SUM(E38:E44)</f>
        <v>1392000</v>
      </c>
      <c r="F45" s="22">
        <f t="shared" si="14"/>
        <v>2784</v>
      </c>
      <c r="G45" s="22">
        <f t="shared" si="14"/>
        <v>94.655999999999992</v>
      </c>
      <c r="H45" s="22">
        <f t="shared" si="14"/>
        <v>13.920000000000002</v>
      </c>
      <c r="I45" s="22">
        <f t="shared" si="14"/>
        <v>202.48032000000001</v>
      </c>
      <c r="J45" s="22">
        <f t="shared" si="14"/>
        <v>1395095.05632</v>
      </c>
    </row>
    <row r="47" spans="1:11" s="13" customFormat="1">
      <c r="A47" s="14">
        <v>42720</v>
      </c>
      <c r="B47" s="15" t="s">
        <v>23</v>
      </c>
      <c r="C47" s="16">
        <v>75000</v>
      </c>
      <c r="D47" s="40">
        <v>16.899999999999999</v>
      </c>
      <c r="E47" s="18">
        <f>C47*D47</f>
        <v>1267500</v>
      </c>
      <c r="F47" s="18">
        <f>E47*0.002</f>
        <v>2535</v>
      </c>
      <c r="G47" s="18">
        <f>E47*0.000068</f>
        <v>86.19</v>
      </c>
      <c r="H47" s="18">
        <f>E47*0.00001</f>
        <v>12.675000000000001</v>
      </c>
      <c r="I47" s="18">
        <f>(F47+G47+H47)*0.07</f>
        <v>184.37055000000004</v>
      </c>
      <c r="J47" s="18">
        <f>E47+F47+I47+G47+H47</f>
        <v>1270318.2355500001</v>
      </c>
    </row>
    <row r="48" spans="1:11" s="13" customFormat="1">
      <c r="A48" s="14">
        <v>44271</v>
      </c>
      <c r="B48" s="15" t="s">
        <v>1</v>
      </c>
      <c r="C48" s="16">
        <v>5000</v>
      </c>
      <c r="D48" s="40">
        <v>13.7</v>
      </c>
      <c r="E48" s="18">
        <f>C48*D48</f>
        <v>68500</v>
      </c>
      <c r="F48" s="18">
        <f>E48*0.002</f>
        <v>137</v>
      </c>
      <c r="G48" s="18">
        <f>E48*0.000068</f>
        <v>4.6580000000000004</v>
      </c>
      <c r="H48" s="18">
        <f>E48*0.00001</f>
        <v>0.68500000000000005</v>
      </c>
      <c r="I48" s="18">
        <f>(F48+G48+H48)*0.07</f>
        <v>9.96401</v>
      </c>
      <c r="J48" s="18">
        <f>E48+F48+I48+G48+H48</f>
        <v>68652.30700999999</v>
      </c>
    </row>
    <row r="49" spans="1:10">
      <c r="A49" s="42"/>
      <c r="B49" s="4"/>
      <c r="C49" s="5">
        <f>SUM(C47:C48)</f>
        <v>80000</v>
      </c>
      <c r="D49" s="66">
        <f>E49/C49</f>
        <v>16.7</v>
      </c>
      <c r="E49" s="37">
        <f t="shared" ref="E49:J49" si="15">SUM(E47:E48)</f>
        <v>1336000</v>
      </c>
      <c r="F49" s="37">
        <f t="shared" si="15"/>
        <v>2672</v>
      </c>
      <c r="G49" s="37">
        <f t="shared" si="15"/>
        <v>90.847999999999999</v>
      </c>
      <c r="H49" s="37">
        <f t="shared" si="15"/>
        <v>13.360000000000001</v>
      </c>
      <c r="I49" s="37">
        <f t="shared" si="15"/>
        <v>194.33456000000004</v>
      </c>
      <c r="J49" s="37">
        <f t="shared" si="15"/>
        <v>1338970.54256</v>
      </c>
    </row>
    <row r="50" spans="1:10" s="13" customFormat="1">
      <c r="A50" s="14">
        <v>44351</v>
      </c>
      <c r="B50" s="15" t="s">
        <v>23</v>
      </c>
      <c r="C50" s="16">
        <v>70000</v>
      </c>
      <c r="D50" s="40">
        <v>16.7</v>
      </c>
      <c r="E50" s="18">
        <f>C50*D50</f>
        <v>1169000</v>
      </c>
      <c r="F50" s="18">
        <f>E50*0.002</f>
        <v>2338</v>
      </c>
      <c r="G50" s="18">
        <f>E50*0.000068</f>
        <v>79.492000000000004</v>
      </c>
      <c r="H50" s="18">
        <f>E50*0.00001</f>
        <v>11.690000000000001</v>
      </c>
      <c r="I50" s="18">
        <f>(F50+G50+H50)*0.07</f>
        <v>170.04274000000004</v>
      </c>
      <c r="J50" s="18">
        <f>E50+F50+I50+G50+H50</f>
        <v>1171599.22474</v>
      </c>
    </row>
    <row r="51" spans="1:10" s="13" customFormat="1">
      <c r="A51" s="14">
        <v>44557</v>
      </c>
      <c r="B51" s="15" t="s">
        <v>2</v>
      </c>
      <c r="C51" s="16">
        <v>60000</v>
      </c>
      <c r="D51" s="40">
        <v>16.7</v>
      </c>
      <c r="E51" s="18">
        <f>C51*D51</f>
        <v>1002000</v>
      </c>
      <c r="F51" s="18">
        <f>E51*0.002</f>
        <v>2004</v>
      </c>
      <c r="G51" s="18">
        <f>E51*0.000068</f>
        <v>68.135999999999996</v>
      </c>
      <c r="H51" s="18">
        <f>E51*0.00001</f>
        <v>10.020000000000001</v>
      </c>
      <c r="I51" s="18">
        <f>(F51+G51+H51)*0.07</f>
        <v>145.75092000000001</v>
      </c>
      <c r="J51" s="18">
        <f>E51+F51+I51+G51+H51</f>
        <v>1004227.9069200001</v>
      </c>
    </row>
    <row r="52" spans="1:10" s="13" customFormat="1">
      <c r="A52" s="14">
        <v>44588</v>
      </c>
      <c r="B52" s="15" t="s">
        <v>2</v>
      </c>
      <c r="C52" s="16">
        <v>55000</v>
      </c>
      <c r="D52" s="40">
        <v>16.7</v>
      </c>
      <c r="E52" s="18">
        <f>C52*D52</f>
        <v>918500</v>
      </c>
      <c r="F52" s="18">
        <f>E52*0.002</f>
        <v>1837</v>
      </c>
      <c r="G52" s="18">
        <f>E52*0.000068</f>
        <v>62.457999999999998</v>
      </c>
      <c r="H52" s="18">
        <f>E52*0.00001</f>
        <v>9.1850000000000005</v>
      </c>
      <c r="I52" s="18">
        <f>(F52+G52+H52)*0.07</f>
        <v>133.60501000000002</v>
      </c>
      <c r="J52" s="18">
        <f>E52+F52+I52+G52+H52</f>
        <v>920542.2480100001</v>
      </c>
    </row>
    <row r="53" spans="1:10" s="13" customFormat="1">
      <c r="A53" s="14">
        <v>44595</v>
      </c>
      <c r="B53" s="15" t="s">
        <v>2</v>
      </c>
      <c r="C53" s="16">
        <v>50000</v>
      </c>
      <c r="D53" s="40">
        <v>16.7</v>
      </c>
      <c r="E53" s="18">
        <f>C53*D53</f>
        <v>835000</v>
      </c>
      <c r="F53" s="18">
        <f>E53*0.002</f>
        <v>1670</v>
      </c>
      <c r="G53" s="18">
        <f>E53*0.000068</f>
        <v>56.78</v>
      </c>
      <c r="H53" s="18">
        <f>E53*0.00001</f>
        <v>8.3500000000000014</v>
      </c>
      <c r="I53" s="18">
        <f>(F53+G53+H53)*0.07</f>
        <v>121.45910000000001</v>
      </c>
      <c r="J53" s="18">
        <f>E53+F53+I53+G53+H53</f>
        <v>836856.58909999998</v>
      </c>
    </row>
    <row r="54" spans="1:10" s="13" customFormat="1">
      <c r="A54" s="14">
        <v>44669</v>
      </c>
      <c r="B54" s="15" t="s">
        <v>1</v>
      </c>
      <c r="C54" s="16">
        <v>25000</v>
      </c>
      <c r="D54" s="40">
        <v>12.8</v>
      </c>
      <c r="E54" s="18">
        <f>C54*D54</f>
        <v>320000</v>
      </c>
      <c r="F54" s="18">
        <f>E54*0.002</f>
        <v>640</v>
      </c>
      <c r="G54" s="18">
        <f>E54*0.000068</f>
        <v>21.76</v>
      </c>
      <c r="H54" s="18">
        <f>E54*0.00001</f>
        <v>3.2</v>
      </c>
      <c r="I54" s="18">
        <f>(F54+G54+H54)*0.07</f>
        <v>46.547200000000004</v>
      </c>
      <c r="J54" s="18">
        <f>E54+F54+I54+G54+H54</f>
        <v>320711.50719999999</v>
      </c>
    </row>
    <row r="55" spans="1:10">
      <c r="A55" s="42"/>
      <c r="B55" s="12">
        <f>(D54-D53)/D53</f>
        <v>-0.23353293413173645</v>
      </c>
      <c r="C55" s="5">
        <f>SUM(C53:C54)</f>
        <v>75000</v>
      </c>
      <c r="D55" s="66">
        <f>E55/C55</f>
        <v>15.4</v>
      </c>
      <c r="E55" s="37">
        <f t="shared" ref="E55:J55" si="16">SUM(E53:E54)</f>
        <v>1155000</v>
      </c>
      <c r="F55" s="37">
        <f t="shared" si="16"/>
        <v>2310</v>
      </c>
      <c r="G55" s="37">
        <f t="shared" si="16"/>
        <v>78.540000000000006</v>
      </c>
      <c r="H55" s="37">
        <f t="shared" si="16"/>
        <v>11.55</v>
      </c>
      <c r="I55" s="37">
        <f t="shared" si="16"/>
        <v>168.00630000000001</v>
      </c>
      <c r="J55" s="37">
        <f t="shared" si="16"/>
        <v>1157568.0962999999</v>
      </c>
    </row>
    <row r="56" spans="1:10" s="13" customFormat="1" ht="12.75">
      <c r="A56" s="8">
        <v>44740</v>
      </c>
      <c r="B56" s="13" t="s">
        <v>1</v>
      </c>
      <c r="C56" s="10">
        <v>5000</v>
      </c>
      <c r="D56" s="64">
        <v>9</v>
      </c>
      <c r="E56" s="20">
        <f>C56*D56</f>
        <v>45000</v>
      </c>
      <c r="F56" s="20">
        <f>E56*0.002</f>
        <v>90</v>
      </c>
      <c r="G56" s="20">
        <f>E56*0.000068</f>
        <v>3.06</v>
      </c>
      <c r="H56" s="20">
        <f>E56*0.00001</f>
        <v>0.45</v>
      </c>
      <c r="I56" s="20">
        <f>(F56+G56+H56)*0.07</f>
        <v>6.545700000000001</v>
      </c>
      <c r="J56" s="20">
        <f>E56+F56+I56+G56+H56</f>
        <v>45100.055699999997</v>
      </c>
    </row>
    <row r="57" spans="1:10" ht="12.75">
      <c r="B57" s="12">
        <f>(D56-D55)/D55</f>
        <v>-0.41558441558441561</v>
      </c>
      <c r="C57" s="22">
        <f>SUM(C55:C56)</f>
        <v>80000</v>
      </c>
      <c r="D57" s="65">
        <f>E57/C57</f>
        <v>15</v>
      </c>
      <c r="E57" s="24">
        <f t="shared" ref="E57:J57" si="17">SUM(E55:E56)</f>
        <v>1200000</v>
      </c>
      <c r="F57" s="24">
        <f t="shared" si="17"/>
        <v>2400</v>
      </c>
      <c r="G57" s="24">
        <f t="shared" si="17"/>
        <v>81.600000000000009</v>
      </c>
      <c r="H57" s="24">
        <f t="shared" si="17"/>
        <v>12</v>
      </c>
      <c r="I57" s="24">
        <f t="shared" si="17"/>
        <v>174.55200000000002</v>
      </c>
      <c r="J57" s="24">
        <f t="shared" si="17"/>
        <v>1202668.1519999998</v>
      </c>
    </row>
    <row r="58" spans="1:10" ht="12.75"/>
    <row r="59" spans="1:10" s="13" customFormat="1">
      <c r="A59" s="14">
        <v>44672</v>
      </c>
      <c r="B59" s="15" t="s">
        <v>1</v>
      </c>
      <c r="C59" s="16">
        <v>15000</v>
      </c>
      <c r="D59" s="40">
        <v>12.1</v>
      </c>
      <c r="E59" s="18">
        <f>C59*D59</f>
        <v>181500</v>
      </c>
      <c r="F59" s="18">
        <f>E59*0.002</f>
        <v>363</v>
      </c>
      <c r="G59" s="18">
        <f>E59*0.000068</f>
        <v>12.342000000000001</v>
      </c>
      <c r="H59" s="18">
        <f>E59*0.00001</f>
        <v>1.8150000000000002</v>
      </c>
      <c r="I59" s="18">
        <f>(F59+G59+H59)*0.07</f>
        <v>26.40099</v>
      </c>
      <c r="J59" s="18">
        <f>E59+F59+I59+G59+H59</f>
        <v>181903.55799</v>
      </c>
    </row>
    <row r="60" spans="1:10">
      <c r="A60" s="49">
        <v>44679</v>
      </c>
      <c r="B60" s="15" t="s">
        <v>3</v>
      </c>
      <c r="C60" s="16">
        <f>C59</f>
        <v>15000</v>
      </c>
      <c r="D60" s="26">
        <v>12.5</v>
      </c>
      <c r="E60" s="17">
        <f>C60*D60</f>
        <v>187500</v>
      </c>
      <c r="F60" s="27">
        <f>E60*0.002</f>
        <v>375</v>
      </c>
      <c r="G60" s="26">
        <f>E60*0.000068</f>
        <v>12.75</v>
      </c>
      <c r="H60" s="26">
        <f>E60*0.00001</f>
        <v>1.8750000000000002</v>
      </c>
      <c r="I60" s="26">
        <f>(F60+G60+H60)*0.07</f>
        <v>27.273750000000003</v>
      </c>
      <c r="J60" s="26">
        <f>E60-F60-G60-H60-I60</f>
        <v>187083.10125000001</v>
      </c>
    </row>
    <row r="61" spans="1:10">
      <c r="A61" s="28">
        <f>DAYS360(A59,A60)</f>
        <v>7</v>
      </c>
      <c r="B61" s="30">
        <f>(D60-D59)/D59</f>
        <v>3.305785123966945E-2</v>
      </c>
      <c r="C61" s="16"/>
      <c r="D61" s="17"/>
      <c r="E61" s="18">
        <f>E60-E59</f>
        <v>6000</v>
      </c>
      <c r="F61" s="18"/>
      <c r="G61" s="18"/>
      <c r="H61" s="18"/>
      <c r="I61" s="18"/>
      <c r="J61" s="18">
        <f>J60-J59</f>
        <v>5179.5432600000058</v>
      </c>
    </row>
    <row r="62" spans="1:10" s="13" customFormat="1" ht="12.75">
      <c r="A62" s="14">
        <v>44740</v>
      </c>
      <c r="B62" s="15" t="s">
        <v>1</v>
      </c>
      <c r="C62" s="16">
        <f>C56</f>
        <v>5000</v>
      </c>
      <c r="D62" s="40">
        <f>D56</f>
        <v>9</v>
      </c>
      <c r="E62" s="18">
        <f>C62*D62</f>
        <v>45000</v>
      </c>
      <c r="F62" s="18">
        <f>E62*0.002</f>
        <v>90</v>
      </c>
      <c r="G62" s="18">
        <f>E62*0.000068</f>
        <v>3.06</v>
      </c>
      <c r="H62" s="18">
        <f>E62*0.00001</f>
        <v>0.45</v>
      </c>
      <c r="I62" s="18">
        <f>(F62+G62+H62)*0.07</f>
        <v>6.545700000000001</v>
      </c>
      <c r="J62" s="18">
        <f>E62+F62+I62+G62+H62</f>
        <v>45100.055699999997</v>
      </c>
    </row>
    <row r="63" spans="1:10" ht="12.75">
      <c r="A63" s="49">
        <v>44741</v>
      </c>
      <c r="B63" s="15" t="s">
        <v>3</v>
      </c>
      <c r="C63" s="16">
        <f>C62</f>
        <v>5000</v>
      </c>
      <c r="D63" s="26">
        <v>11.7</v>
      </c>
      <c r="E63" s="17">
        <f>C63*D63</f>
        <v>58500</v>
      </c>
      <c r="F63" s="27">
        <f>E63*0.002</f>
        <v>117</v>
      </c>
      <c r="G63" s="26">
        <f>E63*0.000068</f>
        <v>3.9779999999999998</v>
      </c>
      <c r="H63" s="26">
        <f>E63*0.00001</f>
        <v>0.58500000000000008</v>
      </c>
      <c r="I63" s="26">
        <f>(F63+G63+H63)*0.07</f>
        <v>8.5094100000000008</v>
      </c>
      <c r="J63" s="26">
        <f>E63-F63-G63-H63-I63</f>
        <v>58369.927589999999</v>
      </c>
    </row>
    <row r="64" spans="1:10" ht="12.75">
      <c r="A64" s="28">
        <f>DAYS360(A62,A63)</f>
        <v>1</v>
      </c>
      <c r="B64" s="30">
        <f>(D63-D62)/D62</f>
        <v>0.29999999999999993</v>
      </c>
      <c r="C64" s="16"/>
      <c r="D64" s="17"/>
      <c r="E64" s="18">
        <f>E63-E62</f>
        <v>13500</v>
      </c>
      <c r="F64" s="18"/>
      <c r="G64" s="18"/>
      <c r="H64" s="18"/>
      <c r="I64" s="18"/>
      <c r="J64" s="18">
        <f>J63-J62</f>
        <v>13269.871890000002</v>
      </c>
    </row>
    <row r="65" ht="12.75"/>
    <row r="66" ht="12.75"/>
    <row r="67" ht="12.75"/>
    <row r="68" ht="12.75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701E-1EA3-43D6-ACCE-96288D740D8D}">
  <dimension ref="A1:M13"/>
  <sheetViews>
    <sheetView workbookViewId="0">
      <selection activeCell="A11" sqref="A11:XFD13"/>
    </sheetView>
  </sheetViews>
  <sheetFormatPr defaultColWidth="8.875" defaultRowHeight="14.25"/>
  <cols>
    <col min="1" max="1" width="10.625" style="38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5.625" style="21" bestFit="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24</v>
      </c>
    </row>
    <row r="2" spans="1:13" s="1" customFormat="1">
      <c r="A2" s="49">
        <v>44440</v>
      </c>
      <c r="B2" s="15" t="s">
        <v>1</v>
      </c>
      <c r="C2" s="16">
        <v>18000</v>
      </c>
      <c r="D2" s="41">
        <v>7.5</v>
      </c>
      <c r="E2" s="18">
        <f>C2*D2</f>
        <v>135000</v>
      </c>
      <c r="F2" s="18">
        <f>E2*0.002</f>
        <v>270</v>
      </c>
      <c r="G2" s="18">
        <f>E2*0.00006</f>
        <v>8.1</v>
      </c>
      <c r="H2" s="18">
        <f>E2*0.00001</f>
        <v>1.35</v>
      </c>
      <c r="I2" s="18">
        <f>(F2+G2+H2)*0.07</f>
        <v>19.561500000000006</v>
      </c>
      <c r="J2" s="18">
        <f>E2+F2+I2+G2+H2</f>
        <v>135299.01150000002</v>
      </c>
    </row>
    <row r="3" spans="1:13" s="1" customFormat="1">
      <c r="A3" s="49">
        <v>44474</v>
      </c>
      <c r="B3" s="15" t="s">
        <v>1</v>
      </c>
      <c r="C3" s="16">
        <v>6000</v>
      </c>
      <c r="D3" s="41">
        <v>7.7</v>
      </c>
      <c r="E3" s="18">
        <f>C3*D3</f>
        <v>46200</v>
      </c>
      <c r="F3" s="18">
        <f>E3*0.002</f>
        <v>92.4</v>
      </c>
      <c r="G3" s="18">
        <f>E3*0.00006</f>
        <v>2.7720000000000002</v>
      </c>
      <c r="H3" s="18">
        <f>E3*0.00001</f>
        <v>0.46200000000000002</v>
      </c>
      <c r="I3" s="18">
        <f>(F3+G3+H3)*0.07</f>
        <v>6.6943800000000016</v>
      </c>
      <c r="J3" s="18">
        <f>E3+F3+I3+G3+H3</f>
        <v>46302.328379999999</v>
      </c>
    </row>
    <row r="4" spans="1:13" s="1" customFormat="1">
      <c r="A4" s="49"/>
      <c r="B4" s="15"/>
      <c r="C4" s="16">
        <f>SUM(C2:C3)</f>
        <v>24000</v>
      </c>
      <c r="D4" s="17">
        <f>E4/C4</f>
        <v>7.55</v>
      </c>
      <c r="E4" s="16">
        <f t="shared" ref="E4:J4" si="0">SUM(E2:E3)</f>
        <v>181200</v>
      </c>
      <c r="F4" s="16">
        <f t="shared" si="0"/>
        <v>362.4</v>
      </c>
      <c r="G4" s="16">
        <f t="shared" si="0"/>
        <v>10.872</v>
      </c>
      <c r="H4" s="16">
        <f t="shared" si="0"/>
        <v>1.8120000000000001</v>
      </c>
      <c r="I4" s="16">
        <f t="shared" si="0"/>
        <v>26.255880000000008</v>
      </c>
      <c r="J4" s="16">
        <f t="shared" si="0"/>
        <v>181601.33988000001</v>
      </c>
    </row>
    <row r="5" spans="1:13" s="1" customFormat="1">
      <c r="A5" s="49">
        <v>44477</v>
      </c>
      <c r="B5" s="15" t="s">
        <v>1</v>
      </c>
      <c r="C5" s="16">
        <v>6000</v>
      </c>
      <c r="D5" s="41">
        <v>7.55</v>
      </c>
      <c r="E5" s="18">
        <f>C5*D5</f>
        <v>45300</v>
      </c>
      <c r="F5" s="18">
        <f>E5*0.002</f>
        <v>90.600000000000009</v>
      </c>
      <c r="G5" s="18">
        <f>E5*0.00006</f>
        <v>2.718</v>
      </c>
      <c r="H5" s="18">
        <f>E5*0.00001</f>
        <v>0.45300000000000001</v>
      </c>
      <c r="I5" s="18">
        <f>(F5+G5+H5)*0.07</f>
        <v>6.5639700000000021</v>
      </c>
      <c r="J5" s="18">
        <f>E5+F5+I5+G5+H5</f>
        <v>45400.334970000004</v>
      </c>
    </row>
    <row r="6" spans="1:13" s="1" customFormat="1">
      <c r="A6" s="49"/>
      <c r="B6" s="15"/>
      <c r="C6" s="16">
        <f>SUM(C4:C5)</f>
        <v>30000</v>
      </c>
      <c r="D6" s="17">
        <f>E6/C6</f>
        <v>7.55</v>
      </c>
      <c r="E6" s="16">
        <f t="shared" ref="E6:J6" si="1">SUM(E4:E5)</f>
        <v>226500</v>
      </c>
      <c r="F6" s="16">
        <f t="shared" si="1"/>
        <v>453</v>
      </c>
      <c r="G6" s="16">
        <f t="shared" si="1"/>
        <v>13.59</v>
      </c>
      <c r="H6" s="16">
        <f t="shared" si="1"/>
        <v>2.2650000000000001</v>
      </c>
      <c r="I6" s="16">
        <f t="shared" si="1"/>
        <v>32.81985000000001</v>
      </c>
      <c r="J6" s="16">
        <f t="shared" si="1"/>
        <v>227001.67485000001</v>
      </c>
    </row>
    <row r="7" spans="1:13" s="1" customFormat="1">
      <c r="A7" s="49">
        <v>44504</v>
      </c>
      <c r="B7" s="15" t="s">
        <v>1</v>
      </c>
      <c r="C7" s="16">
        <v>6000</v>
      </c>
      <c r="D7" s="41">
        <v>6.95</v>
      </c>
      <c r="E7" s="18">
        <f>C7*D7</f>
        <v>41700</v>
      </c>
      <c r="F7" s="18">
        <f>E7*0.002</f>
        <v>83.4</v>
      </c>
      <c r="G7" s="18">
        <f>E7*0.00006</f>
        <v>2.5020000000000002</v>
      </c>
      <c r="H7" s="18">
        <f>E7*0.00001</f>
        <v>0.41700000000000004</v>
      </c>
      <c r="I7" s="18">
        <f>(F7+G7+H7)*0.07</f>
        <v>6.0423300000000006</v>
      </c>
      <c r="J7" s="18">
        <f>E7+F7+I7+G7+H7</f>
        <v>41792.36133</v>
      </c>
    </row>
    <row r="8" spans="1:13" s="1" customFormat="1">
      <c r="A8" s="49"/>
      <c r="B8" s="30">
        <f>(D7-D6)/D6</f>
        <v>-7.9470198675496637E-2</v>
      </c>
      <c r="C8" s="16">
        <f>SUM(C6:C7)</f>
        <v>36000</v>
      </c>
      <c r="D8" s="17">
        <f>E8/C8</f>
        <v>7.45</v>
      </c>
      <c r="E8" s="16">
        <f t="shared" ref="E8:J9" si="2">SUM(E6:E7)</f>
        <v>268200</v>
      </c>
      <c r="F8" s="16">
        <f t="shared" si="2"/>
        <v>536.4</v>
      </c>
      <c r="G8" s="16">
        <f t="shared" si="2"/>
        <v>16.091999999999999</v>
      </c>
      <c r="H8" s="16">
        <f t="shared" si="2"/>
        <v>2.6820000000000004</v>
      </c>
      <c r="I8" s="16">
        <f t="shared" si="2"/>
        <v>38.862180000000009</v>
      </c>
      <c r="J8" s="16">
        <f t="shared" si="2"/>
        <v>268794.03618</v>
      </c>
    </row>
    <row r="9" spans="1:13" s="1" customFormat="1">
      <c r="A9" s="49">
        <v>44592</v>
      </c>
      <c r="B9" s="30" t="s">
        <v>6</v>
      </c>
      <c r="C9" s="16">
        <v>27000</v>
      </c>
      <c r="D9" s="17">
        <v>7.45</v>
      </c>
      <c r="E9" s="18">
        <f>C9*D9</f>
        <v>201150</v>
      </c>
      <c r="F9" s="18">
        <f>E9*0.002</f>
        <v>402.3</v>
      </c>
      <c r="G9" s="18">
        <f>E9*0.00006</f>
        <v>12.069000000000001</v>
      </c>
      <c r="H9" s="18">
        <f>E9*0.00001</f>
        <v>2.0115000000000003</v>
      </c>
      <c r="I9" s="18">
        <f>(F9+G9+H9)*0.07</f>
        <v>29.146635000000007</v>
      </c>
      <c r="J9" s="18">
        <f>E9+F9+I9+G9+H9</f>
        <v>201595.52713499998</v>
      </c>
    </row>
    <row r="10" spans="1:13">
      <c r="J10" s="24"/>
    </row>
    <row r="11" spans="1:13">
      <c r="A11" s="49">
        <v>44419</v>
      </c>
      <c r="B11" s="15" t="s">
        <v>1</v>
      </c>
      <c r="C11" s="16">
        <v>9000</v>
      </c>
      <c r="D11" s="17">
        <v>7.45</v>
      </c>
      <c r="E11" s="18">
        <f>C11*D11</f>
        <v>67050</v>
      </c>
      <c r="F11" s="18">
        <f>E11*0.002</f>
        <v>134.1</v>
      </c>
      <c r="G11" s="18">
        <f>E11*0.000068</f>
        <v>4.5594000000000001</v>
      </c>
      <c r="H11" s="18">
        <f>E11*0.00001</f>
        <v>0.6705000000000001</v>
      </c>
      <c r="I11" s="18">
        <f>(F11+G11+H11)*0.07</f>
        <v>9.7530930000000016</v>
      </c>
      <c r="J11" s="18">
        <f>E11+F11+I11+G11+H11</f>
        <v>67199.082993000004</v>
      </c>
      <c r="L11" s="25"/>
      <c r="M11" s="21"/>
    </row>
    <row r="12" spans="1:13" s="13" customFormat="1">
      <c r="A12" s="49">
        <v>44592</v>
      </c>
      <c r="B12" s="15" t="s">
        <v>3</v>
      </c>
      <c r="C12" s="16">
        <f>C11</f>
        <v>9000</v>
      </c>
      <c r="D12" s="26">
        <v>7.3</v>
      </c>
      <c r="E12" s="17">
        <f>C12*D12</f>
        <v>65700</v>
      </c>
      <c r="F12" s="27">
        <f>E12*0.002</f>
        <v>131.4</v>
      </c>
      <c r="G12" s="26">
        <f>E12*0.000068</f>
        <v>4.4676</v>
      </c>
      <c r="H12" s="26">
        <f>E12*0.00001</f>
        <v>0.65700000000000003</v>
      </c>
      <c r="I12" s="26">
        <f>(F12+G12+H12)*0.07</f>
        <v>9.5567220000000024</v>
      </c>
      <c r="J12" s="26">
        <f>E12-F12-G12-H12-I12</f>
        <v>65553.918678000002</v>
      </c>
    </row>
    <row r="13" spans="1:13" s="31" customFormat="1" ht="18.75">
      <c r="A13" s="28">
        <f>DAYS360(A11,A12)</f>
        <v>170</v>
      </c>
      <c r="B13" s="29" t="s">
        <v>4</v>
      </c>
      <c r="C13" s="16"/>
      <c r="D13" s="17"/>
      <c r="E13" s="18">
        <f>E12-E11</f>
        <v>-1350</v>
      </c>
      <c r="F13" s="18"/>
      <c r="G13" s="18"/>
      <c r="H13" s="18"/>
      <c r="I13" s="18"/>
      <c r="J13" s="18">
        <f>J12-J11</f>
        <v>-1645.1643150000018</v>
      </c>
      <c r="K13" s="32"/>
      <c r="L13" s="12"/>
      <c r="M13" s="1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85145-85AB-4FD8-916A-3D8FBC3904D4}">
  <dimension ref="A1:M16"/>
  <sheetViews>
    <sheetView workbookViewId="0">
      <selection activeCell="A6" sqref="A6:XFD8"/>
    </sheetView>
  </sheetViews>
  <sheetFormatPr defaultColWidth="8.875" defaultRowHeight="14.25"/>
  <cols>
    <col min="1" max="1" width="10.625" style="38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5.625" style="21" bestFit="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25</v>
      </c>
    </row>
    <row r="2" spans="1:13" s="1" customFormat="1">
      <c r="A2" s="49">
        <v>44658</v>
      </c>
      <c r="B2" s="15" t="s">
        <v>1</v>
      </c>
      <c r="C2" s="16">
        <v>15000</v>
      </c>
      <c r="D2" s="41">
        <v>11</v>
      </c>
      <c r="E2" s="18">
        <f>C2*D2</f>
        <v>165000</v>
      </c>
      <c r="F2" s="18">
        <f>E2*0.002</f>
        <v>330</v>
      </c>
      <c r="G2" s="18">
        <f>E2*0.00006</f>
        <v>9.9</v>
      </c>
      <c r="H2" s="18">
        <f>E2*0.00001</f>
        <v>1.6500000000000001</v>
      </c>
      <c r="I2" s="18">
        <f>(F2+G2+H2)*0.07</f>
        <v>23.9085</v>
      </c>
      <c r="J2" s="18">
        <f>E2+F2+I2+G2+H2</f>
        <v>165365.45849999998</v>
      </c>
    </row>
    <row r="3" spans="1:13" s="1" customFormat="1">
      <c r="A3" s="49">
        <v>44659</v>
      </c>
      <c r="B3" s="15" t="s">
        <v>1</v>
      </c>
      <c r="C3" s="16">
        <v>15000</v>
      </c>
      <c r="D3" s="41">
        <v>11</v>
      </c>
      <c r="E3" s="18">
        <f>C3*D3</f>
        <v>165000</v>
      </c>
      <c r="F3" s="18">
        <f>E3*0.002</f>
        <v>330</v>
      </c>
      <c r="G3" s="18">
        <f>E3*0.00006</f>
        <v>9.9</v>
      </c>
      <c r="H3" s="18">
        <f>E3*0.00001</f>
        <v>1.6500000000000001</v>
      </c>
      <c r="I3" s="18">
        <f>(F3+G3+H3)*0.07</f>
        <v>23.9085</v>
      </c>
      <c r="J3" s="18">
        <f>E3+F3+I3+G3+H3</f>
        <v>165365.45849999998</v>
      </c>
    </row>
    <row r="4" spans="1:13" s="1" customFormat="1">
      <c r="A4" s="49"/>
      <c r="B4" s="30">
        <f>(D3-D2)/D2</f>
        <v>0</v>
      </c>
      <c r="C4" s="16">
        <f>SUM(C2:C3)</f>
        <v>30000</v>
      </c>
      <c r="D4" s="17">
        <f>E4/C4</f>
        <v>11</v>
      </c>
      <c r="E4" s="16">
        <f t="shared" ref="E4:J4" si="0">SUM(E2:E3)</f>
        <v>330000</v>
      </c>
      <c r="F4" s="16">
        <f t="shared" si="0"/>
        <v>660</v>
      </c>
      <c r="G4" s="16">
        <f t="shared" si="0"/>
        <v>19.8</v>
      </c>
      <c r="H4" s="16">
        <f t="shared" si="0"/>
        <v>3.3000000000000003</v>
      </c>
      <c r="I4" s="16">
        <f t="shared" si="0"/>
        <v>47.817</v>
      </c>
      <c r="J4" s="16">
        <f t="shared" si="0"/>
        <v>330730.91699999996</v>
      </c>
    </row>
    <row r="5" spans="1:13" s="1" customFormat="1">
      <c r="A5" s="49">
        <v>44676</v>
      </c>
      <c r="B5" s="15" t="s">
        <v>1</v>
      </c>
      <c r="C5" s="16">
        <v>15000</v>
      </c>
      <c r="D5" s="41">
        <v>11</v>
      </c>
      <c r="E5" s="18">
        <f>C5*D5</f>
        <v>165000</v>
      </c>
      <c r="F5" s="18">
        <f>E5*0.002</f>
        <v>330</v>
      </c>
      <c r="G5" s="18">
        <f>E5*0.00006</f>
        <v>9.9</v>
      </c>
      <c r="H5" s="18">
        <f>E5*0.00001</f>
        <v>1.6500000000000001</v>
      </c>
      <c r="I5" s="18">
        <f>(F5+G5+H5)*0.07</f>
        <v>23.9085</v>
      </c>
      <c r="J5" s="18">
        <f>E5+F5+I5+G5+H5</f>
        <v>165365.45849999998</v>
      </c>
    </row>
    <row r="6" spans="1:13" s="1" customFormat="1">
      <c r="A6" s="49"/>
      <c r="B6" s="30">
        <f>(D5-D4)/D4</f>
        <v>0</v>
      </c>
      <c r="C6" s="16">
        <f>SUM(C4:C5)</f>
        <v>45000</v>
      </c>
      <c r="D6" s="17">
        <f>E6/C6</f>
        <v>11</v>
      </c>
      <c r="E6" s="16">
        <f t="shared" ref="E6:J6" si="1">SUM(E4:E5)</f>
        <v>495000</v>
      </c>
      <c r="F6" s="16">
        <f t="shared" si="1"/>
        <v>990</v>
      </c>
      <c r="G6" s="16">
        <f t="shared" si="1"/>
        <v>29.700000000000003</v>
      </c>
      <c r="H6" s="16">
        <f t="shared" si="1"/>
        <v>4.95</v>
      </c>
      <c r="I6" s="16">
        <f t="shared" si="1"/>
        <v>71.725499999999997</v>
      </c>
      <c r="J6" s="16">
        <f t="shared" si="1"/>
        <v>496096.37549999997</v>
      </c>
    </row>
    <row r="7" spans="1:13" s="1" customFormat="1">
      <c r="A7" s="56">
        <v>44676</v>
      </c>
      <c r="B7" s="13" t="s">
        <v>1</v>
      </c>
      <c r="C7" s="10">
        <v>15000</v>
      </c>
      <c r="D7" s="46">
        <v>10.199999999999999</v>
      </c>
      <c r="E7" s="20">
        <f>C7*D7</f>
        <v>153000</v>
      </c>
      <c r="F7" s="20">
        <f>E7*0.002</f>
        <v>306</v>
      </c>
      <c r="G7" s="20">
        <f>E7*0.00006</f>
        <v>9.18</v>
      </c>
      <c r="H7" s="20">
        <f>E7*0.00001</f>
        <v>1.53</v>
      </c>
      <c r="I7" s="20">
        <f>(F7+G7+H7)*0.07</f>
        <v>22.169700000000002</v>
      </c>
      <c r="J7" s="20">
        <f>E7+F7+I7+G7+H7</f>
        <v>153338.87969999999</v>
      </c>
    </row>
    <row r="8" spans="1:13" s="1" customFormat="1">
      <c r="A8" s="56"/>
      <c r="B8" s="12">
        <f>(D7-D6)/D6</f>
        <v>-7.2727272727272793E-2</v>
      </c>
      <c r="C8" s="10">
        <f>SUM(C6:C7)</f>
        <v>60000</v>
      </c>
      <c r="D8" s="11">
        <f>E8/C8</f>
        <v>10.8</v>
      </c>
      <c r="E8" s="10">
        <f t="shared" ref="E8:J8" si="2">SUM(E6:E7)</f>
        <v>648000</v>
      </c>
      <c r="F8" s="10">
        <f t="shared" si="2"/>
        <v>1296</v>
      </c>
      <c r="G8" s="10">
        <f t="shared" si="2"/>
        <v>38.880000000000003</v>
      </c>
      <c r="H8" s="10">
        <f t="shared" si="2"/>
        <v>6.48</v>
      </c>
      <c r="I8" s="10">
        <f t="shared" si="2"/>
        <v>93.895200000000003</v>
      </c>
      <c r="J8" s="10">
        <f t="shared" si="2"/>
        <v>649435.25520000001</v>
      </c>
    </row>
    <row r="10" spans="1:13" s="1" customFormat="1" ht="12.75">
      <c r="A10" s="56">
        <v>44676</v>
      </c>
      <c r="B10" s="13" t="s">
        <v>1</v>
      </c>
      <c r="C10" s="10">
        <v>15000</v>
      </c>
      <c r="D10" s="46">
        <v>11</v>
      </c>
      <c r="E10" s="20">
        <f>C10*D10</f>
        <v>165000</v>
      </c>
      <c r="F10" s="20">
        <f>E10*0.002</f>
        <v>330</v>
      </c>
      <c r="G10" s="20">
        <f>E10*0.00006</f>
        <v>9.9</v>
      </c>
      <c r="H10" s="20">
        <f>E10*0.00001</f>
        <v>1.6500000000000001</v>
      </c>
      <c r="I10" s="20">
        <f>(F10+G10+H10)*0.07</f>
        <v>23.9085</v>
      </c>
      <c r="J10" s="20">
        <f>E10+F10+I10+G10+H10</f>
        <v>165365.45849999998</v>
      </c>
    </row>
    <row r="11" spans="1:13" s="13" customFormat="1" ht="12.75">
      <c r="A11" s="56">
        <v>44809</v>
      </c>
      <c r="B11" s="13" t="s">
        <v>3</v>
      </c>
      <c r="C11" s="10">
        <f>C10</f>
        <v>15000</v>
      </c>
      <c r="D11" s="34">
        <v>10.6</v>
      </c>
      <c r="E11" s="11">
        <f>C11*D11</f>
        <v>159000</v>
      </c>
      <c r="F11" s="35">
        <f>E11*0.002</f>
        <v>318</v>
      </c>
      <c r="G11" s="34">
        <f>E11*0.000068</f>
        <v>10.811999999999999</v>
      </c>
      <c r="H11" s="34">
        <f>E11*0.00001</f>
        <v>1.59</v>
      </c>
      <c r="I11" s="34">
        <f>(F11+G11+H11)*0.07</f>
        <v>23.128140000000002</v>
      </c>
      <c r="J11" s="34">
        <f>E11-F11-G11-H11-I11</f>
        <v>158646.46986000001</v>
      </c>
    </row>
    <row r="12" spans="1:13" s="31" customFormat="1" ht="18.75">
      <c r="A12" s="9">
        <f>DAYS360(A10,A11)</f>
        <v>130</v>
      </c>
      <c r="B12" s="12">
        <f>(D11-D10)/D10</f>
        <v>-3.6363636363636397E-2</v>
      </c>
      <c r="C12" s="10"/>
      <c r="D12" s="11"/>
      <c r="E12" s="20">
        <f>E11-E10</f>
        <v>-6000</v>
      </c>
      <c r="F12" s="20"/>
      <c r="G12" s="20"/>
      <c r="H12" s="20"/>
      <c r="I12" s="20"/>
      <c r="J12" s="20">
        <f>J11-J10</f>
        <v>-6718.9886399999668</v>
      </c>
      <c r="K12" s="32"/>
      <c r="L12" s="12"/>
      <c r="M12" s="12"/>
    </row>
    <row r="14" spans="1:13" s="1" customFormat="1" ht="12.75">
      <c r="A14" s="56">
        <v>44676</v>
      </c>
      <c r="B14" s="13" t="s">
        <v>1</v>
      </c>
      <c r="C14" s="10">
        <v>15000</v>
      </c>
      <c r="D14" s="46">
        <v>9.9</v>
      </c>
      <c r="E14" s="20">
        <f>C14*D14</f>
        <v>148500</v>
      </c>
      <c r="F14" s="20">
        <f>E14*0.002</f>
        <v>297</v>
      </c>
      <c r="G14" s="20">
        <f>E14*0.00006</f>
        <v>8.91</v>
      </c>
      <c r="H14" s="20">
        <f>E14*0.00001</f>
        <v>1.4850000000000001</v>
      </c>
      <c r="I14" s="20">
        <f>(F14+G14+H14)*0.07</f>
        <v>21.517650000000003</v>
      </c>
      <c r="J14" s="20">
        <f>E14+F14+I14+G14+H14</f>
        <v>148828.91264999998</v>
      </c>
    </row>
    <row r="15" spans="1:13" s="13" customFormat="1" ht="12.75">
      <c r="A15" s="56">
        <v>44809</v>
      </c>
      <c r="B15" s="13" t="s">
        <v>3</v>
      </c>
      <c r="C15" s="10">
        <f>C14</f>
        <v>15000</v>
      </c>
      <c r="D15" s="34">
        <v>10.6</v>
      </c>
      <c r="E15" s="11">
        <f>C15*D15</f>
        <v>159000</v>
      </c>
      <c r="F15" s="35">
        <f>E15*0.002</f>
        <v>318</v>
      </c>
      <c r="G15" s="34">
        <f>E15*0.000068</f>
        <v>10.811999999999999</v>
      </c>
      <c r="H15" s="34">
        <f>E15*0.00001</f>
        <v>1.59</v>
      </c>
      <c r="I15" s="34">
        <f>(F15+G15+H15)*0.07</f>
        <v>23.128140000000002</v>
      </c>
      <c r="J15" s="34">
        <f>E15-F15-G15-H15-I15</f>
        <v>158646.46986000001</v>
      </c>
    </row>
    <row r="16" spans="1:13" s="31" customFormat="1" ht="18.75">
      <c r="A16" s="9">
        <f>DAYS360(A14,A15)</f>
        <v>130</v>
      </c>
      <c r="B16" s="12">
        <f>(D15-D14)/D14</f>
        <v>7.0707070707070635E-2</v>
      </c>
      <c r="C16" s="10"/>
      <c r="D16" s="11"/>
      <c r="E16" s="20">
        <f>E15-E14</f>
        <v>10500</v>
      </c>
      <c r="F16" s="20"/>
      <c r="G16" s="20"/>
      <c r="H16" s="20"/>
      <c r="I16" s="20"/>
      <c r="J16" s="20">
        <f>J15-J14</f>
        <v>9817.5572100000281</v>
      </c>
      <c r="K16" s="32"/>
      <c r="L16" s="12"/>
      <c r="M16" s="1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1CC0-18F7-46BF-9D73-A50571C8D635}">
  <dimension ref="A1:M42"/>
  <sheetViews>
    <sheetView topLeftCell="A25" workbookViewId="0">
      <selection activeCell="D34" sqref="D34"/>
    </sheetView>
  </sheetViews>
  <sheetFormatPr defaultColWidth="8.875" defaultRowHeight="14.25"/>
  <cols>
    <col min="1" max="1" width="10.625" style="89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8" style="2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26</v>
      </c>
    </row>
    <row r="2" spans="1:13" s="13" customFormat="1">
      <c r="A2" s="56">
        <v>44508</v>
      </c>
      <c r="B2" s="13" t="s">
        <v>1</v>
      </c>
      <c r="C2" s="10">
        <v>3000</v>
      </c>
      <c r="D2" s="11">
        <v>44</v>
      </c>
      <c r="E2" s="20">
        <f>C2*D2</f>
        <v>132000</v>
      </c>
      <c r="F2" s="20">
        <f>E2*0.002</f>
        <v>264</v>
      </c>
      <c r="G2" s="20">
        <f>E2*0.00006</f>
        <v>7.92</v>
      </c>
      <c r="H2" s="20">
        <f>E2*0.00001</f>
        <v>1.32</v>
      </c>
      <c r="I2" s="20">
        <f>(F2+G2+H2)*0.07</f>
        <v>19.126800000000003</v>
      </c>
      <c r="J2" s="20">
        <f>E2+F2+I2+G2+H2</f>
        <v>132292.36680000002</v>
      </c>
      <c r="K2" s="32"/>
      <c r="L2" s="11"/>
      <c r="M2" s="12"/>
    </row>
    <row r="3" spans="1:13">
      <c r="A3" s="56">
        <v>44517</v>
      </c>
      <c r="B3" s="13" t="s">
        <v>1</v>
      </c>
      <c r="C3" s="10">
        <v>1500</v>
      </c>
      <c r="D3" s="11">
        <v>41</v>
      </c>
      <c r="E3" s="20">
        <f>C3*D3</f>
        <v>61500</v>
      </c>
      <c r="F3" s="20">
        <f>E3*0.002</f>
        <v>123</v>
      </c>
      <c r="G3" s="20">
        <f>E3*0.000068</f>
        <v>4.1820000000000004</v>
      </c>
      <c r="H3" s="20">
        <f>E3*0.00001</f>
        <v>0.6150000000000001</v>
      </c>
      <c r="I3" s="20">
        <f>(F3+G3+H3)*0.07</f>
        <v>8.9457900000000006</v>
      </c>
      <c r="J3" s="20">
        <f>E3+F3+I3+G3+H3</f>
        <v>61636.742789999997</v>
      </c>
      <c r="M3" s="21"/>
    </row>
    <row r="4" spans="1:13">
      <c r="B4" s="25">
        <f>(D3-D2)/D2</f>
        <v>-6.8181818181818177E-2</v>
      </c>
      <c r="C4" s="22">
        <f>SUM(C2:C3)</f>
        <v>4500</v>
      </c>
      <c r="D4" s="65">
        <f>E4/C4</f>
        <v>43</v>
      </c>
      <c r="E4" s="22">
        <f t="shared" ref="E4:J4" si="0">SUM(E2:E3)</f>
        <v>193500</v>
      </c>
      <c r="F4" s="22">
        <f t="shared" si="0"/>
        <v>387</v>
      </c>
      <c r="G4" s="22">
        <f t="shared" si="0"/>
        <v>12.102</v>
      </c>
      <c r="H4" s="22">
        <f t="shared" si="0"/>
        <v>1.9350000000000001</v>
      </c>
      <c r="I4" s="22">
        <f t="shared" si="0"/>
        <v>28.072590000000005</v>
      </c>
      <c r="J4" s="22">
        <f t="shared" si="0"/>
        <v>193929.10959000001</v>
      </c>
      <c r="K4" s="24"/>
      <c r="L4" s="25"/>
      <c r="M4" s="21"/>
    </row>
    <row r="5" spans="1:13" s="13" customFormat="1" ht="18.600000000000001" customHeight="1">
      <c r="A5" s="56">
        <v>44543</v>
      </c>
      <c r="B5" s="93" t="s">
        <v>3</v>
      </c>
      <c r="C5" s="10">
        <v>900</v>
      </c>
      <c r="D5" s="34">
        <v>46</v>
      </c>
      <c r="E5" s="11">
        <f>C5*D5</f>
        <v>41400</v>
      </c>
      <c r="F5" s="35">
        <f>E5*0.002</f>
        <v>82.8</v>
      </c>
      <c r="G5" s="34">
        <f>E5*0.000068</f>
        <v>2.8151999999999999</v>
      </c>
      <c r="H5" s="34">
        <f>E5*0.00001</f>
        <v>0.41400000000000003</v>
      </c>
      <c r="I5" s="34">
        <f>(F5+G5+H5)*0.07</f>
        <v>6.0220440000000011</v>
      </c>
      <c r="J5" s="34">
        <f>E5-F5-G5-H5-I5</f>
        <v>41307.948756000005</v>
      </c>
    </row>
    <row r="6" spans="1:13" s="1" customFormat="1">
      <c r="A6" s="56"/>
      <c r="B6" s="12" t="s">
        <v>2</v>
      </c>
      <c r="C6" s="10">
        <f>C4-C5</f>
        <v>3600</v>
      </c>
      <c r="D6" s="11">
        <v>43</v>
      </c>
      <c r="E6" s="20">
        <f>C6*D6</f>
        <v>154800</v>
      </c>
      <c r="F6" s="20">
        <f>E6*0.002</f>
        <v>309.60000000000002</v>
      </c>
      <c r="G6" s="20">
        <f>E6*0.000068</f>
        <v>10.526400000000001</v>
      </c>
      <c r="H6" s="20">
        <f>E6*0.00001</f>
        <v>1.548</v>
      </c>
      <c r="I6" s="20">
        <f>(F6+G6+H6)*0.07</f>
        <v>22.517208000000007</v>
      </c>
      <c r="J6" s="20">
        <f>E6+F6+I6+G6+H6</f>
        <v>155144.19160800002</v>
      </c>
    </row>
    <row r="7" spans="1:13">
      <c r="A7" s="56">
        <v>44545</v>
      </c>
      <c r="B7" s="13" t="s">
        <v>1</v>
      </c>
      <c r="C7" s="10">
        <v>2400</v>
      </c>
      <c r="D7" s="11">
        <v>43</v>
      </c>
      <c r="E7" s="20">
        <f>C7*D7</f>
        <v>103200</v>
      </c>
      <c r="F7" s="20">
        <f>E7*0.002</f>
        <v>206.4</v>
      </c>
      <c r="G7" s="20">
        <f>E7*0.000068</f>
        <v>7.0175999999999998</v>
      </c>
      <c r="H7" s="20">
        <f>E7*0.00001</f>
        <v>1.032</v>
      </c>
      <c r="I7" s="20">
        <f>(F7+G7+H7)*0.07</f>
        <v>15.011472000000001</v>
      </c>
      <c r="J7" s="20">
        <f>E7+F7+I7+G7+H7</f>
        <v>103429.46107200001</v>
      </c>
      <c r="M7" s="21"/>
    </row>
    <row r="8" spans="1:13">
      <c r="B8" s="25">
        <f>(D7-D6)/D6</f>
        <v>0</v>
      </c>
      <c r="C8" s="22">
        <f>SUM(C6:C7)</f>
        <v>6000</v>
      </c>
      <c r="D8" s="65">
        <f>E8/C8</f>
        <v>43</v>
      </c>
      <c r="E8" s="22">
        <f t="shared" ref="E8:J8" si="1">SUM(E6:E7)</f>
        <v>258000</v>
      </c>
      <c r="F8" s="22">
        <f t="shared" si="1"/>
        <v>516</v>
      </c>
      <c r="G8" s="22">
        <f t="shared" si="1"/>
        <v>17.544</v>
      </c>
      <c r="H8" s="22">
        <f t="shared" si="1"/>
        <v>2.58</v>
      </c>
      <c r="I8" s="22">
        <f t="shared" si="1"/>
        <v>37.528680000000008</v>
      </c>
      <c r="J8" s="22">
        <f t="shared" si="1"/>
        <v>258573.65268000003</v>
      </c>
      <c r="K8" s="24"/>
      <c r="L8" s="25"/>
      <c r="M8" s="21"/>
    </row>
    <row r="9" spans="1:13" s="13" customFormat="1" ht="18.600000000000001" customHeight="1">
      <c r="A9" s="56">
        <v>44551</v>
      </c>
      <c r="B9" s="93" t="s">
        <v>3</v>
      </c>
      <c r="C9" s="10">
        <v>1500</v>
      </c>
      <c r="D9" s="34">
        <v>48.5</v>
      </c>
      <c r="E9" s="11">
        <f>C9*D9</f>
        <v>72750</v>
      </c>
      <c r="F9" s="35">
        <f>E9*0.002</f>
        <v>145.5</v>
      </c>
      <c r="G9" s="34">
        <f>E9*0.000068</f>
        <v>4.9470000000000001</v>
      </c>
      <c r="H9" s="34">
        <f>E9*0.00001</f>
        <v>0.72750000000000004</v>
      </c>
      <c r="I9" s="34">
        <f>(F9+G9+H9)*0.07</f>
        <v>10.582215000000001</v>
      </c>
      <c r="J9" s="34">
        <f>E9-F9-G9-H9-I9</f>
        <v>72588.243285000004</v>
      </c>
    </row>
    <row r="10" spans="1:13" s="1" customFormat="1">
      <c r="A10" s="56">
        <v>44551</v>
      </c>
      <c r="B10" s="12" t="s">
        <v>2</v>
      </c>
      <c r="C10" s="10">
        <f>C8-C9</f>
        <v>4500</v>
      </c>
      <c r="D10" s="11">
        <v>43</v>
      </c>
      <c r="E10" s="20">
        <f>C10*D10</f>
        <v>193500</v>
      </c>
      <c r="F10" s="20">
        <f>E10*0.002</f>
        <v>387</v>
      </c>
      <c r="G10" s="20">
        <f>E10*0.000068</f>
        <v>13.157999999999999</v>
      </c>
      <c r="H10" s="20">
        <f>E10*0.00001</f>
        <v>1.9350000000000001</v>
      </c>
      <c r="I10" s="20">
        <f>(F10+G10+H10)*0.07</f>
        <v>28.146510000000003</v>
      </c>
      <c r="J10" s="20">
        <f>E10+F10+I10+G10+H10</f>
        <v>193930.23950999998</v>
      </c>
    </row>
    <row r="11" spans="1:13">
      <c r="A11" s="56">
        <v>44578</v>
      </c>
      <c r="B11" s="13" t="s">
        <v>1</v>
      </c>
      <c r="C11" s="10">
        <v>1500</v>
      </c>
      <c r="D11" s="11">
        <v>49</v>
      </c>
      <c r="E11" s="20">
        <f>C11*D11</f>
        <v>73500</v>
      </c>
      <c r="F11" s="20">
        <f>E11*0.002</f>
        <v>147</v>
      </c>
      <c r="G11" s="20">
        <f>E11*0.000068</f>
        <v>4.9980000000000002</v>
      </c>
      <c r="H11" s="20">
        <f>E11*0.00001</f>
        <v>0.7350000000000001</v>
      </c>
      <c r="I11" s="20">
        <f>(F11+G11+H11)*0.07</f>
        <v>10.691310000000001</v>
      </c>
      <c r="J11" s="20">
        <f>E11+F11+I11+G11+H11</f>
        <v>73663.424310000002</v>
      </c>
      <c r="M11" s="21"/>
    </row>
    <row r="12" spans="1:13">
      <c r="B12" s="25">
        <f>(D11-D10)/D10</f>
        <v>0.13953488372093023</v>
      </c>
      <c r="C12" s="22">
        <f>SUM(C10:C11)</f>
        <v>6000</v>
      </c>
      <c r="D12" s="65">
        <f>E12/C12</f>
        <v>44.5</v>
      </c>
      <c r="E12" s="22">
        <f t="shared" ref="E12:J12" si="2">SUM(E10:E11)</f>
        <v>267000</v>
      </c>
      <c r="F12" s="22">
        <f t="shared" si="2"/>
        <v>534</v>
      </c>
      <c r="G12" s="22">
        <f t="shared" si="2"/>
        <v>18.155999999999999</v>
      </c>
      <c r="H12" s="22">
        <f t="shared" si="2"/>
        <v>2.67</v>
      </c>
      <c r="I12" s="22">
        <f t="shared" si="2"/>
        <v>38.837820000000008</v>
      </c>
      <c r="J12" s="22">
        <f t="shared" si="2"/>
        <v>267593.66382000002</v>
      </c>
      <c r="K12" s="24"/>
      <c r="L12" s="25"/>
      <c r="M12" s="21"/>
    </row>
    <row r="13" spans="1:13" s="13" customFormat="1" ht="18.600000000000001" customHeight="1">
      <c r="A13" s="56">
        <v>44580</v>
      </c>
      <c r="B13" s="93" t="s">
        <v>3</v>
      </c>
      <c r="C13" s="10">
        <v>1500</v>
      </c>
      <c r="D13" s="34">
        <v>49.5</v>
      </c>
      <c r="E13" s="11">
        <f>C13*D13</f>
        <v>74250</v>
      </c>
      <c r="F13" s="35">
        <f>E13*0.002</f>
        <v>148.5</v>
      </c>
      <c r="G13" s="34">
        <f>E13*0.000068</f>
        <v>5.0490000000000004</v>
      </c>
      <c r="H13" s="34">
        <f>E13*0.00001</f>
        <v>0.74250000000000005</v>
      </c>
      <c r="I13" s="34">
        <f>(F13+G13+H13)*0.07</f>
        <v>10.800405000000001</v>
      </c>
      <c r="J13" s="34">
        <f>E13-F13-G13-H13-I13</f>
        <v>74084.908095000006</v>
      </c>
    </row>
    <row r="14" spans="1:13" s="1" customFormat="1">
      <c r="A14" s="49">
        <v>44580</v>
      </c>
      <c r="B14" s="30" t="s">
        <v>2</v>
      </c>
      <c r="C14" s="16">
        <f>C12-C13</f>
        <v>4500</v>
      </c>
      <c r="D14" s="17">
        <v>44.5</v>
      </c>
      <c r="E14" s="18">
        <f>C14*D14</f>
        <v>200250</v>
      </c>
      <c r="F14" s="18">
        <f>E14*0.002</f>
        <v>400.5</v>
      </c>
      <c r="G14" s="18">
        <f>E14*0.000068</f>
        <v>13.616999999999999</v>
      </c>
      <c r="H14" s="18">
        <f>E14*0.00001</f>
        <v>2.0024999999999999</v>
      </c>
      <c r="I14" s="18">
        <f>(F14+G14+H14)*0.07</f>
        <v>29.128365000000002</v>
      </c>
      <c r="J14" s="18">
        <f>E14+F14+I14+G14+H14</f>
        <v>200695.24786500001</v>
      </c>
    </row>
    <row r="15" spans="1:13">
      <c r="A15" s="49">
        <v>44617</v>
      </c>
      <c r="B15" s="15" t="s">
        <v>1</v>
      </c>
      <c r="C15" s="16">
        <v>1500</v>
      </c>
      <c r="D15" s="17">
        <v>48.5</v>
      </c>
      <c r="E15" s="18">
        <f>C15*D15</f>
        <v>72750</v>
      </c>
      <c r="F15" s="18">
        <f>E15*0.002</f>
        <v>145.5</v>
      </c>
      <c r="G15" s="18">
        <f>E15*0.000068</f>
        <v>4.9470000000000001</v>
      </c>
      <c r="H15" s="18">
        <f>E15*0.00001</f>
        <v>0.72750000000000004</v>
      </c>
      <c r="I15" s="18">
        <f>(F15+G15+H15)*0.07</f>
        <v>10.582215000000001</v>
      </c>
      <c r="J15" s="18">
        <f>E15+F15+I15+G15+H15</f>
        <v>72911.756714999996</v>
      </c>
      <c r="M15" s="21"/>
    </row>
    <row r="16" spans="1:13">
      <c r="A16" s="90"/>
      <c r="B16" s="7">
        <f>(D15-D12)/D12</f>
        <v>8.98876404494382E-2</v>
      </c>
      <c r="C16" s="5">
        <f>SUM(C14:C15)</f>
        <v>6000</v>
      </c>
      <c r="D16" s="66">
        <f>E16/C16</f>
        <v>45.5</v>
      </c>
      <c r="E16" s="5">
        <f t="shared" ref="E16:J16" si="3">SUM(E14:E15)</f>
        <v>273000</v>
      </c>
      <c r="F16" s="5">
        <f t="shared" si="3"/>
        <v>546</v>
      </c>
      <c r="G16" s="5">
        <f t="shared" si="3"/>
        <v>18.564</v>
      </c>
      <c r="H16" s="5">
        <f t="shared" si="3"/>
        <v>2.73</v>
      </c>
      <c r="I16" s="5">
        <f t="shared" si="3"/>
        <v>39.710580000000007</v>
      </c>
      <c r="J16" s="5">
        <f t="shared" si="3"/>
        <v>273607.00458000001</v>
      </c>
      <c r="K16" s="24"/>
      <c r="L16" s="25"/>
      <c r="M16" s="21"/>
    </row>
    <row r="17" spans="1:13">
      <c r="A17" s="49">
        <v>44617</v>
      </c>
      <c r="B17" s="15" t="s">
        <v>1</v>
      </c>
      <c r="C17" s="16">
        <v>1500</v>
      </c>
      <c r="D17" s="17">
        <v>48</v>
      </c>
      <c r="E17" s="18">
        <f>C17*D17</f>
        <v>72000</v>
      </c>
      <c r="F17" s="18">
        <f>E17*0.002</f>
        <v>144</v>
      </c>
      <c r="G17" s="18">
        <f>E17*0.000068</f>
        <v>4.8959999999999999</v>
      </c>
      <c r="H17" s="18">
        <f>E17*0.00001</f>
        <v>0.72000000000000008</v>
      </c>
      <c r="I17" s="18">
        <f>(F17+G17+H17)*0.07</f>
        <v>10.47312</v>
      </c>
      <c r="J17" s="18">
        <f>E17+F17+I17+G17+H17</f>
        <v>72160.08911999999</v>
      </c>
      <c r="M17" s="21"/>
    </row>
    <row r="18" spans="1:13">
      <c r="A18" s="90"/>
      <c r="B18" s="7">
        <f>(D17-D15)/D15</f>
        <v>-1.0309278350515464E-2</v>
      </c>
      <c r="C18" s="5">
        <f>SUM(C16:C17)</f>
        <v>7500</v>
      </c>
      <c r="D18" s="66">
        <f>E18/C18</f>
        <v>46</v>
      </c>
      <c r="E18" s="5">
        <f t="shared" ref="E18:J18" si="4">SUM(E16:E17)</f>
        <v>345000</v>
      </c>
      <c r="F18" s="5">
        <f t="shared" si="4"/>
        <v>690</v>
      </c>
      <c r="G18" s="5">
        <f t="shared" si="4"/>
        <v>23.46</v>
      </c>
      <c r="H18" s="5">
        <f t="shared" si="4"/>
        <v>3.45</v>
      </c>
      <c r="I18" s="5">
        <f t="shared" si="4"/>
        <v>50.183700000000009</v>
      </c>
      <c r="J18" s="5">
        <f t="shared" si="4"/>
        <v>345767.09369999997</v>
      </c>
      <c r="K18" s="24"/>
      <c r="L18" s="25"/>
      <c r="M18" s="21"/>
    </row>
    <row r="19" spans="1:13">
      <c r="A19" s="49">
        <v>44617</v>
      </c>
      <c r="B19" s="15" t="s">
        <v>1</v>
      </c>
      <c r="C19" s="16">
        <v>1500</v>
      </c>
      <c r="D19" s="17">
        <v>47.5</v>
      </c>
      <c r="E19" s="18">
        <f>C19*D19</f>
        <v>71250</v>
      </c>
      <c r="F19" s="18">
        <f>E19*0.002</f>
        <v>142.5</v>
      </c>
      <c r="G19" s="18">
        <f>E19*0.000068</f>
        <v>4.8449999999999998</v>
      </c>
      <c r="H19" s="18">
        <f>E19*0.00001</f>
        <v>0.71250000000000002</v>
      </c>
      <c r="I19" s="18">
        <f>(F19+G19+H19)*0.07</f>
        <v>10.364025000000002</v>
      </c>
      <c r="J19" s="18">
        <f>E19+F19+I19+G19+H19</f>
        <v>71408.421524999998</v>
      </c>
      <c r="M19" s="21"/>
    </row>
    <row r="20" spans="1:13">
      <c r="A20" s="90"/>
      <c r="B20" s="7">
        <f>(D19-D17)/D17</f>
        <v>-1.0416666666666666E-2</v>
      </c>
      <c r="C20" s="5">
        <f>SUM(C18:C19)</f>
        <v>9000</v>
      </c>
      <c r="D20" s="66">
        <f>E20/C20</f>
        <v>46.25</v>
      </c>
      <c r="E20" s="5">
        <f t="shared" ref="E20:J20" si="5">SUM(E18:E19)</f>
        <v>416250</v>
      </c>
      <c r="F20" s="5">
        <f t="shared" si="5"/>
        <v>832.5</v>
      </c>
      <c r="G20" s="5">
        <f t="shared" si="5"/>
        <v>28.305</v>
      </c>
      <c r="H20" s="5">
        <f t="shared" si="5"/>
        <v>4.1625000000000005</v>
      </c>
      <c r="I20" s="5">
        <f t="shared" si="5"/>
        <v>60.547725000000014</v>
      </c>
      <c r="J20" s="5">
        <f t="shared" si="5"/>
        <v>417175.51522499998</v>
      </c>
      <c r="K20" s="24"/>
      <c r="L20" s="25"/>
      <c r="M20" s="21"/>
    </row>
    <row r="21" spans="1:13">
      <c r="A21" s="49">
        <v>44642</v>
      </c>
      <c r="B21" s="15" t="s">
        <v>1</v>
      </c>
      <c r="C21" s="16">
        <v>3000</v>
      </c>
      <c r="D21" s="17">
        <v>50.25</v>
      </c>
      <c r="E21" s="18">
        <f>C21*D21</f>
        <v>150750</v>
      </c>
      <c r="F21" s="18">
        <f>E21*0.002</f>
        <v>301.5</v>
      </c>
      <c r="G21" s="18">
        <f>E21*0.000068</f>
        <v>10.250999999999999</v>
      </c>
      <c r="H21" s="18">
        <f>E21*0.00001</f>
        <v>1.5075000000000001</v>
      </c>
      <c r="I21" s="18">
        <f>(F21+G21+H21)*0.07</f>
        <v>21.928094999999999</v>
      </c>
      <c r="J21" s="18">
        <f>E21+F21+I21+G21+H21</f>
        <v>151085.18659500001</v>
      </c>
      <c r="M21" s="21"/>
    </row>
    <row r="22" spans="1:13">
      <c r="A22" s="90"/>
      <c r="B22" s="7">
        <f>(D21-D19)/D19</f>
        <v>5.7894736842105263E-2</v>
      </c>
      <c r="C22" s="5">
        <f>SUM(C20:C21)</f>
        <v>12000</v>
      </c>
      <c r="D22" s="66">
        <f>E22/C22</f>
        <v>47.25</v>
      </c>
      <c r="E22" s="5">
        <f t="shared" ref="E22:J22" si="6">SUM(E20:E21)</f>
        <v>567000</v>
      </c>
      <c r="F22" s="5">
        <f t="shared" si="6"/>
        <v>1134</v>
      </c>
      <c r="G22" s="5">
        <f t="shared" si="6"/>
        <v>38.555999999999997</v>
      </c>
      <c r="H22" s="5">
        <f t="shared" si="6"/>
        <v>5.6700000000000008</v>
      </c>
      <c r="I22" s="5">
        <f t="shared" si="6"/>
        <v>82.475820000000013</v>
      </c>
      <c r="J22" s="5">
        <f t="shared" si="6"/>
        <v>568260.70181999996</v>
      </c>
      <c r="K22" s="24"/>
      <c r="L22" s="25"/>
      <c r="M22" s="21"/>
    </row>
    <row r="23" spans="1:13" ht="12.75">
      <c r="A23" s="49">
        <v>44741</v>
      </c>
      <c r="B23" s="15" t="s">
        <v>1</v>
      </c>
      <c r="C23" s="16">
        <v>3000</v>
      </c>
      <c r="D23" s="17">
        <v>39.75</v>
      </c>
      <c r="E23" s="18">
        <f>C23*D23</f>
        <v>119250</v>
      </c>
      <c r="F23" s="18">
        <f>E23*0.002</f>
        <v>238.5</v>
      </c>
      <c r="G23" s="18">
        <f>E23*0.000068</f>
        <v>8.109</v>
      </c>
      <c r="H23" s="18">
        <f>E23*0.00001</f>
        <v>1.1925000000000001</v>
      </c>
      <c r="I23" s="18">
        <f>(F23+G23+H23)*0.07</f>
        <v>17.346105000000001</v>
      </c>
      <c r="J23" s="18">
        <f>E23+F23+I23+G23+H23</f>
        <v>119515.14760500001</v>
      </c>
      <c r="M23" s="21"/>
    </row>
    <row r="24" spans="1:13" ht="12.75">
      <c r="A24" s="90"/>
      <c r="B24" s="7">
        <f>(D23-D21)/D21</f>
        <v>-0.20895522388059701</v>
      </c>
      <c r="C24" s="5">
        <f>SUM(C22:C23)</f>
        <v>15000</v>
      </c>
      <c r="D24" s="66">
        <f>E24/C24</f>
        <v>45.75</v>
      </c>
      <c r="E24" s="5">
        <f t="shared" ref="E24:J24" si="7">SUM(E22:E23)</f>
        <v>686250</v>
      </c>
      <c r="F24" s="5">
        <f t="shared" si="7"/>
        <v>1372.5</v>
      </c>
      <c r="G24" s="5">
        <f t="shared" si="7"/>
        <v>46.664999999999999</v>
      </c>
      <c r="H24" s="5">
        <f t="shared" si="7"/>
        <v>6.8625000000000007</v>
      </c>
      <c r="I24" s="5">
        <f t="shared" si="7"/>
        <v>99.821925000000022</v>
      </c>
      <c r="J24" s="5">
        <f t="shared" si="7"/>
        <v>687775.84942499991</v>
      </c>
      <c r="K24" s="24"/>
      <c r="L24" s="25"/>
      <c r="M24" s="21"/>
    </row>
    <row r="25" spans="1:13" ht="12.75">
      <c r="A25" s="49">
        <v>44854</v>
      </c>
      <c r="B25" s="15" t="s">
        <v>1</v>
      </c>
      <c r="C25" s="16">
        <v>3000</v>
      </c>
      <c r="D25" s="17">
        <v>27.75</v>
      </c>
      <c r="E25" s="18">
        <f>C25*D25</f>
        <v>83250</v>
      </c>
      <c r="F25" s="18">
        <f>E25*0.002</f>
        <v>166.5</v>
      </c>
      <c r="G25" s="18">
        <f>E25*0.000068</f>
        <v>5.6609999999999996</v>
      </c>
      <c r="H25" s="18">
        <f>E25*0.00001</f>
        <v>0.83250000000000002</v>
      </c>
      <c r="I25" s="18">
        <f>(F25+G25+H25)*0.07</f>
        <v>12.109545000000002</v>
      </c>
      <c r="J25" s="18">
        <f>E25+F25+I25+G25+H25</f>
        <v>83435.103044999996</v>
      </c>
      <c r="M25" s="21"/>
    </row>
    <row r="26" spans="1:13" ht="12.75">
      <c r="A26" s="90"/>
      <c r="B26" s="7">
        <f>(D25-D24)/D24</f>
        <v>-0.39344262295081966</v>
      </c>
      <c r="C26" s="5">
        <f>SUM(C24:C25)</f>
        <v>18000</v>
      </c>
      <c r="D26" s="66">
        <f>E26/C26</f>
        <v>42.75</v>
      </c>
      <c r="E26" s="5">
        <f t="shared" ref="E26:J26" si="8">SUM(E24:E25)</f>
        <v>769500</v>
      </c>
      <c r="F26" s="5">
        <f t="shared" si="8"/>
        <v>1539</v>
      </c>
      <c r="G26" s="5">
        <f t="shared" si="8"/>
        <v>52.326000000000001</v>
      </c>
      <c r="H26" s="5">
        <f t="shared" si="8"/>
        <v>7.6950000000000003</v>
      </c>
      <c r="I26" s="5">
        <f t="shared" si="8"/>
        <v>111.93147000000002</v>
      </c>
      <c r="J26" s="5">
        <f t="shared" si="8"/>
        <v>771210.9524699999</v>
      </c>
      <c r="K26" s="24"/>
      <c r="L26" s="25"/>
      <c r="M26" s="21"/>
    </row>
    <row r="27" spans="1:13" ht="12.75">
      <c r="A27" s="49">
        <v>44876</v>
      </c>
      <c r="B27" s="15" t="s">
        <v>1</v>
      </c>
      <c r="C27" s="16">
        <v>3000</v>
      </c>
      <c r="D27" s="17">
        <v>30.5</v>
      </c>
      <c r="E27" s="18">
        <f>C27*D27</f>
        <v>91500</v>
      </c>
      <c r="F27" s="18">
        <f>E27*0.002</f>
        <v>183</v>
      </c>
      <c r="G27" s="18">
        <f>E27*0.000068</f>
        <v>6.2219999999999995</v>
      </c>
      <c r="H27" s="18">
        <f>E27*0.00001</f>
        <v>0.91500000000000004</v>
      </c>
      <c r="I27" s="18">
        <f>(F27+G27+H27)*0.07</f>
        <v>13.309590000000002</v>
      </c>
      <c r="J27" s="18">
        <f>E27+F27+I27+G27+H27</f>
        <v>91703.446589999992</v>
      </c>
      <c r="M27" s="21"/>
    </row>
    <row r="28" spans="1:13" ht="12.75">
      <c r="A28" s="90"/>
      <c r="B28" s="7">
        <f>(D27-D26)/D26</f>
        <v>-0.28654970760233917</v>
      </c>
      <c r="C28" s="5">
        <f>SUM(C26:C27)</f>
        <v>21000</v>
      </c>
      <c r="D28" s="66">
        <f>E28/C28</f>
        <v>41</v>
      </c>
      <c r="E28" s="5">
        <f t="shared" ref="E28:J28" si="9">SUM(E26:E27)</f>
        <v>861000</v>
      </c>
      <c r="F28" s="5">
        <f t="shared" si="9"/>
        <v>1722</v>
      </c>
      <c r="G28" s="5">
        <f t="shared" si="9"/>
        <v>58.548000000000002</v>
      </c>
      <c r="H28" s="5">
        <f t="shared" si="9"/>
        <v>8.61</v>
      </c>
      <c r="I28" s="5">
        <f t="shared" si="9"/>
        <v>125.24106000000002</v>
      </c>
      <c r="J28" s="5">
        <f t="shared" si="9"/>
        <v>862914.39905999985</v>
      </c>
      <c r="K28" s="24"/>
      <c r="L28" s="25"/>
      <c r="M28" s="21"/>
    </row>
    <row r="29" spans="1:13" ht="12.75">
      <c r="A29" s="49">
        <v>44887</v>
      </c>
      <c r="B29" s="15" t="s">
        <v>1</v>
      </c>
      <c r="C29" s="16">
        <v>3000</v>
      </c>
      <c r="D29" s="17">
        <v>31.5</v>
      </c>
      <c r="E29" s="18">
        <f>C29*D29</f>
        <v>94500</v>
      </c>
      <c r="F29" s="18">
        <f>E29*0.002</f>
        <v>189</v>
      </c>
      <c r="G29" s="18">
        <f>E29*0.000068</f>
        <v>6.4260000000000002</v>
      </c>
      <c r="H29" s="18">
        <f>E29*0.00001</f>
        <v>0.94500000000000006</v>
      </c>
      <c r="I29" s="18">
        <f>(F29+G29+H29)*0.07</f>
        <v>13.74597</v>
      </c>
      <c r="J29" s="18">
        <f>E29+F29+I29+G29+H29</f>
        <v>94710.116970000017</v>
      </c>
    </row>
    <row r="30" spans="1:13" ht="12.75">
      <c r="A30" s="90"/>
      <c r="B30" s="7">
        <f>(D29-D28)/D28</f>
        <v>-0.23170731707317074</v>
      </c>
      <c r="C30" s="5">
        <f>SUM(C28:C29)</f>
        <v>24000</v>
      </c>
      <c r="D30" s="66">
        <f>E30/C30</f>
        <v>39.8125</v>
      </c>
      <c r="E30" s="5">
        <f t="shared" ref="E30:J30" si="10">SUM(E28:E29)</f>
        <v>955500</v>
      </c>
      <c r="F30" s="5">
        <f t="shared" si="10"/>
        <v>1911</v>
      </c>
      <c r="G30" s="5">
        <f t="shared" si="10"/>
        <v>64.974000000000004</v>
      </c>
      <c r="H30" s="5">
        <f t="shared" si="10"/>
        <v>9.5549999999999997</v>
      </c>
      <c r="I30" s="5">
        <f t="shared" si="10"/>
        <v>138.98703</v>
      </c>
      <c r="J30" s="5">
        <f t="shared" si="10"/>
        <v>957624.51602999982</v>
      </c>
      <c r="M30" s="21"/>
    </row>
    <row r="31" spans="1:13" ht="12.75">
      <c r="A31" s="49">
        <v>44959</v>
      </c>
      <c r="B31" s="15" t="s">
        <v>1</v>
      </c>
      <c r="C31" s="16">
        <v>3000</v>
      </c>
      <c r="D31" s="17">
        <v>30.25</v>
      </c>
      <c r="E31" s="18">
        <f>C31*D31</f>
        <v>90750</v>
      </c>
      <c r="F31" s="18">
        <f>E31*0.002</f>
        <v>181.5</v>
      </c>
      <c r="G31" s="18">
        <f>E31*0.000068</f>
        <v>6.1710000000000003</v>
      </c>
      <c r="H31" s="18">
        <f>E31*0.00001</f>
        <v>0.90750000000000008</v>
      </c>
      <c r="I31" s="18">
        <f>(F31+G31+H31)*0.07</f>
        <v>13.200495</v>
      </c>
      <c r="J31" s="18">
        <f>E31+F31+I31+G31+H31</f>
        <v>90951.778995000001</v>
      </c>
    </row>
    <row r="32" spans="1:13" ht="12.75">
      <c r="A32" s="90"/>
      <c r="B32" s="7">
        <f>(D31-D30)/D30</f>
        <v>-0.24018838304552589</v>
      </c>
      <c r="C32" s="5">
        <f>SUM(C30:C31)</f>
        <v>27000</v>
      </c>
      <c r="D32" s="66">
        <f>E32/C32</f>
        <v>38.75</v>
      </c>
      <c r="E32" s="5">
        <f t="shared" ref="E32:J32" si="11">SUM(E30:E31)</f>
        <v>1046250</v>
      </c>
      <c r="F32" s="5">
        <f t="shared" si="11"/>
        <v>2092.5</v>
      </c>
      <c r="G32" s="5">
        <f t="shared" si="11"/>
        <v>71.14500000000001</v>
      </c>
      <c r="H32" s="5">
        <f t="shared" si="11"/>
        <v>10.4625</v>
      </c>
      <c r="I32" s="5">
        <f t="shared" si="11"/>
        <v>152.18752499999999</v>
      </c>
      <c r="J32" s="5">
        <f t="shared" si="11"/>
        <v>1048576.2950249999</v>
      </c>
      <c r="M32" s="21"/>
    </row>
    <row r="33" spans="1:13" ht="12.75">
      <c r="A33" s="56">
        <v>44959</v>
      </c>
      <c r="B33" s="13" t="s">
        <v>1</v>
      </c>
      <c r="C33" s="10">
        <v>3000</v>
      </c>
      <c r="D33" s="11">
        <v>28.75</v>
      </c>
      <c r="E33" s="20">
        <f>C33*D33</f>
        <v>86250</v>
      </c>
      <c r="F33" s="20">
        <f>E33*0.002</f>
        <v>172.5</v>
      </c>
      <c r="G33" s="20">
        <f>E33*0.000068</f>
        <v>5.8650000000000002</v>
      </c>
      <c r="H33" s="20">
        <f>E33*0.00001</f>
        <v>0.86250000000000004</v>
      </c>
      <c r="I33" s="20">
        <f>(F33+G33+H33)*0.07</f>
        <v>12.545925000000002</v>
      </c>
      <c r="J33" s="20">
        <f>E33+F33+I33+G33+H33</f>
        <v>86441.773425000007</v>
      </c>
    </row>
    <row r="34" spans="1:13" ht="12.75">
      <c r="B34" s="25">
        <f>(D33-D32)/D32</f>
        <v>-0.25806451612903225</v>
      </c>
      <c r="C34" s="22">
        <f>SUM(C32:C33)</f>
        <v>30000</v>
      </c>
      <c r="D34" s="65">
        <f>E34/C34</f>
        <v>37.75</v>
      </c>
      <c r="E34" s="22">
        <f t="shared" ref="E34:J34" si="12">SUM(E32:E33)</f>
        <v>1132500</v>
      </c>
      <c r="F34" s="22">
        <f t="shared" si="12"/>
        <v>2265</v>
      </c>
      <c r="G34" s="22">
        <f t="shared" si="12"/>
        <v>77.010000000000005</v>
      </c>
      <c r="H34" s="22">
        <f t="shared" si="12"/>
        <v>11.325000000000001</v>
      </c>
      <c r="I34" s="22">
        <f t="shared" si="12"/>
        <v>164.73345</v>
      </c>
      <c r="J34" s="22">
        <f t="shared" si="12"/>
        <v>1135018.0684499999</v>
      </c>
      <c r="M34" s="21"/>
    </row>
    <row r="35" spans="1:13" s="13" customFormat="1" ht="12.75">
      <c r="A35" s="89"/>
      <c r="B35" s="21"/>
      <c r="C35" s="21"/>
      <c r="D35" s="21"/>
      <c r="E35" s="21"/>
      <c r="F35" s="21"/>
      <c r="G35" s="21"/>
      <c r="H35" s="21"/>
      <c r="I35" s="21"/>
      <c r="J35" s="21"/>
    </row>
    <row r="36" spans="1:13" s="31" customFormat="1" ht="18.75">
      <c r="A36" s="49">
        <v>44846</v>
      </c>
      <c r="B36" s="15" t="s">
        <v>1</v>
      </c>
      <c r="C36" s="16">
        <v>3000</v>
      </c>
      <c r="D36" s="17">
        <v>27.75</v>
      </c>
      <c r="E36" s="18">
        <f>C36*D36</f>
        <v>83250</v>
      </c>
      <c r="F36" s="18">
        <f>E36*0.002</f>
        <v>166.5</v>
      </c>
      <c r="G36" s="18">
        <f>E36*0.000068</f>
        <v>5.6609999999999996</v>
      </c>
      <c r="H36" s="18">
        <f>E36*0.00001</f>
        <v>0.83250000000000002</v>
      </c>
      <c r="I36" s="18">
        <f>(F36+G36+H36)*0.07</f>
        <v>12.109545000000002</v>
      </c>
      <c r="J36" s="18">
        <f>E36+F36+I36+G36+H36</f>
        <v>83435.103044999996</v>
      </c>
      <c r="K36" s="32"/>
      <c r="L36" s="12"/>
      <c r="M36" s="12"/>
    </row>
    <row r="37" spans="1:13" ht="12.75">
      <c r="A37" s="49">
        <v>44853</v>
      </c>
      <c r="B37" s="15" t="s">
        <v>3</v>
      </c>
      <c r="C37" s="16">
        <f>C36</f>
        <v>3000</v>
      </c>
      <c r="D37" s="26">
        <v>29.25</v>
      </c>
      <c r="E37" s="17">
        <f>C37*D37</f>
        <v>87750</v>
      </c>
      <c r="F37" s="27">
        <f>E37*0.002</f>
        <v>175.5</v>
      </c>
      <c r="G37" s="26">
        <f>E37*0.000068</f>
        <v>5.9669999999999996</v>
      </c>
      <c r="H37" s="26">
        <f>E37*0.00001</f>
        <v>0.87750000000000006</v>
      </c>
      <c r="I37" s="26">
        <f>(F37+G37+H37)*0.07</f>
        <v>12.764115000000002</v>
      </c>
      <c r="J37" s="26">
        <f>E37-F37-G37-H37-I37</f>
        <v>87554.891384999995</v>
      </c>
    </row>
    <row r="38" spans="1:13" ht="12.75">
      <c r="A38" s="49">
        <f>DAYS360(A36,A37)</f>
        <v>7</v>
      </c>
      <c r="B38" s="30">
        <f>(D37-D36)/D36</f>
        <v>5.4054054054054057E-2</v>
      </c>
      <c r="C38" s="16"/>
      <c r="D38" s="17"/>
      <c r="E38" s="18">
        <f>E37-E36</f>
        <v>4500</v>
      </c>
      <c r="F38" s="18"/>
      <c r="G38" s="18"/>
      <c r="H38" s="18"/>
      <c r="I38" s="18"/>
      <c r="J38" s="18">
        <f>J37-J36</f>
        <v>4119.7883399999992</v>
      </c>
    </row>
    <row r="40" spans="1:13" s="31" customFormat="1" ht="18.75">
      <c r="A40" s="56">
        <v>44846</v>
      </c>
      <c r="B40" s="13" t="s">
        <v>1</v>
      </c>
      <c r="C40" s="10">
        <v>3000</v>
      </c>
      <c r="D40" s="11">
        <v>28</v>
      </c>
      <c r="E40" s="20">
        <f>C40*D40</f>
        <v>84000</v>
      </c>
      <c r="F40" s="20">
        <f>E40*0.002</f>
        <v>168</v>
      </c>
      <c r="G40" s="20">
        <f>E40*0.000068</f>
        <v>5.7119999999999997</v>
      </c>
      <c r="H40" s="20">
        <f>E40*0.00001</f>
        <v>0.84000000000000008</v>
      </c>
      <c r="I40" s="20">
        <f>(F40+G40+H40)*0.07</f>
        <v>12.218640000000001</v>
      </c>
      <c r="J40" s="20">
        <f>E40+F40+I40+G40+H40</f>
        <v>84186.770640000002</v>
      </c>
      <c r="K40" s="32"/>
      <c r="L40" s="12"/>
      <c r="M40" s="12"/>
    </row>
    <row r="41" spans="1:13" ht="12.75">
      <c r="A41" s="56">
        <v>44853</v>
      </c>
      <c r="B41" s="13" t="s">
        <v>3</v>
      </c>
      <c r="C41" s="10">
        <f>C40</f>
        <v>3000</v>
      </c>
      <c r="D41" s="34">
        <v>29.5</v>
      </c>
      <c r="E41" s="11">
        <f>C41*D41</f>
        <v>88500</v>
      </c>
      <c r="F41" s="35">
        <f>E41*0.002</f>
        <v>177</v>
      </c>
      <c r="G41" s="34">
        <f>E41*0.000068</f>
        <v>6.0179999999999998</v>
      </c>
      <c r="H41" s="34">
        <f>E41*0.00001</f>
        <v>0.88500000000000012</v>
      </c>
      <c r="I41" s="34">
        <f>(F41+G41+H41)*0.07</f>
        <v>12.87321</v>
      </c>
      <c r="J41" s="34">
        <f>E41-F41-G41-H41-I41</f>
        <v>88303.223790000004</v>
      </c>
    </row>
    <row r="42" spans="1:13" ht="12.75">
      <c r="A42" s="56">
        <f>DAYS360(A40,A41)</f>
        <v>7</v>
      </c>
      <c r="B42" s="12">
        <f>(D41-D40)/D40</f>
        <v>5.3571428571428568E-2</v>
      </c>
      <c r="C42" s="10"/>
      <c r="D42" s="11"/>
      <c r="E42" s="20">
        <f>E41-E40</f>
        <v>4500</v>
      </c>
      <c r="F42" s="20"/>
      <c r="G42" s="20"/>
      <c r="H42" s="20"/>
      <c r="I42" s="20"/>
      <c r="J42" s="20">
        <f>J41-J40</f>
        <v>4116.4531500000012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376F-67DD-4980-BF1B-8A055D89D41A}">
  <dimension ref="A1:M8"/>
  <sheetViews>
    <sheetView workbookViewId="0">
      <selection activeCell="D20" sqref="D20"/>
    </sheetView>
  </sheetViews>
  <sheetFormatPr defaultColWidth="8.875" defaultRowHeight="14.25"/>
  <cols>
    <col min="1" max="1" width="10.625" style="38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8" style="2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27</v>
      </c>
    </row>
    <row r="2" spans="1:13" s="13" customFormat="1">
      <c r="A2" s="39">
        <v>44459</v>
      </c>
      <c r="B2" s="15" t="s">
        <v>1</v>
      </c>
      <c r="C2" s="16">
        <v>300</v>
      </c>
      <c r="D2" s="17">
        <v>410</v>
      </c>
      <c r="E2" s="18">
        <f>C2*D2</f>
        <v>123000</v>
      </c>
      <c r="F2" s="18">
        <f>E2*0.002</f>
        <v>246</v>
      </c>
      <c r="G2" s="18">
        <f>E2*0.00006</f>
        <v>7.38</v>
      </c>
      <c r="H2" s="18">
        <f>E2*0.00001</f>
        <v>1.2300000000000002</v>
      </c>
      <c r="I2" s="18">
        <f>(F2+G2+H2)*0.07</f>
        <v>17.822700000000001</v>
      </c>
      <c r="J2" s="18">
        <f>E2+F2+I2+G2+H2</f>
        <v>123272.4327</v>
      </c>
      <c r="K2" s="29"/>
      <c r="L2" s="17"/>
      <c r="M2" s="30"/>
    </row>
    <row r="3" spans="1:13" s="13" customFormat="1">
      <c r="A3" s="39">
        <v>44469</v>
      </c>
      <c r="B3" s="15" t="s">
        <v>1</v>
      </c>
      <c r="C3" s="16">
        <v>300</v>
      </c>
      <c r="D3" s="17">
        <v>400</v>
      </c>
      <c r="E3" s="18">
        <f>C3*D3</f>
        <v>120000</v>
      </c>
      <c r="F3" s="18">
        <f>E3*0.002</f>
        <v>240</v>
      </c>
      <c r="G3" s="18">
        <f>E3*0.00006</f>
        <v>7.2</v>
      </c>
      <c r="H3" s="18">
        <f>E3*0.00001</f>
        <v>1.2000000000000002</v>
      </c>
      <c r="I3" s="18">
        <f>(F3+G3+H3)*0.07</f>
        <v>17.388000000000002</v>
      </c>
      <c r="J3" s="18">
        <f>E3+F3+I3+G3+H3</f>
        <v>120265.788</v>
      </c>
      <c r="K3" s="32"/>
      <c r="L3" s="11"/>
      <c r="M3" s="12"/>
    </row>
    <row r="4" spans="1:13">
      <c r="A4" s="70"/>
      <c r="B4" s="7">
        <f>(D3-D2)/D2</f>
        <v>-2.4390243902439025E-2</v>
      </c>
      <c r="C4" s="5">
        <f>SUM(C2:C3)</f>
        <v>600</v>
      </c>
      <c r="D4" s="71">
        <f>E4/C4</f>
        <v>405</v>
      </c>
      <c r="E4" s="5">
        <f t="shared" ref="E4:J4" si="0">SUM(E2:E3)</f>
        <v>243000</v>
      </c>
      <c r="F4" s="5">
        <f t="shared" si="0"/>
        <v>486</v>
      </c>
      <c r="G4" s="5">
        <f t="shared" si="0"/>
        <v>14.58</v>
      </c>
      <c r="H4" s="5">
        <f t="shared" si="0"/>
        <v>2.4300000000000006</v>
      </c>
      <c r="I4" s="5">
        <f t="shared" si="0"/>
        <v>35.210700000000003</v>
      </c>
      <c r="J4" s="5">
        <f t="shared" si="0"/>
        <v>243538.22070000001</v>
      </c>
      <c r="L4" s="25"/>
      <c r="M4" s="21"/>
    </row>
    <row r="5" spans="1:13" s="13" customFormat="1">
      <c r="A5" s="39">
        <v>44579</v>
      </c>
      <c r="B5" s="15" t="s">
        <v>1</v>
      </c>
      <c r="C5" s="16">
        <v>300</v>
      </c>
      <c r="D5" s="17">
        <v>384</v>
      </c>
      <c r="E5" s="18">
        <f>C5*D5</f>
        <v>115200</v>
      </c>
      <c r="F5" s="18">
        <f>E5*0.002</f>
        <v>230.4</v>
      </c>
      <c r="G5" s="18">
        <f>E5*0.00006</f>
        <v>6.9119999999999999</v>
      </c>
      <c r="H5" s="18">
        <f>E5*0.00001</f>
        <v>1.1520000000000001</v>
      </c>
      <c r="I5" s="18">
        <f>(F5+G5+H5)*0.07</f>
        <v>16.69248</v>
      </c>
      <c r="J5" s="18">
        <f>E5+F5+I5+G5+H5</f>
        <v>115455.15647999999</v>
      </c>
      <c r="K5" s="32"/>
      <c r="L5" s="11"/>
      <c r="M5" s="12"/>
    </row>
    <row r="6" spans="1:13">
      <c r="A6" s="70"/>
      <c r="B6" s="7">
        <f>(D5-D4)/D4</f>
        <v>-5.185185185185185E-2</v>
      </c>
      <c r="C6" s="5">
        <f>SUM(C4:C5)</f>
        <v>900</v>
      </c>
      <c r="D6" s="71">
        <f>E6/C6</f>
        <v>398</v>
      </c>
      <c r="E6" s="5">
        <f t="shared" ref="E6:J6" si="1">SUM(E4:E5)</f>
        <v>358200</v>
      </c>
      <c r="F6" s="5">
        <f t="shared" si="1"/>
        <v>716.4</v>
      </c>
      <c r="G6" s="5">
        <f t="shared" si="1"/>
        <v>21.492000000000001</v>
      </c>
      <c r="H6" s="5">
        <f t="shared" si="1"/>
        <v>3.5820000000000007</v>
      </c>
      <c r="I6" s="5">
        <f t="shared" si="1"/>
        <v>51.903180000000006</v>
      </c>
      <c r="J6" s="5">
        <f t="shared" si="1"/>
        <v>358993.37718000001</v>
      </c>
      <c r="L6" s="25"/>
      <c r="M6" s="21"/>
    </row>
    <row r="7" spans="1:13">
      <c r="A7" s="67">
        <v>44579</v>
      </c>
      <c r="B7" s="13" t="s">
        <v>1</v>
      </c>
      <c r="C7" s="10">
        <v>300</v>
      </c>
      <c r="D7" s="11">
        <v>382</v>
      </c>
      <c r="E7" s="20">
        <f>C7*D7</f>
        <v>114600</v>
      </c>
      <c r="F7" s="20">
        <f>E7*0.002</f>
        <v>229.20000000000002</v>
      </c>
      <c r="G7" s="20">
        <f>E7*0.00006</f>
        <v>6.8760000000000003</v>
      </c>
      <c r="H7" s="20">
        <f>E7*0.00001</f>
        <v>1.1460000000000001</v>
      </c>
      <c r="I7" s="20">
        <f>(F7+G7+H7)*0.07</f>
        <v>16.605540000000001</v>
      </c>
      <c r="J7" s="20">
        <f>E7+F7+I7+G7+H7</f>
        <v>114853.82754</v>
      </c>
    </row>
    <row r="8" spans="1:13">
      <c r="B8" s="25">
        <f>(D7-D6)/D6</f>
        <v>-4.0201005025125629E-2</v>
      </c>
      <c r="C8" s="22">
        <f>SUM(C6:C7)</f>
        <v>1200</v>
      </c>
      <c r="D8" s="68">
        <f>E8/C8</f>
        <v>394</v>
      </c>
      <c r="E8" s="22">
        <f t="shared" ref="E8:J8" si="2">SUM(E6:E7)</f>
        <v>472800</v>
      </c>
      <c r="F8" s="22">
        <f t="shared" si="2"/>
        <v>945.6</v>
      </c>
      <c r="G8" s="22">
        <f t="shared" si="2"/>
        <v>28.368000000000002</v>
      </c>
      <c r="H8" s="22">
        <f t="shared" si="2"/>
        <v>4.7280000000000006</v>
      </c>
      <c r="I8" s="22">
        <f t="shared" si="2"/>
        <v>68.508720000000011</v>
      </c>
      <c r="J8" s="22">
        <f t="shared" si="2"/>
        <v>473847.20472000004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6E79-DA79-4A53-AABA-69B4F8F4564F}">
  <dimension ref="A1:M6"/>
  <sheetViews>
    <sheetView workbookViewId="0">
      <selection activeCell="B6" sqref="B6"/>
    </sheetView>
  </sheetViews>
  <sheetFormatPr defaultColWidth="8.875" defaultRowHeight="14.25"/>
  <cols>
    <col min="1" max="1" width="10.625" style="38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8" style="2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28</v>
      </c>
    </row>
    <row r="2" spans="1:13" s="13" customFormat="1">
      <c r="A2" s="39">
        <v>44459</v>
      </c>
      <c r="B2" s="15" t="s">
        <v>1</v>
      </c>
      <c r="C2" s="16">
        <v>900</v>
      </c>
      <c r="D2" s="17">
        <v>174.5</v>
      </c>
      <c r="E2" s="18">
        <f>C2*D2</f>
        <v>157050</v>
      </c>
      <c r="F2" s="18">
        <f>E2*0.002</f>
        <v>314.10000000000002</v>
      </c>
      <c r="G2" s="18">
        <f>E2*0.00006</f>
        <v>9.423</v>
      </c>
      <c r="H2" s="18">
        <f>E2*0.00001</f>
        <v>1.5705000000000002</v>
      </c>
      <c r="I2" s="18">
        <f>(F2+G2+H2)*0.07</f>
        <v>22.756545000000003</v>
      </c>
      <c r="J2" s="18">
        <f>E2+F2+I2+G2+H2</f>
        <v>157397.85004500003</v>
      </c>
      <c r="K2" s="29"/>
      <c r="L2" s="17"/>
      <c r="M2" s="30"/>
    </row>
    <row r="3" spans="1:13">
      <c r="A3" s="39">
        <v>44616</v>
      </c>
      <c r="B3" s="15" t="s">
        <v>1</v>
      </c>
      <c r="C3" s="16">
        <v>300</v>
      </c>
      <c r="D3" s="17">
        <v>160.5</v>
      </c>
      <c r="E3" s="18">
        <f>C3*D3</f>
        <v>48150</v>
      </c>
      <c r="F3" s="18">
        <f>E3*0.002</f>
        <v>96.3</v>
      </c>
      <c r="G3" s="18">
        <f>E3*0.00006</f>
        <v>2.8890000000000002</v>
      </c>
      <c r="H3" s="18">
        <f>E3*0.00001</f>
        <v>0.48150000000000004</v>
      </c>
      <c r="I3" s="18">
        <f>(F3+G3+H3)*0.07</f>
        <v>6.9769350000000001</v>
      </c>
      <c r="J3" s="18">
        <f>E3+F3+I3+G3+H3</f>
        <v>48256.647435000006</v>
      </c>
    </row>
    <row r="4" spans="1:13">
      <c r="A4" s="70"/>
      <c r="B4" s="7">
        <f>(D3-D2)/D2</f>
        <v>-8.0229226361031525E-2</v>
      </c>
      <c r="C4" s="5">
        <f>SUM(C2:C3)</f>
        <v>1200</v>
      </c>
      <c r="D4" s="71">
        <f>E4/C4</f>
        <v>171</v>
      </c>
      <c r="E4" s="5">
        <f t="shared" ref="E4:J4" si="0">SUM(E2:E3)</f>
        <v>205200</v>
      </c>
      <c r="F4" s="5">
        <f t="shared" si="0"/>
        <v>410.40000000000003</v>
      </c>
      <c r="G4" s="5">
        <f t="shared" si="0"/>
        <v>12.312000000000001</v>
      </c>
      <c r="H4" s="5">
        <f t="shared" si="0"/>
        <v>2.0520000000000005</v>
      </c>
      <c r="I4" s="5">
        <f t="shared" si="0"/>
        <v>29.733480000000004</v>
      </c>
      <c r="J4" s="5">
        <f t="shared" si="0"/>
        <v>205654.49748000002</v>
      </c>
    </row>
    <row r="5" spans="1:13">
      <c r="A5" s="67">
        <v>44616</v>
      </c>
      <c r="B5" s="13" t="s">
        <v>1</v>
      </c>
      <c r="C5" s="10">
        <v>300</v>
      </c>
      <c r="D5" s="11">
        <v>148.5</v>
      </c>
      <c r="E5" s="20">
        <f>C5*D5</f>
        <v>44550</v>
      </c>
      <c r="F5" s="20">
        <f>E5*0.002</f>
        <v>89.100000000000009</v>
      </c>
      <c r="G5" s="20">
        <f>E5*0.00006</f>
        <v>2.673</v>
      </c>
      <c r="H5" s="20">
        <f>E5*0.00001</f>
        <v>0.44550000000000006</v>
      </c>
      <c r="I5" s="20">
        <f>(F5+G5+H5)*0.07</f>
        <v>6.4552950000000013</v>
      </c>
      <c r="J5" s="20">
        <f>E5+F5+I5+G5+H5</f>
        <v>44648.673795000002</v>
      </c>
    </row>
    <row r="6" spans="1:13">
      <c r="B6" s="25">
        <f>(D5-D4)/D4</f>
        <v>-0.13157894736842105</v>
      </c>
      <c r="C6" s="22">
        <f>SUM(C4:C5)</f>
        <v>1500</v>
      </c>
      <c r="D6" s="68">
        <f>E6/C6</f>
        <v>166.5</v>
      </c>
      <c r="E6" s="22">
        <f t="shared" ref="E6:J6" si="1">SUM(E4:E5)</f>
        <v>249750</v>
      </c>
      <c r="F6" s="22">
        <f t="shared" si="1"/>
        <v>499.50000000000006</v>
      </c>
      <c r="G6" s="22">
        <f t="shared" si="1"/>
        <v>14.985000000000001</v>
      </c>
      <c r="H6" s="22">
        <f t="shared" si="1"/>
        <v>2.4975000000000005</v>
      </c>
      <c r="I6" s="22">
        <f t="shared" si="1"/>
        <v>36.188775000000007</v>
      </c>
      <c r="J6" s="22">
        <f t="shared" si="1"/>
        <v>250303.17127500003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68373-E563-434B-9630-0799FB268869}">
  <dimension ref="A1:M14"/>
  <sheetViews>
    <sheetView workbookViewId="0">
      <selection activeCell="A13" sqref="A13"/>
    </sheetView>
  </sheetViews>
  <sheetFormatPr defaultColWidth="8.875" defaultRowHeight="14.25"/>
  <cols>
    <col min="1" max="1" width="10.625" style="38" customWidth="1"/>
    <col min="2" max="2" width="7.5" style="21" bestFit="1" customWidth="1"/>
    <col min="3" max="3" width="6.625" style="21" customWidth="1"/>
    <col min="4" max="4" width="7.625" style="65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8" style="2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29</v>
      </c>
    </row>
    <row r="2" spans="1:13" s="13" customFormat="1">
      <c r="A2" s="39">
        <v>44649</v>
      </c>
      <c r="B2" s="15" t="s">
        <v>1</v>
      </c>
      <c r="C2" s="16">
        <v>30000</v>
      </c>
      <c r="D2" s="40">
        <v>4.8</v>
      </c>
      <c r="E2" s="18">
        <f>C2*D2</f>
        <v>144000</v>
      </c>
      <c r="F2" s="18">
        <f>E2*0.002</f>
        <v>288</v>
      </c>
      <c r="G2" s="18">
        <f>E2*0.00006</f>
        <v>8.64</v>
      </c>
      <c r="H2" s="18">
        <f>E2*0.00001</f>
        <v>1.4400000000000002</v>
      </c>
      <c r="I2" s="18">
        <f>(F2+G2+H2)*0.07</f>
        <v>20.865600000000001</v>
      </c>
      <c r="J2" s="18">
        <f>E2+F2+I2+G2+H2</f>
        <v>144318.94560000001</v>
      </c>
      <c r="K2" s="29"/>
      <c r="L2" s="17"/>
      <c r="M2" s="30"/>
    </row>
    <row r="3" spans="1:13" s="13" customFormat="1">
      <c r="A3" s="39">
        <v>44656</v>
      </c>
      <c r="B3" s="15" t="s">
        <v>1</v>
      </c>
      <c r="C3" s="16">
        <v>15000</v>
      </c>
      <c r="D3" s="40">
        <v>4.8</v>
      </c>
      <c r="E3" s="18">
        <f>C3*D3</f>
        <v>72000</v>
      </c>
      <c r="F3" s="18">
        <f>E3*0.002</f>
        <v>144</v>
      </c>
      <c r="G3" s="18">
        <f>E3*0.00006</f>
        <v>4.32</v>
      </c>
      <c r="H3" s="18">
        <f>E3*0.00001</f>
        <v>0.72000000000000008</v>
      </c>
      <c r="I3" s="18">
        <f>(F3+G3+H3)*0.07</f>
        <v>10.4328</v>
      </c>
      <c r="J3" s="18">
        <f>E3+F3+I3+G3+H3</f>
        <v>72159.472800000003</v>
      </c>
      <c r="K3" s="32"/>
      <c r="L3" s="11"/>
      <c r="M3" s="12"/>
    </row>
    <row r="4" spans="1:13">
      <c r="A4" s="70"/>
      <c r="B4" s="7">
        <f>(D3-D2)/D2</f>
        <v>0</v>
      </c>
      <c r="C4" s="5">
        <f>SUM(C2:C3)</f>
        <v>45000</v>
      </c>
      <c r="D4" s="66">
        <f>E4/C4</f>
        <v>4.8</v>
      </c>
      <c r="E4" s="5">
        <f t="shared" ref="E4:J4" si="0">SUM(E2:E3)</f>
        <v>216000</v>
      </c>
      <c r="F4" s="5">
        <f t="shared" si="0"/>
        <v>432</v>
      </c>
      <c r="G4" s="5">
        <f t="shared" si="0"/>
        <v>12.96</v>
      </c>
      <c r="H4" s="5">
        <f t="shared" si="0"/>
        <v>2.16</v>
      </c>
      <c r="I4" s="5">
        <f t="shared" si="0"/>
        <v>31.298400000000001</v>
      </c>
      <c r="J4" s="5">
        <f t="shared" si="0"/>
        <v>216478.41840000002</v>
      </c>
      <c r="L4" s="25"/>
      <c r="M4" s="21"/>
    </row>
    <row r="5" spans="1:13">
      <c r="A5" s="39">
        <v>44676</v>
      </c>
      <c r="B5" s="15" t="s">
        <v>1</v>
      </c>
      <c r="C5" s="16">
        <v>15000</v>
      </c>
      <c r="D5" s="40">
        <v>4.4000000000000004</v>
      </c>
      <c r="E5" s="18">
        <f>C5*D5</f>
        <v>66000</v>
      </c>
      <c r="F5" s="18">
        <f>E5*0.002</f>
        <v>132</v>
      </c>
      <c r="G5" s="18">
        <f>E5*0.00006</f>
        <v>3.96</v>
      </c>
      <c r="H5" s="18">
        <f>E5*0.00001</f>
        <v>0.66</v>
      </c>
      <c r="I5" s="18">
        <f>(F5+G5+H5)*0.07</f>
        <v>9.5634000000000015</v>
      </c>
      <c r="J5" s="18">
        <f>E5+F5+I5+G5+H5</f>
        <v>66146.183400000009</v>
      </c>
    </row>
    <row r="6" spans="1:13">
      <c r="A6" s="70"/>
      <c r="B6" s="7">
        <f>(D5-D4)/D4</f>
        <v>-8.3333333333333232E-2</v>
      </c>
      <c r="C6" s="5">
        <f>SUM(C4:C5)</f>
        <v>60000</v>
      </c>
      <c r="D6" s="66">
        <f>E6/C6</f>
        <v>4.7</v>
      </c>
      <c r="E6" s="5">
        <f t="shared" ref="E6:J6" si="1">SUM(E4:E5)</f>
        <v>282000</v>
      </c>
      <c r="F6" s="5">
        <f t="shared" si="1"/>
        <v>564</v>
      </c>
      <c r="G6" s="5">
        <f t="shared" si="1"/>
        <v>16.920000000000002</v>
      </c>
      <c r="H6" s="5">
        <f t="shared" si="1"/>
        <v>2.8200000000000003</v>
      </c>
      <c r="I6" s="5">
        <f t="shared" si="1"/>
        <v>40.861800000000002</v>
      </c>
      <c r="J6" s="5">
        <f t="shared" si="1"/>
        <v>282624.60180000006</v>
      </c>
    </row>
    <row r="7" spans="1:13">
      <c r="A7" s="39">
        <v>44684</v>
      </c>
      <c r="B7" s="15" t="s">
        <v>1</v>
      </c>
      <c r="C7" s="16">
        <v>15000</v>
      </c>
      <c r="D7" s="40">
        <v>4.4000000000000004</v>
      </c>
      <c r="E7" s="18">
        <f>C7*D7</f>
        <v>66000</v>
      </c>
      <c r="F7" s="18">
        <f>E7*0.002</f>
        <v>132</v>
      </c>
      <c r="G7" s="18">
        <f>E7*0.00006</f>
        <v>3.96</v>
      </c>
      <c r="H7" s="18">
        <f>E7*0.00001</f>
        <v>0.66</v>
      </c>
      <c r="I7" s="18">
        <f>(F7+G7+H7)*0.07</f>
        <v>9.5634000000000015</v>
      </c>
      <c r="J7" s="18">
        <f>E7+F7+I7+G7+H7</f>
        <v>66146.183400000009</v>
      </c>
    </row>
    <row r="8" spans="1:13">
      <c r="A8" s="70"/>
      <c r="B8" s="7">
        <f>(D7-D6)/D6</f>
        <v>-6.3829787234042507E-2</v>
      </c>
      <c r="C8" s="5">
        <f>SUM(C6:C7)</f>
        <v>75000</v>
      </c>
      <c r="D8" s="66">
        <f>E8/C8</f>
        <v>4.6399999999999997</v>
      </c>
      <c r="E8" s="5">
        <f t="shared" ref="E8:J8" si="2">SUM(E6:E7)</f>
        <v>348000</v>
      </c>
      <c r="F8" s="5">
        <f t="shared" si="2"/>
        <v>696</v>
      </c>
      <c r="G8" s="5">
        <f t="shared" si="2"/>
        <v>20.880000000000003</v>
      </c>
      <c r="H8" s="5">
        <f t="shared" si="2"/>
        <v>3.4800000000000004</v>
      </c>
      <c r="I8" s="5">
        <f t="shared" si="2"/>
        <v>50.425200000000004</v>
      </c>
      <c r="J8" s="5">
        <f t="shared" si="2"/>
        <v>348770.78520000004</v>
      </c>
    </row>
    <row r="9" spans="1:13">
      <c r="A9" s="39">
        <v>44690</v>
      </c>
      <c r="B9" s="15" t="s">
        <v>1</v>
      </c>
      <c r="C9" s="16">
        <v>15000</v>
      </c>
      <c r="D9" s="40">
        <v>4.28</v>
      </c>
      <c r="E9" s="18">
        <f>C9*D9</f>
        <v>64200.000000000007</v>
      </c>
      <c r="F9" s="18">
        <f>E9*0.002</f>
        <v>128.4</v>
      </c>
      <c r="G9" s="18">
        <f>E9*0.00006</f>
        <v>3.8520000000000003</v>
      </c>
      <c r="H9" s="18">
        <f>E9*0.00001</f>
        <v>0.64200000000000013</v>
      </c>
      <c r="I9" s="18">
        <f>(F9+G9+H9)*0.07</f>
        <v>9.3025800000000007</v>
      </c>
      <c r="J9" s="18">
        <f>E9+F9+I9+G9+H9</f>
        <v>64342.196580000011</v>
      </c>
    </row>
    <row r="10" spans="1:13">
      <c r="A10" s="70"/>
      <c r="B10" s="7">
        <f>(D9-D8)/D8</f>
        <v>-7.7586206896551602E-2</v>
      </c>
      <c r="C10" s="5">
        <f>SUM(C8:C9)</f>
        <v>90000</v>
      </c>
      <c r="D10" s="66">
        <f>E10/C10</f>
        <v>4.58</v>
      </c>
      <c r="E10" s="5">
        <f t="shared" ref="E10:J10" si="3">SUM(E8:E9)</f>
        <v>412200</v>
      </c>
      <c r="F10" s="5">
        <f t="shared" si="3"/>
        <v>824.4</v>
      </c>
      <c r="G10" s="5">
        <f t="shared" si="3"/>
        <v>24.732000000000003</v>
      </c>
      <c r="H10" s="5">
        <f t="shared" si="3"/>
        <v>4.1220000000000008</v>
      </c>
      <c r="I10" s="5">
        <f t="shared" si="3"/>
        <v>59.727780000000003</v>
      </c>
      <c r="J10" s="5">
        <f t="shared" si="3"/>
        <v>413112.98178000003</v>
      </c>
    </row>
    <row r="11" spans="1:13">
      <c r="A11" s="39">
        <v>44693</v>
      </c>
      <c r="B11" s="15" t="s">
        <v>1</v>
      </c>
      <c r="C11" s="16">
        <v>15000</v>
      </c>
      <c r="D11" s="40">
        <v>3.88</v>
      </c>
      <c r="E11" s="18">
        <f>C11*D11</f>
        <v>58200</v>
      </c>
      <c r="F11" s="18">
        <f>E11*0.002</f>
        <v>116.4</v>
      </c>
      <c r="G11" s="18">
        <f>E11*0.00006</f>
        <v>3.492</v>
      </c>
      <c r="H11" s="18">
        <f>E11*0.00001</f>
        <v>0.58200000000000007</v>
      </c>
      <c r="I11" s="18">
        <f>(F11+G11+H11)*0.07</f>
        <v>8.4331800000000019</v>
      </c>
      <c r="J11" s="18">
        <f>E11+F11+I11+G11+H11</f>
        <v>58328.907180000002</v>
      </c>
    </row>
    <row r="12" spans="1:13">
      <c r="A12" s="70"/>
      <c r="B12" s="7">
        <f>(D11-D10)/D10</f>
        <v>-0.15283842794759828</v>
      </c>
      <c r="C12" s="5">
        <f>SUM(C10:C11)</f>
        <v>105000</v>
      </c>
      <c r="D12" s="66">
        <f>E12/C12</f>
        <v>4.4800000000000004</v>
      </c>
      <c r="E12" s="5">
        <f t="shared" ref="E12:J12" si="4">SUM(E10:E11)</f>
        <v>470400</v>
      </c>
      <c r="F12" s="5">
        <f t="shared" si="4"/>
        <v>940.8</v>
      </c>
      <c r="G12" s="5">
        <f t="shared" si="4"/>
        <v>28.224000000000004</v>
      </c>
      <c r="H12" s="5">
        <f t="shared" si="4"/>
        <v>4.7040000000000006</v>
      </c>
      <c r="I12" s="5">
        <f t="shared" si="4"/>
        <v>68.160960000000003</v>
      </c>
      <c r="J12" s="5">
        <f t="shared" si="4"/>
        <v>471441.88896000001</v>
      </c>
    </row>
    <row r="13" spans="1:13">
      <c r="A13" s="67">
        <v>44693</v>
      </c>
      <c r="B13" s="13" t="s">
        <v>1</v>
      </c>
      <c r="C13" s="10">
        <v>15000</v>
      </c>
      <c r="D13" s="64">
        <v>3.84</v>
      </c>
      <c r="E13" s="20">
        <f>C13*D13</f>
        <v>57600</v>
      </c>
      <c r="F13" s="20">
        <f>E13*0.002</f>
        <v>115.2</v>
      </c>
      <c r="G13" s="20">
        <f>E13*0.00006</f>
        <v>3.456</v>
      </c>
      <c r="H13" s="20">
        <f>E13*0.00001</f>
        <v>0.57600000000000007</v>
      </c>
      <c r="I13" s="20">
        <f>(F13+G13+H13)*0.07</f>
        <v>8.3462399999999999</v>
      </c>
      <c r="J13" s="20">
        <f>E13+F13+I13+G13+H13</f>
        <v>57727.578239999995</v>
      </c>
    </row>
    <row r="14" spans="1:13">
      <c r="B14" s="25">
        <f>(D13-D12)/D12</f>
        <v>-0.14285714285714296</v>
      </c>
      <c r="C14" s="22">
        <f>SUM(C12:C13)</f>
        <v>120000</v>
      </c>
      <c r="D14" s="65">
        <f>E14/C14</f>
        <v>4.4000000000000004</v>
      </c>
      <c r="E14" s="22">
        <f t="shared" ref="E14:J14" si="5">SUM(E12:E13)</f>
        <v>528000</v>
      </c>
      <c r="F14" s="22">
        <f t="shared" si="5"/>
        <v>1056</v>
      </c>
      <c r="G14" s="22">
        <f t="shared" si="5"/>
        <v>31.680000000000003</v>
      </c>
      <c r="H14" s="22">
        <f t="shared" si="5"/>
        <v>5.2800000000000011</v>
      </c>
      <c r="I14" s="22">
        <f t="shared" si="5"/>
        <v>76.507199999999997</v>
      </c>
      <c r="J14" s="22">
        <f t="shared" si="5"/>
        <v>529169.46719999996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48C1A-0BE1-4664-895A-D29EA068DDA6}">
  <dimension ref="A1:M12"/>
  <sheetViews>
    <sheetView workbookViewId="0">
      <selection activeCell="J13" sqref="J13"/>
    </sheetView>
  </sheetViews>
  <sheetFormatPr defaultColWidth="8.875" defaultRowHeight="12.75"/>
  <cols>
    <col min="1" max="1" width="10.625" style="38" customWidth="1"/>
    <col min="2" max="2" width="7.125" style="21" customWidth="1"/>
    <col min="3" max="3" width="7.625" style="22" bestFit="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2.75" style="2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30</v>
      </c>
    </row>
    <row r="2" spans="1:13" s="13" customFormat="1">
      <c r="A2" s="39">
        <v>44945</v>
      </c>
      <c r="B2" s="15" t="s">
        <v>1</v>
      </c>
      <c r="C2" s="16">
        <v>3600</v>
      </c>
      <c r="D2" s="17">
        <v>28</v>
      </c>
      <c r="E2" s="18">
        <f>C2*D2</f>
        <v>100800</v>
      </c>
      <c r="F2" s="18">
        <f>E2*0.002</f>
        <v>201.6</v>
      </c>
      <c r="G2" s="18">
        <f>E2*0.00006</f>
        <v>6.048</v>
      </c>
      <c r="H2" s="18">
        <f>E2*0.00001</f>
        <v>1.008</v>
      </c>
      <c r="I2" s="18">
        <f>(F2+G2+H2)*0.07</f>
        <v>14.605920000000001</v>
      </c>
      <c r="J2" s="18">
        <f>E2+F2+I2+G2+H2</f>
        <v>101023.26192</v>
      </c>
      <c r="K2" s="29"/>
      <c r="L2" s="17"/>
      <c r="M2" s="30"/>
    </row>
    <row r="3" spans="1:13" s="1" customFormat="1">
      <c r="A3" s="56">
        <v>44277</v>
      </c>
      <c r="B3" s="13" t="s">
        <v>3</v>
      </c>
      <c r="C3" s="10">
        <f>C2</f>
        <v>3600</v>
      </c>
      <c r="D3" s="34">
        <v>29.5</v>
      </c>
      <c r="E3" s="11">
        <f>C3*D3</f>
        <v>106200</v>
      </c>
      <c r="F3" s="35">
        <f>E3*0.002</f>
        <v>212.4</v>
      </c>
      <c r="G3" s="34">
        <f>E3*0.000068</f>
        <v>7.2215999999999996</v>
      </c>
      <c r="H3" s="34">
        <f>E3*0.00001</f>
        <v>1.0620000000000001</v>
      </c>
      <c r="I3" s="34">
        <f>(F3+G3+H3)*0.07</f>
        <v>15.447852000000003</v>
      </c>
      <c r="J3" s="34">
        <f>E3-F3-G3-H3-I3</f>
        <v>105963.868548</v>
      </c>
    </row>
    <row r="4" spans="1:13" s="1" customFormat="1">
      <c r="A4" s="56" t="s">
        <v>4</v>
      </c>
      <c r="B4" s="12">
        <f>(D3-D2)/D2</f>
        <v>5.3571428571428568E-2</v>
      </c>
      <c r="C4" s="10"/>
      <c r="D4" s="11"/>
      <c r="E4" s="20">
        <f>E3-E2</f>
        <v>5400</v>
      </c>
      <c r="F4" s="20"/>
      <c r="G4" s="20"/>
      <c r="H4" s="20"/>
      <c r="I4" s="20"/>
      <c r="J4" s="20">
        <f>J3-J2</f>
        <v>4940.6066279999941</v>
      </c>
    </row>
    <row r="5" spans="1:13" s="1" customFormat="1" ht="12">
      <c r="A5" s="50"/>
      <c r="C5" s="2"/>
      <c r="D5" s="47"/>
      <c r="J5" s="53">
        <f>J1+J4</f>
        <v>4940.6066279999941</v>
      </c>
    </row>
    <row r="6" spans="1:13" s="13" customFormat="1">
      <c r="A6" s="39">
        <f>A2</f>
        <v>44945</v>
      </c>
      <c r="B6" s="15" t="s">
        <v>1</v>
      </c>
      <c r="C6" s="16">
        <v>3600</v>
      </c>
      <c r="D6" s="17">
        <f>D2</f>
        <v>28</v>
      </c>
      <c r="E6" s="18">
        <f>C6*D6</f>
        <v>100800</v>
      </c>
      <c r="F6" s="18">
        <f>E6*0.002</f>
        <v>201.6</v>
      </c>
      <c r="G6" s="18">
        <f>E6*0.00006</f>
        <v>6.048</v>
      </c>
      <c r="H6" s="18">
        <f>E6*0.00001</f>
        <v>1.008</v>
      </c>
      <c r="I6" s="18">
        <f>(F6+G6+H6)*0.07</f>
        <v>14.605920000000001</v>
      </c>
      <c r="J6" s="18">
        <f>E6+F6+I6+G6+H6</f>
        <v>101023.26192</v>
      </c>
      <c r="K6" s="29"/>
      <c r="L6" s="17"/>
      <c r="M6" s="30"/>
    </row>
    <row r="7" spans="1:13" s="1" customFormat="1" ht="14.25">
      <c r="A7" s="56">
        <v>44676</v>
      </c>
      <c r="B7" s="13" t="s">
        <v>1</v>
      </c>
      <c r="C7" s="10">
        <v>1200</v>
      </c>
      <c r="D7" s="46">
        <v>27</v>
      </c>
      <c r="E7" s="20">
        <f>C7*D7</f>
        <v>32400</v>
      </c>
      <c r="F7" s="20">
        <f>E7*0.002</f>
        <v>64.8</v>
      </c>
      <c r="G7" s="20">
        <f>E7*0.00006</f>
        <v>1.944</v>
      </c>
      <c r="H7" s="20">
        <f>E7*0.00001</f>
        <v>0.32400000000000001</v>
      </c>
      <c r="I7" s="20">
        <f>(F7+G7+H7)*0.07</f>
        <v>4.6947600000000005</v>
      </c>
      <c r="J7" s="20">
        <f>E7+F7+I7+G7+H7</f>
        <v>32471.762759999998</v>
      </c>
    </row>
    <row r="8" spans="1:13" s="1" customFormat="1" ht="14.25">
      <c r="A8" s="56"/>
      <c r="B8" s="12">
        <f>(D7-D6)/D6</f>
        <v>-3.5714285714285712E-2</v>
      </c>
      <c r="C8" s="10">
        <f>SUM(C6:C7)</f>
        <v>4800</v>
      </c>
      <c r="D8" s="11">
        <f>E8/C8</f>
        <v>27.75</v>
      </c>
      <c r="E8" s="10">
        <f t="shared" ref="E8:J8" si="0">SUM(E6:E7)</f>
        <v>133200</v>
      </c>
      <c r="F8" s="10">
        <f t="shared" si="0"/>
        <v>266.39999999999998</v>
      </c>
      <c r="G8" s="10">
        <f t="shared" si="0"/>
        <v>7.992</v>
      </c>
      <c r="H8" s="10">
        <f t="shared" si="0"/>
        <v>1.3320000000000001</v>
      </c>
      <c r="I8" s="10">
        <f t="shared" si="0"/>
        <v>19.30068</v>
      </c>
      <c r="J8" s="10">
        <f t="shared" si="0"/>
        <v>133495.02468</v>
      </c>
    </row>
    <row r="9" spans="1:13" s="1" customFormat="1" ht="14.25">
      <c r="A9" s="56">
        <v>44676</v>
      </c>
      <c r="B9" s="13" t="s">
        <v>1</v>
      </c>
      <c r="C9" s="10">
        <v>1200</v>
      </c>
      <c r="D9" s="46">
        <v>26.5</v>
      </c>
      <c r="E9" s="20">
        <f>C9*D9</f>
        <v>31800</v>
      </c>
      <c r="F9" s="20">
        <f>E9*0.002</f>
        <v>63.6</v>
      </c>
      <c r="G9" s="20">
        <f>E9*0.00006</f>
        <v>1.9080000000000001</v>
      </c>
      <c r="H9" s="20">
        <f>E9*0.00001</f>
        <v>0.318</v>
      </c>
      <c r="I9" s="20">
        <f>(F9+G9+H9)*0.07</f>
        <v>4.6078200000000002</v>
      </c>
      <c r="J9" s="20">
        <f>E9+F9+I9+G9+H9</f>
        <v>31870.433819999998</v>
      </c>
    </row>
    <row r="10" spans="1:13" s="1" customFormat="1" ht="14.25">
      <c r="A10" s="56"/>
      <c r="B10" s="12">
        <f>(D9-D8)/D8</f>
        <v>-4.5045045045045043E-2</v>
      </c>
      <c r="C10" s="10">
        <f>SUM(C8:C9)</f>
        <v>6000</v>
      </c>
      <c r="D10" s="11">
        <f>E10/C10</f>
        <v>27.5</v>
      </c>
      <c r="E10" s="10">
        <f t="shared" ref="E10:J10" si="1">SUM(E8:E9)</f>
        <v>165000</v>
      </c>
      <c r="F10" s="10">
        <f t="shared" si="1"/>
        <v>330</v>
      </c>
      <c r="G10" s="10">
        <f t="shared" si="1"/>
        <v>9.9</v>
      </c>
      <c r="H10" s="10">
        <f t="shared" si="1"/>
        <v>1.6500000000000001</v>
      </c>
      <c r="I10" s="10">
        <f t="shared" si="1"/>
        <v>23.9085</v>
      </c>
      <c r="J10" s="10">
        <f t="shared" si="1"/>
        <v>165365.45850000001</v>
      </c>
    </row>
    <row r="11" spans="1:13" s="1" customFormat="1" ht="14.25">
      <c r="A11" s="56">
        <v>44676</v>
      </c>
      <c r="B11" s="13" t="s">
        <v>1</v>
      </c>
      <c r="C11" s="10">
        <v>1200</v>
      </c>
      <c r="D11" s="46">
        <v>26</v>
      </c>
      <c r="E11" s="20">
        <f>C11*D11</f>
        <v>31200</v>
      </c>
      <c r="F11" s="20">
        <f>E11*0.002</f>
        <v>62.4</v>
      </c>
      <c r="G11" s="20">
        <f>E11*0.00006</f>
        <v>1.8720000000000001</v>
      </c>
      <c r="H11" s="20">
        <f>E11*0.00001</f>
        <v>0.312</v>
      </c>
      <c r="I11" s="20">
        <f>(F11+G11+H11)*0.07</f>
        <v>4.5208800000000009</v>
      </c>
      <c r="J11" s="20">
        <f>E11+F11+I11+G11+H11</f>
        <v>31269.104880000003</v>
      </c>
    </row>
    <row r="12" spans="1:13" s="1" customFormat="1" ht="14.25">
      <c r="A12" s="56"/>
      <c r="B12" s="12">
        <f>(D11-D10)/D10</f>
        <v>-5.4545454545454543E-2</v>
      </c>
      <c r="C12" s="10">
        <f>SUM(C10:C11)</f>
        <v>7200</v>
      </c>
      <c r="D12" s="11">
        <f>E12/C12</f>
        <v>27.25</v>
      </c>
      <c r="E12" s="10">
        <f t="shared" ref="E12:J12" si="2">SUM(E10:E11)</f>
        <v>196200</v>
      </c>
      <c r="F12" s="10">
        <f t="shared" si="2"/>
        <v>392.4</v>
      </c>
      <c r="G12" s="10">
        <f t="shared" si="2"/>
        <v>11.772</v>
      </c>
      <c r="H12" s="10">
        <f t="shared" si="2"/>
        <v>1.9620000000000002</v>
      </c>
      <c r="I12" s="10">
        <f t="shared" si="2"/>
        <v>28.429380000000002</v>
      </c>
      <c r="J12" s="10">
        <f t="shared" si="2"/>
        <v>196634.56338000001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D015-9A6D-40DB-A099-73BBAC254E19}">
  <dimension ref="A1:M35"/>
  <sheetViews>
    <sheetView topLeftCell="A5" workbookViewId="0">
      <selection activeCell="B21" sqref="B21"/>
    </sheetView>
  </sheetViews>
  <sheetFormatPr defaultColWidth="8.875" defaultRowHeight="12.75"/>
  <cols>
    <col min="1" max="1" width="10.625" style="38" customWidth="1"/>
    <col min="2" max="2" width="7.125" style="2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5.625" style="21" bestFit="1" customWidth="1"/>
    <col min="12" max="12" width="8.875" style="21"/>
    <col min="13" max="13" width="8.875" style="25"/>
    <col min="14" max="16384" width="8.875" style="21"/>
  </cols>
  <sheetData>
    <row r="1" spans="1:13">
      <c r="B1" s="21" t="s">
        <v>31</v>
      </c>
    </row>
    <row r="2" spans="1:13" s="1" customFormat="1">
      <c r="A2" s="49">
        <v>44356</v>
      </c>
      <c r="B2" s="15" t="s">
        <v>1</v>
      </c>
      <c r="C2" s="16">
        <v>4000</v>
      </c>
      <c r="D2" s="41">
        <v>25</v>
      </c>
      <c r="E2" s="18">
        <f>C2*D2</f>
        <v>100000</v>
      </c>
      <c r="F2" s="18">
        <f>E2*0.002</f>
        <v>200</v>
      </c>
      <c r="G2" s="18">
        <f>E2*0.00006</f>
        <v>6</v>
      </c>
      <c r="H2" s="18">
        <f>E2*0.00001</f>
        <v>1</v>
      </c>
      <c r="I2" s="18">
        <f>(F2+G2+H2)*0.07</f>
        <v>14.490000000000002</v>
      </c>
      <c r="J2" s="18">
        <f>E2+F2+I2+G2+H2</f>
        <v>100221.49</v>
      </c>
    </row>
    <row r="3" spans="1:13">
      <c r="A3" s="14">
        <v>44283</v>
      </c>
      <c r="B3" s="15" t="s">
        <v>1</v>
      </c>
      <c r="C3" s="16">
        <v>2000</v>
      </c>
      <c r="D3" s="17">
        <v>23.5</v>
      </c>
      <c r="E3" s="18">
        <f>C3*D3</f>
        <v>47000</v>
      </c>
      <c r="F3" s="18">
        <f>E3*0.002</f>
        <v>94</v>
      </c>
      <c r="G3" s="18">
        <f>E3*0.000068</f>
        <v>3.1960000000000002</v>
      </c>
      <c r="H3" s="18">
        <f>E3*0.00001</f>
        <v>0.47000000000000003</v>
      </c>
      <c r="I3" s="18">
        <f>(F3+G3+H3)*0.07</f>
        <v>6.8366200000000008</v>
      </c>
      <c r="J3" s="18">
        <f>E3+F3+I3+G3+H3</f>
        <v>47104.502620000007</v>
      </c>
      <c r="M3" s="21"/>
    </row>
    <row r="4" spans="1:13">
      <c r="A4" s="42"/>
      <c r="B4" s="7">
        <f>(D3-D2)/D2</f>
        <v>-0.06</v>
      </c>
      <c r="C4" s="5">
        <f>SUM(C2:C3)</f>
        <v>6000</v>
      </c>
      <c r="D4" s="66">
        <f>E4/C4</f>
        <v>24.5</v>
      </c>
      <c r="E4" s="5">
        <f t="shared" ref="E4:J4" si="0">SUM(E2:E3)</f>
        <v>147000</v>
      </c>
      <c r="F4" s="5">
        <f t="shared" si="0"/>
        <v>294</v>
      </c>
      <c r="G4" s="5">
        <f t="shared" si="0"/>
        <v>9.1959999999999997</v>
      </c>
      <c r="H4" s="5">
        <f t="shared" si="0"/>
        <v>1.47</v>
      </c>
      <c r="I4" s="5">
        <f t="shared" si="0"/>
        <v>21.326620000000002</v>
      </c>
      <c r="J4" s="5">
        <f t="shared" si="0"/>
        <v>147325.99262</v>
      </c>
      <c r="K4" s="24"/>
      <c r="L4" s="25"/>
      <c r="M4" s="21"/>
    </row>
    <row r="5" spans="1:13">
      <c r="A5" s="14">
        <v>44523</v>
      </c>
      <c r="B5" s="15" t="s">
        <v>2</v>
      </c>
      <c r="C5" s="16">
        <v>3000</v>
      </c>
      <c r="D5" s="17">
        <v>24.5</v>
      </c>
      <c r="E5" s="18">
        <f>C5*D5</f>
        <v>73500</v>
      </c>
      <c r="F5" s="18">
        <f>E5*0.002</f>
        <v>147</v>
      </c>
      <c r="G5" s="18">
        <f>E5*0.000068</f>
        <v>4.9980000000000002</v>
      </c>
      <c r="H5" s="18">
        <f>E5*0.00001</f>
        <v>0.7350000000000001</v>
      </c>
      <c r="I5" s="18">
        <f>(F5+G5+H5)*0.07</f>
        <v>10.691310000000001</v>
      </c>
      <c r="J5" s="18">
        <f>E5+F5+I5+G5+H5</f>
        <v>73663.424310000002</v>
      </c>
      <c r="M5" s="21"/>
    </row>
    <row r="6" spans="1:13">
      <c r="A6" s="14">
        <v>44533</v>
      </c>
      <c r="B6" s="15" t="s">
        <v>2</v>
      </c>
      <c r="C6" s="16">
        <v>1500</v>
      </c>
      <c r="D6" s="17">
        <v>24.5</v>
      </c>
      <c r="E6" s="18">
        <f>C6*D6</f>
        <v>36750</v>
      </c>
      <c r="F6" s="18">
        <f>E6*0.002</f>
        <v>73.5</v>
      </c>
      <c r="G6" s="18">
        <f>E6*0.000068</f>
        <v>2.4990000000000001</v>
      </c>
      <c r="H6" s="18">
        <f>E6*0.00001</f>
        <v>0.36750000000000005</v>
      </c>
      <c r="I6" s="18">
        <f>(F6+G6+H6)*0.07</f>
        <v>5.3456550000000007</v>
      </c>
      <c r="J6" s="18">
        <f>E6+F6+I6+G6+H6</f>
        <v>36831.712155000001</v>
      </c>
      <c r="M6" s="21"/>
    </row>
    <row r="7" spans="1:13">
      <c r="A7" s="14">
        <v>44537</v>
      </c>
      <c r="B7" s="15" t="s">
        <v>2</v>
      </c>
      <c r="C7" s="16">
        <v>0</v>
      </c>
      <c r="D7" s="17">
        <v>24.5</v>
      </c>
      <c r="E7" s="18">
        <f>C7*D7</f>
        <v>0</v>
      </c>
      <c r="F7" s="18">
        <f>E7*0.002</f>
        <v>0</v>
      </c>
      <c r="G7" s="18">
        <f>E7*0.000068</f>
        <v>0</v>
      </c>
      <c r="H7" s="18">
        <f>E7*0.00001</f>
        <v>0</v>
      </c>
      <c r="I7" s="18">
        <f>(F7+G7+H7)*0.07</f>
        <v>0</v>
      </c>
      <c r="J7" s="18">
        <f>E7+F7+I7+G7+H7</f>
        <v>0</v>
      </c>
      <c r="M7" s="21"/>
    </row>
    <row r="8" spans="1:13" s="1" customFormat="1">
      <c r="A8" s="14">
        <v>44283</v>
      </c>
      <c r="B8" s="15" t="s">
        <v>1</v>
      </c>
      <c r="C8" s="16">
        <v>6000</v>
      </c>
      <c r="D8" s="17">
        <v>31.5</v>
      </c>
      <c r="E8" s="18">
        <f>C8*D8</f>
        <v>189000</v>
      </c>
      <c r="F8" s="18">
        <f>E8*0.002</f>
        <v>378</v>
      </c>
      <c r="G8" s="18">
        <f>E8*0.000068</f>
        <v>12.852</v>
      </c>
      <c r="H8" s="18">
        <f>E8*0.00001</f>
        <v>1.8900000000000001</v>
      </c>
      <c r="I8" s="18">
        <f>(F8+G8+H8)*0.07</f>
        <v>27.49194</v>
      </c>
      <c r="J8" s="18">
        <f>E8+F8+I8+G8+H8</f>
        <v>189420.23394000003</v>
      </c>
    </row>
    <row r="9" spans="1:13">
      <c r="A9" s="14">
        <v>44574</v>
      </c>
      <c r="B9" s="15" t="s">
        <v>2</v>
      </c>
      <c r="C9" s="16">
        <v>4500</v>
      </c>
      <c r="D9" s="17">
        <v>31.5</v>
      </c>
      <c r="E9" s="18">
        <f>C9*D9</f>
        <v>141750</v>
      </c>
      <c r="F9" s="18">
        <f>E9*0.002</f>
        <v>283.5</v>
      </c>
      <c r="G9" s="18">
        <f>E9*0.000068</f>
        <v>9.6389999999999993</v>
      </c>
      <c r="H9" s="18">
        <f>E9*0.00001</f>
        <v>1.4175000000000002</v>
      </c>
      <c r="I9" s="18">
        <f>(F9+G9+H9)*0.07</f>
        <v>20.618955000000003</v>
      </c>
      <c r="J9" s="18">
        <f>E9+F9+I9+G9+H9</f>
        <v>142065.17545500002</v>
      </c>
      <c r="M9" s="21"/>
    </row>
    <row r="10" spans="1:13">
      <c r="A10" s="14">
        <v>44593</v>
      </c>
      <c r="B10" s="15" t="s">
        <v>1</v>
      </c>
      <c r="C10" s="16">
        <v>4500</v>
      </c>
      <c r="D10" s="17">
        <v>29.5</v>
      </c>
      <c r="E10" s="18">
        <f>C10*D10</f>
        <v>132750</v>
      </c>
      <c r="F10" s="18">
        <f>E10*0.002</f>
        <v>265.5</v>
      </c>
      <c r="G10" s="18">
        <f>E10*0.000068</f>
        <v>9.0269999999999992</v>
      </c>
      <c r="H10" s="18">
        <f>E10*0.00001</f>
        <v>1.3275000000000001</v>
      </c>
      <c r="I10" s="18">
        <f>(F10+G10+H10)*0.07</f>
        <v>19.309815</v>
      </c>
      <c r="J10" s="18">
        <f>E10+F10+I10+G10+H10</f>
        <v>133045.164315</v>
      </c>
      <c r="M10" s="21"/>
    </row>
    <row r="11" spans="1:13">
      <c r="A11" s="42"/>
      <c r="B11" s="7">
        <f>(D10-D9)/D9</f>
        <v>-6.3492063492063489E-2</v>
      </c>
      <c r="C11" s="5">
        <f>SUM(C9:C10)</f>
        <v>9000</v>
      </c>
      <c r="D11" s="66">
        <f>E11/C11</f>
        <v>30.5</v>
      </c>
      <c r="E11" s="5">
        <f t="shared" ref="E11:J11" si="1">SUM(E9:E10)</f>
        <v>274500</v>
      </c>
      <c r="F11" s="5">
        <f t="shared" si="1"/>
        <v>549</v>
      </c>
      <c r="G11" s="5">
        <f t="shared" si="1"/>
        <v>18.665999999999997</v>
      </c>
      <c r="H11" s="5">
        <f t="shared" si="1"/>
        <v>2.7450000000000001</v>
      </c>
      <c r="I11" s="5">
        <f t="shared" si="1"/>
        <v>39.92877</v>
      </c>
      <c r="J11" s="5">
        <f t="shared" si="1"/>
        <v>275110.33977000002</v>
      </c>
      <c r="K11" s="24"/>
      <c r="L11" s="25"/>
      <c r="M11" s="21"/>
    </row>
    <row r="12" spans="1:13">
      <c r="A12" s="14">
        <v>44603</v>
      </c>
      <c r="B12" s="15" t="s">
        <v>1</v>
      </c>
      <c r="C12" s="16">
        <v>3000</v>
      </c>
      <c r="D12" s="17">
        <v>26.5</v>
      </c>
      <c r="E12" s="18">
        <f>C12*D12</f>
        <v>79500</v>
      </c>
      <c r="F12" s="18">
        <f>E12*0.002</f>
        <v>159</v>
      </c>
      <c r="G12" s="18">
        <f>E12*0.000068</f>
        <v>5.4059999999999997</v>
      </c>
      <c r="H12" s="18">
        <f>E12*0.00001</f>
        <v>0.79500000000000004</v>
      </c>
      <c r="I12" s="18">
        <f>(F12+G12+H12)*0.07</f>
        <v>11.564070000000001</v>
      </c>
      <c r="J12" s="18">
        <f>E12+F12+I12+G12+H12</f>
        <v>79676.765069999994</v>
      </c>
      <c r="M12" s="21"/>
    </row>
    <row r="13" spans="1:13">
      <c r="A13" s="42"/>
      <c r="B13" s="7">
        <f>(D12-D11)/D11</f>
        <v>-0.13114754098360656</v>
      </c>
      <c r="C13" s="5">
        <f>SUM(C11:C12)</f>
        <v>12000</v>
      </c>
      <c r="D13" s="66">
        <f>E13/C13</f>
        <v>29.5</v>
      </c>
      <c r="E13" s="5">
        <f t="shared" ref="E13:J13" si="2">SUM(E11:E12)</f>
        <v>354000</v>
      </c>
      <c r="F13" s="5">
        <f t="shared" si="2"/>
        <v>708</v>
      </c>
      <c r="G13" s="5">
        <f t="shared" si="2"/>
        <v>24.071999999999996</v>
      </c>
      <c r="H13" s="5">
        <f t="shared" si="2"/>
        <v>3.54</v>
      </c>
      <c r="I13" s="5">
        <f t="shared" si="2"/>
        <v>51.492840000000001</v>
      </c>
      <c r="J13" s="5">
        <f t="shared" si="2"/>
        <v>354787.10484000004</v>
      </c>
      <c r="K13" s="24"/>
      <c r="L13" s="25"/>
      <c r="M13" s="21"/>
    </row>
    <row r="14" spans="1:13">
      <c r="A14" s="14">
        <v>44607</v>
      </c>
      <c r="B14" s="15" t="s">
        <v>1</v>
      </c>
      <c r="C14" s="16">
        <v>3000</v>
      </c>
      <c r="D14" s="17">
        <v>25.5</v>
      </c>
      <c r="E14" s="18">
        <f>C14*D14</f>
        <v>76500</v>
      </c>
      <c r="F14" s="18">
        <f>E14*0.002</f>
        <v>153</v>
      </c>
      <c r="G14" s="18">
        <f>E14*0.000068</f>
        <v>5.202</v>
      </c>
      <c r="H14" s="18">
        <f>E14*0.00001</f>
        <v>0.76500000000000001</v>
      </c>
      <c r="I14" s="18">
        <f>(F14+G14+H14)*0.07</f>
        <v>11.127689999999999</v>
      </c>
      <c r="J14" s="18">
        <f>E14+F14+I14+G14+H14</f>
        <v>76670.094689999998</v>
      </c>
      <c r="M14" s="21"/>
    </row>
    <row r="15" spans="1:13">
      <c r="A15" s="42"/>
      <c r="B15" s="7">
        <f>(D14-D13)/D13</f>
        <v>-0.13559322033898305</v>
      </c>
      <c r="C15" s="5">
        <f>SUM(C13:C14)</f>
        <v>15000</v>
      </c>
      <c r="D15" s="66">
        <f>E15/C15</f>
        <v>28.7</v>
      </c>
      <c r="E15" s="5">
        <f t="shared" ref="E15:J15" si="3">SUM(E13:E14)</f>
        <v>430500</v>
      </c>
      <c r="F15" s="5">
        <f t="shared" si="3"/>
        <v>861</v>
      </c>
      <c r="G15" s="5">
        <f t="shared" si="3"/>
        <v>29.273999999999994</v>
      </c>
      <c r="H15" s="5">
        <f t="shared" si="3"/>
        <v>4.3049999999999997</v>
      </c>
      <c r="I15" s="5">
        <f t="shared" si="3"/>
        <v>62.620530000000002</v>
      </c>
      <c r="J15" s="5">
        <f t="shared" si="3"/>
        <v>431457.19953000004</v>
      </c>
      <c r="K15" s="24"/>
      <c r="L15" s="25"/>
      <c r="M15" s="21"/>
    </row>
    <row r="16" spans="1:13">
      <c r="A16" s="14">
        <v>44908</v>
      </c>
      <c r="B16" s="15" t="s">
        <v>1</v>
      </c>
      <c r="C16" s="16">
        <v>3000</v>
      </c>
      <c r="D16" s="17">
        <v>17</v>
      </c>
      <c r="E16" s="18">
        <f>C16*D16</f>
        <v>51000</v>
      </c>
      <c r="F16" s="18">
        <f>E16*0.002</f>
        <v>102</v>
      </c>
      <c r="G16" s="18">
        <f>E16*0.000068</f>
        <v>3.468</v>
      </c>
      <c r="H16" s="18">
        <f>E16*0.00001</f>
        <v>0.51</v>
      </c>
      <c r="I16" s="18">
        <f>(F16+G16+H16)*0.07</f>
        <v>7.4184600000000014</v>
      </c>
      <c r="J16" s="18">
        <f>E16+F16+I16+G16+H16</f>
        <v>51113.396460000004</v>
      </c>
      <c r="M16" s="21"/>
    </row>
    <row r="17" spans="1:13" s="13" customFormat="1">
      <c r="A17" s="14">
        <v>44925</v>
      </c>
      <c r="B17" s="15" t="s">
        <v>3</v>
      </c>
      <c r="C17" s="16">
        <f>C16</f>
        <v>3000</v>
      </c>
      <c r="D17" s="26">
        <v>16.5</v>
      </c>
      <c r="E17" s="17">
        <f>C17*D17</f>
        <v>49500</v>
      </c>
      <c r="F17" s="27">
        <f>E17*0.002</f>
        <v>99</v>
      </c>
      <c r="G17" s="26">
        <f>E17*0.000068</f>
        <v>3.3660000000000001</v>
      </c>
      <c r="H17" s="26">
        <f>E17*0.00001</f>
        <v>0.49500000000000005</v>
      </c>
      <c r="I17" s="26">
        <f>(F17+G17+H17)*0.07</f>
        <v>7.2002700000000006</v>
      </c>
      <c r="J17" s="26">
        <f>E17-F17-G17-H17-I17</f>
        <v>49389.938729999994</v>
      </c>
    </row>
    <row r="18" spans="1:13" s="31" customFormat="1" ht="18.75">
      <c r="A18" s="14" t="s">
        <v>4</v>
      </c>
      <c r="B18" s="7">
        <f>(D17-D16)/D16</f>
        <v>-2.9411764705882353E-2</v>
      </c>
      <c r="C18" s="16"/>
      <c r="D18" s="17"/>
      <c r="E18" s="18">
        <f>E17-E16</f>
        <v>-1500</v>
      </c>
      <c r="F18" s="18"/>
      <c r="G18" s="18"/>
      <c r="H18" s="18"/>
      <c r="I18" s="18"/>
      <c r="J18" s="18">
        <f>J17-J16</f>
        <v>-1723.4577300000092</v>
      </c>
      <c r="K18" s="12"/>
    </row>
    <row r="19" spans="1:13">
      <c r="A19" s="14">
        <v>44925</v>
      </c>
      <c r="B19" s="7" t="s">
        <v>2</v>
      </c>
      <c r="C19" s="5">
        <v>15000</v>
      </c>
      <c r="D19" s="66">
        <v>28.7</v>
      </c>
      <c r="E19" s="5">
        <v>430500</v>
      </c>
      <c r="F19" s="5">
        <v>861</v>
      </c>
      <c r="G19" s="5">
        <v>29.273999999999994</v>
      </c>
      <c r="H19" s="5">
        <v>4.3049999999999997</v>
      </c>
      <c r="I19" s="5">
        <v>62.620530000000002</v>
      </c>
      <c r="J19" s="5">
        <v>431457.19953000004</v>
      </c>
      <c r="K19" s="24"/>
      <c r="L19" s="25"/>
      <c r="M19" s="21"/>
    </row>
    <row r="20" spans="1:13">
      <c r="A20" s="8">
        <v>44908</v>
      </c>
      <c r="B20" s="13" t="s">
        <v>1</v>
      </c>
      <c r="C20" s="10">
        <v>3000</v>
      </c>
      <c r="D20" s="11">
        <v>15.5</v>
      </c>
      <c r="E20" s="20">
        <f>C20*D20</f>
        <v>46500</v>
      </c>
      <c r="F20" s="20">
        <f>E20*0.002</f>
        <v>93</v>
      </c>
      <c r="G20" s="20">
        <f>E20*0.000068</f>
        <v>3.1619999999999999</v>
      </c>
      <c r="H20" s="20">
        <f>E20*0.00001</f>
        <v>0.46500000000000002</v>
      </c>
      <c r="I20" s="20">
        <f>(F20+G20+H20)*0.07</f>
        <v>6.7638900000000017</v>
      </c>
      <c r="J20" s="20">
        <f>E20+F20+I20+G20+H20</f>
        <v>46603.390889999995</v>
      </c>
      <c r="M20" s="21"/>
    </row>
    <row r="21" spans="1:13">
      <c r="A21" s="44"/>
      <c r="B21" s="25">
        <f>(D20-D19)/D19</f>
        <v>-0.45993031358885017</v>
      </c>
      <c r="C21" s="22">
        <f>SUM(C19:C20)</f>
        <v>18000</v>
      </c>
      <c r="D21" s="65">
        <f>E21/C21</f>
        <v>26.5</v>
      </c>
      <c r="E21" s="22">
        <f t="shared" ref="E21:J21" si="4">SUM(E19:E20)</f>
        <v>477000</v>
      </c>
      <c r="F21" s="22">
        <f t="shared" si="4"/>
        <v>954</v>
      </c>
      <c r="G21" s="22">
        <f t="shared" si="4"/>
        <v>32.435999999999993</v>
      </c>
      <c r="H21" s="22">
        <f t="shared" si="4"/>
        <v>4.7699999999999996</v>
      </c>
      <c r="I21" s="22">
        <f t="shared" si="4"/>
        <v>69.384420000000006</v>
      </c>
      <c r="J21" s="22">
        <f t="shared" si="4"/>
        <v>478060.59042000002</v>
      </c>
      <c r="K21" s="24"/>
      <c r="L21" s="25"/>
      <c r="M21" s="21"/>
    </row>
    <row r="23" spans="1:13">
      <c r="A23" s="14">
        <v>44641</v>
      </c>
      <c r="B23" s="15" t="s">
        <v>1</v>
      </c>
      <c r="C23" s="16">
        <v>3000</v>
      </c>
      <c r="D23" s="17">
        <v>24.5</v>
      </c>
      <c r="E23" s="18">
        <f>C23*D23</f>
        <v>73500</v>
      </c>
      <c r="F23" s="18">
        <f>E23*0.002</f>
        <v>147</v>
      </c>
      <c r="G23" s="18">
        <f>E23*0.000068</f>
        <v>4.9980000000000002</v>
      </c>
      <c r="H23" s="18">
        <f>E23*0.00001</f>
        <v>0.7350000000000001</v>
      </c>
      <c r="I23" s="18">
        <f>(F23+G23+H23)*0.07</f>
        <v>10.691310000000001</v>
      </c>
      <c r="J23" s="18">
        <f>E23+F23+I23+G23+H23</f>
        <v>73663.424310000002</v>
      </c>
      <c r="M23" s="21"/>
    </row>
    <row r="24" spans="1:13" s="13" customFormat="1">
      <c r="A24" s="14">
        <v>44867</v>
      </c>
      <c r="B24" s="15" t="s">
        <v>3</v>
      </c>
      <c r="C24" s="16">
        <f>C23</f>
        <v>3000</v>
      </c>
      <c r="D24" s="26">
        <v>16.100000000000001</v>
      </c>
      <c r="E24" s="17">
        <f>C24*D24</f>
        <v>48300.000000000007</v>
      </c>
      <c r="F24" s="27">
        <f>E24*0.002</f>
        <v>96.600000000000023</v>
      </c>
      <c r="G24" s="26">
        <f>E24*0.000068</f>
        <v>3.2844000000000007</v>
      </c>
      <c r="H24" s="26">
        <f>E24*0.00001</f>
        <v>0.4830000000000001</v>
      </c>
      <c r="I24" s="26">
        <f>(F24+G24+H24)*0.07</f>
        <v>7.025718000000003</v>
      </c>
      <c r="J24" s="26">
        <f>E24-F24-G24-H24-I24</f>
        <v>48192.606882000015</v>
      </c>
    </row>
    <row r="25" spans="1:13" s="31" customFormat="1" ht="18.75">
      <c r="A25" s="14" t="s">
        <v>4</v>
      </c>
      <c r="B25" s="7">
        <f>(D24-D23)/D23</f>
        <v>-0.3428571428571428</v>
      </c>
      <c r="C25" s="16"/>
      <c r="D25" s="17"/>
      <c r="E25" s="18">
        <f>E24-E23</f>
        <v>-25199.999999999993</v>
      </c>
      <c r="F25" s="18"/>
      <c r="G25" s="18"/>
      <c r="H25" s="18"/>
      <c r="I25" s="18"/>
      <c r="J25" s="18">
        <f>J24-J23</f>
        <v>-25470.817427999988</v>
      </c>
      <c r="K25" s="12"/>
    </row>
    <row r="26" spans="1:13" s="31" customFormat="1" ht="18.75">
      <c r="A26" s="8"/>
      <c r="B26" s="25"/>
      <c r="C26" s="10"/>
      <c r="D26" s="11"/>
      <c r="E26" s="20"/>
      <c r="F26" s="20"/>
      <c r="G26" s="20"/>
      <c r="H26" s="20"/>
      <c r="I26" s="20"/>
      <c r="J26" s="20"/>
      <c r="K26" s="12"/>
    </row>
    <row r="27" spans="1:13" s="13" customFormat="1">
      <c r="A27" s="39">
        <v>44372</v>
      </c>
      <c r="B27" s="15" t="s">
        <v>1</v>
      </c>
      <c r="C27" s="16">
        <v>1500</v>
      </c>
      <c r="D27" s="17">
        <v>24.5</v>
      </c>
      <c r="E27" s="18">
        <f>C27*D27</f>
        <v>36750</v>
      </c>
      <c r="F27" s="18">
        <f>E27*0.002</f>
        <v>73.5</v>
      </c>
      <c r="G27" s="18">
        <f>E27*0.00006</f>
        <v>2.2050000000000001</v>
      </c>
      <c r="H27" s="18">
        <f>E27*0.00001</f>
        <v>0.36750000000000005</v>
      </c>
      <c r="I27" s="18">
        <f>(F27+G27+H27)*0.07</f>
        <v>5.3250750000000009</v>
      </c>
      <c r="J27" s="18">
        <f>E27+F27+I27+G27+H27</f>
        <v>36831.397575000003</v>
      </c>
      <c r="K27" s="32"/>
      <c r="L27" s="11"/>
      <c r="M27" s="12"/>
    </row>
    <row r="28" spans="1:13" s="13" customFormat="1">
      <c r="A28" s="14">
        <v>44533</v>
      </c>
      <c r="B28" s="15" t="s">
        <v>3</v>
      </c>
      <c r="C28" s="16">
        <f>C27</f>
        <v>1500</v>
      </c>
      <c r="D28" s="26">
        <v>32</v>
      </c>
      <c r="E28" s="17">
        <f>C28*D28</f>
        <v>48000</v>
      </c>
      <c r="F28" s="27">
        <f>E28*0.002</f>
        <v>96</v>
      </c>
      <c r="G28" s="26">
        <f>E28*0.000068</f>
        <v>3.2639999999999998</v>
      </c>
      <c r="H28" s="26">
        <f>E28*0.00001</f>
        <v>0.48000000000000004</v>
      </c>
      <c r="I28" s="26">
        <f>(F28+G28+H28)*0.07</f>
        <v>6.9820800000000007</v>
      </c>
      <c r="J28" s="26">
        <f>E28-F28-G28-H28-I28</f>
        <v>47893.273919999992</v>
      </c>
    </row>
    <row r="29" spans="1:13" s="31" customFormat="1" ht="18.75">
      <c r="A29" s="14" t="s">
        <v>4</v>
      </c>
      <c r="B29" s="7">
        <f>(D28-D27)/D27</f>
        <v>0.30612244897959184</v>
      </c>
      <c r="C29" s="16"/>
      <c r="D29" s="17"/>
      <c r="E29" s="18">
        <f>E28-E27</f>
        <v>11250</v>
      </c>
      <c r="F29" s="18"/>
      <c r="G29" s="18"/>
      <c r="H29" s="18"/>
      <c r="I29" s="18"/>
      <c r="J29" s="18">
        <f>J28-J27</f>
        <v>11061.87634499999</v>
      </c>
      <c r="K29" s="12"/>
    </row>
    <row r="30" spans="1:13" s="13" customFormat="1">
      <c r="A30" s="39">
        <v>44372</v>
      </c>
      <c r="B30" s="15" t="s">
        <v>1</v>
      </c>
      <c r="C30" s="16">
        <v>1500</v>
      </c>
      <c r="D30" s="17">
        <v>24.5</v>
      </c>
      <c r="E30" s="18">
        <f>C30*D30</f>
        <v>36750</v>
      </c>
      <c r="F30" s="18">
        <f>E30*0.002</f>
        <v>73.5</v>
      </c>
      <c r="G30" s="18">
        <f>E30*0.00006</f>
        <v>2.2050000000000001</v>
      </c>
      <c r="H30" s="18">
        <f>E30*0.00001</f>
        <v>0.36750000000000005</v>
      </c>
      <c r="I30" s="18">
        <f>(F30+G30+H30)*0.07</f>
        <v>5.3250750000000009</v>
      </c>
      <c r="J30" s="18">
        <f>E30+F30+I30+G30+H30</f>
        <v>36831.397575000003</v>
      </c>
      <c r="K30" s="32"/>
      <c r="L30" s="11"/>
      <c r="M30" s="12"/>
    </row>
    <row r="31" spans="1:13" s="13" customFormat="1">
      <c r="A31" s="14">
        <v>44537</v>
      </c>
      <c r="B31" s="15" t="s">
        <v>3</v>
      </c>
      <c r="C31" s="16">
        <f>C30</f>
        <v>1500</v>
      </c>
      <c r="D31" s="26">
        <v>33</v>
      </c>
      <c r="E31" s="17">
        <f>C31*D31</f>
        <v>49500</v>
      </c>
      <c r="F31" s="27">
        <f>E31*0.002</f>
        <v>99</v>
      </c>
      <c r="G31" s="26">
        <f>E31*0.000068</f>
        <v>3.3660000000000001</v>
      </c>
      <c r="H31" s="26">
        <f>E31*0.00001</f>
        <v>0.49500000000000005</v>
      </c>
      <c r="I31" s="26">
        <f>(F31+G31+H31)*0.07</f>
        <v>7.2002700000000006</v>
      </c>
      <c r="J31" s="26">
        <f>E31-F31-G31-H31-I31</f>
        <v>49389.938729999994</v>
      </c>
    </row>
    <row r="32" spans="1:13" s="31" customFormat="1" ht="18.75">
      <c r="A32" s="14" t="s">
        <v>4</v>
      </c>
      <c r="B32" s="7">
        <f>(D31-D30)/D30</f>
        <v>0.34693877551020408</v>
      </c>
      <c r="C32" s="16"/>
      <c r="D32" s="17"/>
      <c r="E32" s="18">
        <f>E31-E30</f>
        <v>12750</v>
      </c>
      <c r="F32" s="18"/>
      <c r="G32" s="18"/>
      <c r="H32" s="18"/>
      <c r="I32" s="18"/>
      <c r="J32" s="18">
        <f>J31-J30</f>
        <v>12558.541154999992</v>
      </c>
      <c r="K32" s="12"/>
    </row>
    <row r="33" spans="1:13" s="13" customFormat="1">
      <c r="A33" s="39">
        <v>44372</v>
      </c>
      <c r="B33" s="15" t="s">
        <v>1</v>
      </c>
      <c r="C33" s="16">
        <v>1500</v>
      </c>
      <c r="D33" s="17">
        <v>31.5</v>
      </c>
      <c r="E33" s="18">
        <f>C33*D33</f>
        <v>47250</v>
      </c>
      <c r="F33" s="18">
        <f>E33*0.002</f>
        <v>94.5</v>
      </c>
      <c r="G33" s="18">
        <f>E33*0.00006</f>
        <v>2.835</v>
      </c>
      <c r="H33" s="18">
        <f>E33*0.00001</f>
        <v>0.47250000000000003</v>
      </c>
      <c r="I33" s="18">
        <f>(F33+G33+H33)*0.07</f>
        <v>6.8465249999999997</v>
      </c>
      <c r="J33" s="18">
        <f>E33+F33+I33+G33+H33</f>
        <v>47354.654025000003</v>
      </c>
      <c r="K33" s="32"/>
      <c r="L33" s="11"/>
      <c r="M33" s="12"/>
    </row>
    <row r="34" spans="1:13" s="13" customFormat="1">
      <c r="A34" s="14">
        <v>44574</v>
      </c>
      <c r="B34" s="15" t="s">
        <v>3</v>
      </c>
      <c r="C34" s="16">
        <f>C33</f>
        <v>1500</v>
      </c>
      <c r="D34" s="26">
        <v>33</v>
      </c>
      <c r="E34" s="17">
        <f>C34*D34</f>
        <v>49500</v>
      </c>
      <c r="F34" s="27">
        <f>E34*0.002</f>
        <v>99</v>
      </c>
      <c r="G34" s="26">
        <f>E34*0.000068</f>
        <v>3.3660000000000001</v>
      </c>
      <c r="H34" s="26">
        <f>E34*0.00001</f>
        <v>0.49500000000000005</v>
      </c>
      <c r="I34" s="26">
        <f>(F34+G34+H34)*0.07</f>
        <v>7.2002700000000006</v>
      </c>
      <c r="J34" s="26">
        <f>E34-F34-G34-H34-I34</f>
        <v>49389.938729999994</v>
      </c>
    </row>
    <row r="35" spans="1:13" s="31" customFormat="1" ht="18.75">
      <c r="A35" s="14" t="s">
        <v>4</v>
      </c>
      <c r="B35" s="7">
        <f>(D34-D33)/D33</f>
        <v>4.7619047619047616E-2</v>
      </c>
      <c r="C35" s="16"/>
      <c r="D35" s="17"/>
      <c r="E35" s="18">
        <f>E34-E33</f>
        <v>2250</v>
      </c>
      <c r="F35" s="18"/>
      <c r="G35" s="18"/>
      <c r="H35" s="18"/>
      <c r="I35" s="18"/>
      <c r="J35" s="18">
        <f>J34-J33</f>
        <v>2035.2847049999909</v>
      </c>
      <c r="K35" s="1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E859-355F-466D-8C73-B562F113BB11}">
  <dimension ref="A1:N16"/>
  <sheetViews>
    <sheetView workbookViewId="0">
      <selection activeCell="A5" sqref="A5"/>
    </sheetView>
  </sheetViews>
  <sheetFormatPr defaultColWidth="8.875" defaultRowHeight="14.25"/>
  <cols>
    <col min="1" max="1" width="10.625" style="38" customWidth="1"/>
    <col min="2" max="2" width="7.125" style="21" customWidth="1"/>
    <col min="3" max="3" width="7.625" style="22" bestFit="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2.75" style="21" customWidth="1"/>
    <col min="12" max="12" width="8.875" style="21"/>
    <col min="13" max="13" width="8.875" style="25"/>
    <col min="14" max="16384" width="8.875" style="21"/>
  </cols>
  <sheetData>
    <row r="1" spans="1:14">
      <c r="B1" s="21" t="s">
        <v>32</v>
      </c>
    </row>
    <row r="2" spans="1:14" s="13" customFormat="1">
      <c r="A2" s="39">
        <v>44895</v>
      </c>
      <c r="B2" s="15" t="s">
        <v>1</v>
      </c>
      <c r="C2" s="16">
        <v>10000</v>
      </c>
      <c r="D2" s="17">
        <v>7.5</v>
      </c>
      <c r="E2" s="18">
        <f>C2*D2</f>
        <v>75000</v>
      </c>
      <c r="F2" s="18">
        <f>E2*0.002</f>
        <v>150</v>
      </c>
      <c r="G2" s="18">
        <f>E2*0.00006</f>
        <v>4.5</v>
      </c>
      <c r="H2" s="18">
        <f>E2*0.00001</f>
        <v>0.75000000000000011</v>
      </c>
      <c r="I2" s="18">
        <f>(F2+G2+H2)*0.07</f>
        <v>10.867500000000001</v>
      </c>
      <c r="J2" s="18">
        <f>E2+F2+I2+G2+H2</f>
        <v>75166.117499999993</v>
      </c>
      <c r="K2" s="29"/>
      <c r="L2" s="17"/>
      <c r="M2" s="30"/>
    </row>
    <row r="3" spans="1:14" ht="12.75">
      <c r="A3" s="56"/>
      <c r="B3" s="25"/>
      <c r="C3" s="10"/>
      <c r="D3" s="11"/>
      <c r="E3" s="10"/>
      <c r="F3" s="10"/>
      <c r="G3" s="10"/>
      <c r="H3" s="10"/>
      <c r="I3" s="10"/>
      <c r="J3" s="10"/>
      <c r="L3" s="24"/>
    </row>
    <row r="4" spans="1:14" s="1" customFormat="1">
      <c r="A4" s="50"/>
      <c r="C4" s="2"/>
      <c r="D4" s="47"/>
    </row>
    <row r="5" spans="1:14" s="63" customFormat="1" ht="21.75">
      <c r="A5" s="56">
        <v>44904</v>
      </c>
      <c r="C5" s="10">
        <f>C2</f>
        <v>10000</v>
      </c>
      <c r="D5" s="64">
        <v>0.1003</v>
      </c>
      <c r="E5" s="60">
        <v>0</v>
      </c>
      <c r="F5" s="32">
        <v>0</v>
      </c>
      <c r="G5" s="60">
        <v>0</v>
      </c>
      <c r="H5" s="11">
        <f>G5-E5</f>
        <v>0</v>
      </c>
      <c r="I5" s="12">
        <v>0</v>
      </c>
      <c r="J5" s="61">
        <f>C5*D5</f>
        <v>1003</v>
      </c>
      <c r="K5" s="11"/>
      <c r="L5" s="13"/>
      <c r="M5" s="62"/>
      <c r="N5" s="62"/>
    </row>
    <row r="6" spans="1:14" s="1" customFormat="1" ht="12.75">
      <c r="A6" s="56">
        <v>44242</v>
      </c>
      <c r="B6" s="13" t="s">
        <v>1</v>
      </c>
      <c r="C6" s="10">
        <v>10000</v>
      </c>
      <c r="D6" s="11">
        <v>7.5</v>
      </c>
      <c r="E6" s="20">
        <f>C6*D6</f>
        <v>75000</v>
      </c>
      <c r="F6" s="20">
        <f>E6*0.002</f>
        <v>150</v>
      </c>
      <c r="G6" s="20">
        <f>E6*0.00006</f>
        <v>4.5</v>
      </c>
      <c r="H6" s="20">
        <f>E6*0.00001</f>
        <v>0.75000000000000011</v>
      </c>
      <c r="I6" s="20">
        <f>(F6+G6+H6)*0.07</f>
        <v>10.867500000000001</v>
      </c>
      <c r="J6" s="20">
        <f>E6+F6+I6+G6+H6</f>
        <v>75166.117499999993</v>
      </c>
    </row>
    <row r="7" spans="1:14" s="1" customFormat="1">
      <c r="A7" s="56">
        <v>44277</v>
      </c>
      <c r="B7" s="13" t="s">
        <v>3</v>
      </c>
      <c r="C7" s="10">
        <f>C6</f>
        <v>10000</v>
      </c>
      <c r="D7" s="34">
        <v>7.55</v>
      </c>
      <c r="E7" s="11">
        <f>C7*D7</f>
        <v>75500</v>
      </c>
      <c r="F7" s="35">
        <f>E7*0.002</f>
        <v>151</v>
      </c>
      <c r="G7" s="34">
        <f>E7*0.000068</f>
        <v>5.1340000000000003</v>
      </c>
      <c r="H7" s="34">
        <f>E7*0.00001</f>
        <v>0.75500000000000012</v>
      </c>
      <c r="I7" s="34">
        <f>(F7+G7+H7)*0.07</f>
        <v>10.982230000000001</v>
      </c>
      <c r="J7" s="34">
        <f>E7-F7-G7-H7-I7</f>
        <v>75332.128769999996</v>
      </c>
    </row>
    <row r="8" spans="1:14" s="1" customFormat="1">
      <c r="A8" s="56" t="s">
        <v>4</v>
      </c>
      <c r="B8" s="13"/>
      <c r="C8" s="10"/>
      <c r="D8" s="11"/>
      <c r="E8" s="20">
        <f>E7-E6</f>
        <v>500</v>
      </c>
      <c r="F8" s="20"/>
      <c r="G8" s="20"/>
      <c r="H8" s="20"/>
      <c r="I8" s="20"/>
      <c r="J8" s="20">
        <f>J7-J6</f>
        <v>166.0112700000027</v>
      </c>
    </row>
    <row r="9" spans="1:14" s="1" customFormat="1">
      <c r="A9" s="50"/>
      <c r="C9" s="2"/>
      <c r="D9" s="47"/>
      <c r="J9" s="53">
        <f>J5+J8</f>
        <v>1169.0112700000027</v>
      </c>
    </row>
    <row r="10" spans="1:14" ht="12.75"/>
    <row r="11" spans="1:14" ht="12.75"/>
    <row r="12" spans="1:14" ht="12.75"/>
    <row r="13" spans="1:14" ht="12.75"/>
    <row r="15" spans="1:14" ht="12.75"/>
    <row r="16" spans="1:14" ht="12.75"/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F4F3-83CC-4355-B28D-286BFFC2FE1C}">
  <dimension ref="A1:N13"/>
  <sheetViews>
    <sheetView workbookViewId="0">
      <selection activeCell="A13" sqref="A13:XFD13"/>
    </sheetView>
  </sheetViews>
  <sheetFormatPr defaultColWidth="8.875" defaultRowHeight="14.25"/>
  <cols>
    <col min="1" max="1" width="10.625" style="38" customWidth="1"/>
    <col min="2" max="2" width="7.625" style="21" bestFit="1" customWidth="1"/>
    <col min="3" max="3" width="6.625" style="2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7.375" style="21" customWidth="1"/>
    <col min="10" max="10" width="11.25" style="21" customWidth="1"/>
    <col min="11" max="11" width="18" style="21" customWidth="1"/>
    <col min="12" max="12" width="8.875" style="21"/>
    <col min="13" max="13" width="8.875" style="25"/>
    <col min="14" max="16384" width="8.875" style="21"/>
  </cols>
  <sheetData>
    <row r="1" spans="1:14">
      <c r="B1" s="21" t="s">
        <v>33</v>
      </c>
    </row>
    <row r="2" spans="1:14" s="13" customFormat="1">
      <c r="A2" s="39">
        <v>44424</v>
      </c>
      <c r="B2" s="15" t="s">
        <v>1</v>
      </c>
      <c r="C2" s="16">
        <v>15000</v>
      </c>
      <c r="D2" s="17">
        <v>10.9</v>
      </c>
      <c r="E2" s="18">
        <f>C2*D2</f>
        <v>163500</v>
      </c>
      <c r="F2" s="18">
        <f>E2*0.002</f>
        <v>327</v>
      </c>
      <c r="G2" s="18">
        <f>E2*0.00006</f>
        <v>9.81</v>
      </c>
      <c r="H2" s="18">
        <f>E2*0.00001</f>
        <v>1.6350000000000002</v>
      </c>
      <c r="I2" s="18">
        <f>(F2+G2+H2)*0.07</f>
        <v>23.69115</v>
      </c>
      <c r="J2" s="18">
        <f>E2+F2+I2+G2+H2</f>
        <v>163862.13615000001</v>
      </c>
      <c r="K2" s="29"/>
      <c r="L2" s="17"/>
      <c r="M2" s="30"/>
    </row>
    <row r="3" spans="1:14" s="13" customFormat="1">
      <c r="A3" s="39">
        <v>44473</v>
      </c>
      <c r="B3" s="15" t="s">
        <v>1</v>
      </c>
      <c r="C3" s="16">
        <v>12000</v>
      </c>
      <c r="D3" s="17">
        <v>10</v>
      </c>
      <c r="E3" s="18">
        <f>C3*D3</f>
        <v>120000</v>
      </c>
      <c r="F3" s="18">
        <f>E3*0.002</f>
        <v>240</v>
      </c>
      <c r="G3" s="18">
        <f>E3*0.00006</f>
        <v>7.2</v>
      </c>
      <c r="H3" s="18">
        <f>E3*0.00001</f>
        <v>1.2000000000000002</v>
      </c>
      <c r="I3" s="18">
        <f>(F3+G3+H3)*0.07</f>
        <v>17.388000000000002</v>
      </c>
      <c r="J3" s="18">
        <f>E3+F3+I3+G3+H3</f>
        <v>120265.788</v>
      </c>
      <c r="K3" s="29"/>
      <c r="L3" s="17"/>
      <c r="M3" s="30"/>
    </row>
    <row r="4" spans="1:14" s="63" customFormat="1" ht="21.75">
      <c r="A4" s="49"/>
      <c r="B4" s="75">
        <f>(D3-D2)/D2</f>
        <v>-8.2568807339449574E-2</v>
      </c>
      <c r="C4" s="16">
        <f>SUM(C2:C3)</f>
        <v>27000</v>
      </c>
      <c r="D4" s="40">
        <f>E4/C4</f>
        <v>10.5</v>
      </c>
      <c r="E4" s="16">
        <f t="shared" ref="E4:J4" si="0">SUM(E2:E3)</f>
        <v>283500</v>
      </c>
      <c r="F4" s="16">
        <f t="shared" si="0"/>
        <v>567</v>
      </c>
      <c r="G4" s="16">
        <f t="shared" si="0"/>
        <v>17.010000000000002</v>
      </c>
      <c r="H4" s="16">
        <f t="shared" si="0"/>
        <v>2.8350000000000004</v>
      </c>
      <c r="I4" s="16">
        <f t="shared" si="0"/>
        <v>41.079149999999998</v>
      </c>
      <c r="J4" s="16">
        <f t="shared" si="0"/>
        <v>284127.92414999998</v>
      </c>
      <c r="K4" s="11"/>
      <c r="L4" s="13"/>
      <c r="M4" s="62"/>
      <c r="N4" s="62"/>
    </row>
    <row r="5" spans="1:14" s="13" customFormat="1">
      <c r="A5" s="39">
        <v>44719</v>
      </c>
      <c r="B5" s="15" t="s">
        <v>1</v>
      </c>
      <c r="C5" s="16">
        <v>9000</v>
      </c>
      <c r="D5" s="17">
        <v>9.3000000000000007</v>
      </c>
      <c r="E5" s="18">
        <f>C5*D5</f>
        <v>83700</v>
      </c>
      <c r="F5" s="18">
        <f>E5*0.002</f>
        <v>167.4</v>
      </c>
      <c r="G5" s="18">
        <f>E5*0.00006</f>
        <v>5.0220000000000002</v>
      </c>
      <c r="H5" s="18">
        <f>E5*0.00001</f>
        <v>0.83700000000000008</v>
      </c>
      <c r="I5" s="18">
        <f>(F5+G5+H5)*0.07</f>
        <v>12.128130000000001</v>
      </c>
      <c r="J5" s="18">
        <f>E5+F5+I5+G5+H5</f>
        <v>83885.387129999988</v>
      </c>
      <c r="K5" s="32"/>
      <c r="L5" s="11"/>
      <c r="M5" s="12"/>
    </row>
    <row r="6" spans="1:14" s="63" customFormat="1" ht="21.75">
      <c r="A6" s="49"/>
      <c r="B6" s="75">
        <f>(D5-D4)/D4</f>
        <v>-0.11428571428571421</v>
      </c>
      <c r="C6" s="16">
        <f>SUM(C4:C5)</f>
        <v>36000</v>
      </c>
      <c r="D6" s="40">
        <f>E6/C6</f>
        <v>10.199999999999999</v>
      </c>
      <c r="E6" s="16">
        <f t="shared" ref="E6:J6" si="1">SUM(E4:E5)</f>
        <v>367200</v>
      </c>
      <c r="F6" s="16">
        <f t="shared" si="1"/>
        <v>734.4</v>
      </c>
      <c r="G6" s="16">
        <f t="shared" si="1"/>
        <v>22.032000000000004</v>
      </c>
      <c r="H6" s="16">
        <f t="shared" si="1"/>
        <v>3.6720000000000006</v>
      </c>
      <c r="I6" s="16">
        <f t="shared" si="1"/>
        <v>53.207279999999997</v>
      </c>
      <c r="J6" s="16">
        <f t="shared" si="1"/>
        <v>368013.31127999997</v>
      </c>
      <c r="K6" s="11"/>
      <c r="L6" s="13"/>
      <c r="M6" s="62"/>
      <c r="N6" s="62"/>
    </row>
    <row r="7" spans="1:14" s="13" customFormat="1" ht="12.75">
      <c r="A7" s="67">
        <v>44473</v>
      </c>
      <c r="B7" s="13" t="s">
        <v>1</v>
      </c>
      <c r="C7" s="10">
        <v>12000</v>
      </c>
      <c r="D7" s="11">
        <v>7.4</v>
      </c>
      <c r="E7" s="20">
        <f>C7*D7</f>
        <v>88800</v>
      </c>
      <c r="F7" s="20">
        <f>E7*0.002</f>
        <v>177.6</v>
      </c>
      <c r="G7" s="20">
        <f>E7*0.00006</f>
        <v>5.3280000000000003</v>
      </c>
      <c r="H7" s="20">
        <f>E7*0.00001</f>
        <v>0.88800000000000012</v>
      </c>
      <c r="I7" s="20">
        <f>(F7+G7+H7)*0.07</f>
        <v>12.867120000000002</v>
      </c>
      <c r="J7" s="20">
        <f>E7+F7+I7+G7+H7</f>
        <v>88996.683120000002</v>
      </c>
      <c r="K7" s="32"/>
      <c r="L7" s="11"/>
      <c r="M7" s="12"/>
    </row>
    <row r="8" spans="1:14" s="63" customFormat="1" ht="21.75">
      <c r="A8" s="56"/>
      <c r="B8" s="76">
        <f>(D7-D6)/D6</f>
        <v>-0.27450980392156854</v>
      </c>
      <c r="C8" s="10">
        <f>SUM(C6:C7)</f>
        <v>48000</v>
      </c>
      <c r="D8" s="64">
        <f>E8/C8</f>
        <v>9.5</v>
      </c>
      <c r="E8" s="10">
        <f t="shared" ref="E8:J8" si="2">SUM(E6:E7)</f>
        <v>456000</v>
      </c>
      <c r="F8" s="10">
        <f t="shared" si="2"/>
        <v>912</v>
      </c>
      <c r="G8" s="10">
        <f t="shared" si="2"/>
        <v>27.360000000000003</v>
      </c>
      <c r="H8" s="10">
        <f t="shared" si="2"/>
        <v>4.5600000000000005</v>
      </c>
      <c r="I8" s="10">
        <f t="shared" si="2"/>
        <v>66.074399999999997</v>
      </c>
      <c r="J8" s="10">
        <f t="shared" si="2"/>
        <v>457009.99439999997</v>
      </c>
      <c r="K8" s="11"/>
      <c r="L8" s="13"/>
      <c r="M8" s="62"/>
      <c r="N8" s="62"/>
    </row>
    <row r="9" spans="1:14" s="63" customFormat="1" ht="21.75">
      <c r="A9" s="49"/>
      <c r="B9" s="75"/>
      <c r="C9" s="16"/>
      <c r="D9" s="40"/>
      <c r="E9" s="16"/>
      <c r="F9" s="16"/>
      <c r="G9" s="16"/>
      <c r="H9" s="16"/>
      <c r="I9" s="16"/>
      <c r="J9" s="16"/>
      <c r="K9" s="11"/>
      <c r="L9" s="13"/>
      <c r="M9" s="62"/>
      <c r="N9" s="62"/>
    </row>
    <row r="10" spans="1:14" s="13" customFormat="1" ht="12.75">
      <c r="A10" s="39">
        <v>44728</v>
      </c>
      <c r="B10" s="15" t="s">
        <v>1</v>
      </c>
      <c r="C10" s="16">
        <v>12000</v>
      </c>
      <c r="D10" s="17">
        <v>9</v>
      </c>
      <c r="E10" s="18">
        <f>C10*D10</f>
        <v>108000</v>
      </c>
      <c r="F10" s="18">
        <f>E10*0.002</f>
        <v>216</v>
      </c>
      <c r="G10" s="18">
        <f>E10*0.00006</f>
        <v>6.48</v>
      </c>
      <c r="H10" s="18">
        <f>E10*0.00001</f>
        <v>1.08</v>
      </c>
      <c r="I10" s="18">
        <f>(F10+G10+H10)*0.07</f>
        <v>15.649200000000002</v>
      </c>
      <c r="J10" s="18">
        <f>E10+F10+I10+G10+H10</f>
        <v>108239.2092</v>
      </c>
      <c r="K10" s="32"/>
      <c r="L10" s="11"/>
      <c r="M10" s="12"/>
    </row>
    <row r="11" spans="1:14" s="1" customFormat="1" ht="12.75">
      <c r="A11" s="49">
        <v>44923</v>
      </c>
      <c r="B11" s="15" t="s">
        <v>3</v>
      </c>
      <c r="C11" s="16">
        <f>C10</f>
        <v>12000</v>
      </c>
      <c r="D11" s="26">
        <v>7.75</v>
      </c>
      <c r="E11" s="17">
        <f>C11*D11</f>
        <v>93000</v>
      </c>
      <c r="F11" s="27">
        <f>E11*0.002</f>
        <v>186</v>
      </c>
      <c r="G11" s="26">
        <f>E11*0.000068</f>
        <v>6.3239999999999998</v>
      </c>
      <c r="H11" s="26">
        <f>E11*0.00001</f>
        <v>0.93</v>
      </c>
      <c r="I11" s="26">
        <f>(F11+G11+H11)*0.07</f>
        <v>13.527780000000003</v>
      </c>
      <c r="J11" s="26">
        <f>E11-F11-G11-H11-I11</f>
        <v>92793.21822000001</v>
      </c>
    </row>
    <row r="12" spans="1:14" s="1" customFormat="1" ht="12.75">
      <c r="A12" s="49" t="s">
        <v>4</v>
      </c>
      <c r="B12" s="15"/>
      <c r="C12" s="16"/>
      <c r="D12" s="17"/>
      <c r="E12" s="18">
        <f>E11-E10</f>
        <v>-15000</v>
      </c>
      <c r="F12" s="18"/>
      <c r="G12" s="18"/>
      <c r="H12" s="18"/>
      <c r="I12" s="18"/>
      <c r="J12" s="18">
        <f>J11-J10</f>
        <v>-15445.990979999988</v>
      </c>
    </row>
    <row r="13" spans="1:14" s="63" customFormat="1" ht="21.75">
      <c r="A13" s="56"/>
      <c r="B13" s="76"/>
      <c r="C13" s="10"/>
      <c r="D13" s="64"/>
      <c r="E13" s="10"/>
      <c r="F13" s="10"/>
      <c r="G13" s="10"/>
      <c r="H13" s="10"/>
      <c r="I13" s="10"/>
      <c r="J13" s="10"/>
      <c r="K13" s="11"/>
      <c r="L13" s="13"/>
      <c r="M13" s="62"/>
      <c r="N13" s="62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5EBD-FACE-4A0A-BE47-8E8EEE95DB23}">
  <sheetPr>
    <tabColor rgb="FFFF0000"/>
  </sheetPr>
  <dimension ref="A1:N20"/>
  <sheetViews>
    <sheetView topLeftCell="A8" workbookViewId="0">
      <selection activeCell="D13" sqref="D13"/>
    </sheetView>
  </sheetViews>
  <sheetFormatPr defaultColWidth="8.875" defaultRowHeight="14.25"/>
  <cols>
    <col min="1" max="1" width="10.125" style="50" customWidth="1"/>
    <col min="2" max="2" width="7.125" style="1" customWidth="1"/>
    <col min="3" max="3" width="6.625" style="1" customWidth="1"/>
    <col min="4" max="4" width="7.625" style="47" bestFit="1" customWidth="1"/>
    <col min="5" max="5" width="11.25" style="1" customWidth="1"/>
    <col min="6" max="6" width="10" style="1" bestFit="1" customWidth="1"/>
    <col min="7" max="7" width="6.75" style="1" customWidth="1"/>
    <col min="8" max="8" width="5.75" style="1" customWidth="1"/>
    <col min="9" max="9" width="7.875" style="1" customWidth="1"/>
    <col min="10" max="10" width="11.25" style="1" customWidth="1"/>
    <col min="11" max="16384" width="8.875" style="1"/>
  </cols>
  <sheetData>
    <row r="1" spans="1:14">
      <c r="B1" s="50" t="s">
        <v>34</v>
      </c>
    </row>
    <row r="2" spans="1:14" s="19" customFormat="1" ht="16.5">
      <c r="A2" s="49">
        <v>44466</v>
      </c>
      <c r="B2" s="15" t="s">
        <v>1</v>
      </c>
      <c r="C2" s="16">
        <v>10000</v>
      </c>
      <c r="D2" s="41">
        <v>9.1</v>
      </c>
      <c r="E2" s="18">
        <f>C2*D2</f>
        <v>91000</v>
      </c>
      <c r="F2" s="18">
        <f>E2*0.002</f>
        <v>182</v>
      </c>
      <c r="G2" s="18">
        <f>E2*0.00006</f>
        <v>5.46</v>
      </c>
      <c r="H2" s="18">
        <f>E2*0.00001</f>
        <v>0.91</v>
      </c>
      <c r="I2" s="18">
        <f>(F2+G2+H2)*0.07</f>
        <v>13.185900000000002</v>
      </c>
      <c r="J2" s="18">
        <f>E2+F2+I2+G2+H2</f>
        <v>91201.555900000007</v>
      </c>
    </row>
    <row r="3" spans="1:14" s="21" customFormat="1">
      <c r="A3" s="14">
        <v>44544</v>
      </c>
      <c r="B3" s="15" t="s">
        <v>1</v>
      </c>
      <c r="C3" s="16">
        <v>10000</v>
      </c>
      <c r="D3" s="41">
        <v>8.9</v>
      </c>
      <c r="E3" s="18">
        <f>C3*D3</f>
        <v>89000</v>
      </c>
      <c r="F3" s="18">
        <f>E3*0.002</f>
        <v>178</v>
      </c>
      <c r="G3" s="18">
        <f>E3*0.000068</f>
        <v>6.0519999999999996</v>
      </c>
      <c r="H3" s="18">
        <f>E3*0.00001</f>
        <v>0.89000000000000012</v>
      </c>
      <c r="I3" s="18">
        <f>(F3+G3+H3)*0.07</f>
        <v>12.94594</v>
      </c>
      <c r="J3" s="18">
        <f>E3+F3+I3+G3+H3</f>
        <v>89197.887940000001</v>
      </c>
    </row>
    <row r="4" spans="1:14" s="21" customFormat="1">
      <c r="A4" s="42"/>
      <c r="B4" s="74">
        <f>(D3-D2)/D2</f>
        <v>-2.19780219780219E-2</v>
      </c>
      <c r="C4" s="5">
        <f>SUM(C2:C3)</f>
        <v>20000</v>
      </c>
      <c r="D4" s="36">
        <f>E4/C4</f>
        <v>9</v>
      </c>
      <c r="E4" s="48">
        <f t="shared" ref="E4:J4" si="0">SUM(E2:E3)</f>
        <v>180000</v>
      </c>
      <c r="F4" s="5">
        <f t="shared" si="0"/>
        <v>360</v>
      </c>
      <c r="G4" s="5">
        <f t="shared" si="0"/>
        <v>11.512</v>
      </c>
      <c r="H4" s="5">
        <f t="shared" si="0"/>
        <v>1.8000000000000003</v>
      </c>
      <c r="I4" s="5">
        <f t="shared" si="0"/>
        <v>26.131840000000004</v>
      </c>
      <c r="J4" s="5">
        <f t="shared" si="0"/>
        <v>180399.44384000002</v>
      </c>
      <c r="K4" s="25"/>
    </row>
    <row r="5" spans="1:14" s="21" customFormat="1">
      <c r="A5" s="14">
        <v>44546</v>
      </c>
      <c r="B5" s="15" t="s">
        <v>1</v>
      </c>
      <c r="C5" s="16">
        <v>5100</v>
      </c>
      <c r="D5" s="41">
        <v>8.85</v>
      </c>
      <c r="E5" s="18">
        <f>C5*D5</f>
        <v>45135</v>
      </c>
      <c r="F5" s="18">
        <f>E5*0.002</f>
        <v>90.27</v>
      </c>
      <c r="G5" s="18">
        <f>E5*0.000068</f>
        <v>3.0691799999999998</v>
      </c>
      <c r="H5" s="18">
        <f>E5*0.00001</f>
        <v>0.45135000000000003</v>
      </c>
      <c r="I5" s="18">
        <f>(F5+G5+H5)*0.07</f>
        <v>6.5653371000000007</v>
      </c>
      <c r="J5" s="18">
        <f>E5+F5+I5+G5+H5</f>
        <v>45235.355867099999</v>
      </c>
    </row>
    <row r="6" spans="1:14" s="21" customFormat="1">
      <c r="A6" s="42"/>
      <c r="B6" s="74">
        <f>(D5-D4)/D4</f>
        <v>-1.6666666666666705E-2</v>
      </c>
      <c r="C6" s="5">
        <f>SUM(C4:C5)</f>
        <v>25100</v>
      </c>
      <c r="D6" s="36">
        <f>E6/C6</f>
        <v>8.9695219123505971</v>
      </c>
      <c r="E6" s="48">
        <f t="shared" ref="E6:J6" si="1">SUM(E4:E5)</f>
        <v>225135</v>
      </c>
      <c r="F6" s="5">
        <f t="shared" si="1"/>
        <v>450.27</v>
      </c>
      <c r="G6" s="5">
        <f t="shared" si="1"/>
        <v>14.58118</v>
      </c>
      <c r="H6" s="5">
        <f t="shared" si="1"/>
        <v>2.2513500000000004</v>
      </c>
      <c r="I6" s="5">
        <f t="shared" si="1"/>
        <v>32.697177100000005</v>
      </c>
      <c r="J6" s="5">
        <f t="shared" si="1"/>
        <v>225634.79970710003</v>
      </c>
      <c r="K6" s="25"/>
    </row>
    <row r="7" spans="1:14" s="21" customFormat="1">
      <c r="A7" s="14">
        <v>44547</v>
      </c>
      <c r="B7" s="15" t="s">
        <v>1</v>
      </c>
      <c r="C7" s="16">
        <v>4900</v>
      </c>
      <c r="D7" s="41">
        <v>8.85</v>
      </c>
      <c r="E7" s="18">
        <f>C7*D7</f>
        <v>43365</v>
      </c>
      <c r="F7" s="18">
        <f>E7*0.002</f>
        <v>86.73</v>
      </c>
      <c r="G7" s="18">
        <f>E7*0.000068</f>
        <v>2.94882</v>
      </c>
      <c r="H7" s="18">
        <f>E7*0.00001</f>
        <v>0.43365000000000004</v>
      </c>
      <c r="I7" s="18">
        <f>(F7+G7+H7)*0.07</f>
        <v>6.3078729000000004</v>
      </c>
      <c r="J7" s="18">
        <f>E7+F7+I7+G7+H7</f>
        <v>43461.420342899997</v>
      </c>
    </row>
    <row r="8" spans="1:14" s="21" customFormat="1">
      <c r="A8" s="42"/>
      <c r="B8" s="74">
        <f>(D7-D6)/D6</f>
        <v>-1.3325338130455049E-2</v>
      </c>
      <c r="C8" s="5">
        <f>SUM(C6:C7)</f>
        <v>30000</v>
      </c>
      <c r="D8" s="36">
        <f>E8/C8</f>
        <v>8.9499999999999993</v>
      </c>
      <c r="E8" s="48">
        <f t="shared" ref="E8:J8" si="2">SUM(E6:E7)</f>
        <v>268500</v>
      </c>
      <c r="F8" s="5">
        <f t="shared" si="2"/>
        <v>537</v>
      </c>
      <c r="G8" s="5">
        <f t="shared" si="2"/>
        <v>17.53</v>
      </c>
      <c r="H8" s="5">
        <f t="shared" si="2"/>
        <v>2.6850000000000005</v>
      </c>
      <c r="I8" s="5">
        <f t="shared" si="2"/>
        <v>39.005050000000004</v>
      </c>
      <c r="J8" s="5">
        <f t="shared" si="2"/>
        <v>269096.22005</v>
      </c>
      <c r="K8" s="25"/>
    </row>
    <row r="9" spans="1:14" s="21" customFormat="1">
      <c r="A9" s="14">
        <v>44620</v>
      </c>
      <c r="B9" s="15" t="s">
        <v>1</v>
      </c>
      <c r="C9" s="16">
        <v>10000</v>
      </c>
      <c r="D9" s="41">
        <v>8.9499999999999993</v>
      </c>
      <c r="E9" s="18">
        <f>C9*D9</f>
        <v>89500</v>
      </c>
      <c r="F9" s="18">
        <f>E9*0.002</f>
        <v>179</v>
      </c>
      <c r="G9" s="18">
        <f>E9*0.000068</f>
        <v>6.0860000000000003</v>
      </c>
      <c r="H9" s="18">
        <f>E9*0.00001</f>
        <v>0.89500000000000002</v>
      </c>
      <c r="I9" s="18">
        <f>(F9+G9+H9)*0.07</f>
        <v>13.018670000000002</v>
      </c>
      <c r="J9" s="18">
        <f>E9+F9+I9+G9+H9</f>
        <v>89698.999670000005</v>
      </c>
    </row>
    <row r="10" spans="1:14" s="21" customFormat="1">
      <c r="A10" s="42"/>
      <c r="B10" s="74">
        <f>(D9-D8)/D8</f>
        <v>0</v>
      </c>
      <c r="C10" s="5">
        <f>SUM(C8:C9)</f>
        <v>40000</v>
      </c>
      <c r="D10" s="36">
        <f>E10/C10</f>
        <v>8.9499999999999993</v>
      </c>
      <c r="E10" s="48">
        <f t="shared" ref="E10:J10" si="3">SUM(E8:E9)</f>
        <v>358000</v>
      </c>
      <c r="F10" s="5">
        <f t="shared" si="3"/>
        <v>716</v>
      </c>
      <c r="G10" s="5">
        <f t="shared" si="3"/>
        <v>23.616</v>
      </c>
      <c r="H10" s="5">
        <f t="shared" si="3"/>
        <v>3.5800000000000005</v>
      </c>
      <c r="I10" s="5">
        <f t="shared" si="3"/>
        <v>52.023720000000004</v>
      </c>
      <c r="J10" s="5">
        <f t="shared" si="3"/>
        <v>358795.21971999999</v>
      </c>
      <c r="K10" s="25"/>
    </row>
    <row r="11" spans="1:14" s="21" customFormat="1" ht="12.75">
      <c r="A11" s="14">
        <v>44956</v>
      </c>
      <c r="B11" s="15" t="s">
        <v>1</v>
      </c>
      <c r="C11" s="16">
        <v>10000</v>
      </c>
      <c r="D11" s="41">
        <v>7.7</v>
      </c>
      <c r="E11" s="18">
        <f>C11*D11</f>
        <v>77000</v>
      </c>
      <c r="F11" s="18">
        <f>E11*0.002</f>
        <v>154</v>
      </c>
      <c r="G11" s="18">
        <f>E11*0.000068</f>
        <v>5.2359999999999998</v>
      </c>
      <c r="H11" s="18">
        <f>E11*0.00001</f>
        <v>0.77</v>
      </c>
      <c r="I11" s="18">
        <f>(F11+G11+H11)*0.07</f>
        <v>11.200420000000001</v>
      </c>
      <c r="J11" s="18">
        <f>E11+F11+I11+G11+H11</f>
        <v>77171.206420000002</v>
      </c>
    </row>
    <row r="12" spans="1:14" s="21" customFormat="1">
      <c r="A12" s="42"/>
      <c r="B12" s="74">
        <f>(D11-D10)/D10</f>
        <v>-0.13966480446927365</v>
      </c>
      <c r="C12" s="5">
        <f>C10+C11</f>
        <v>50000</v>
      </c>
      <c r="D12" s="36">
        <f>E12/C12</f>
        <v>8.6999999999999993</v>
      </c>
      <c r="E12" s="5">
        <f>E10+E11</f>
        <v>435000</v>
      </c>
      <c r="F12" s="5">
        <f>F10+F11</f>
        <v>870</v>
      </c>
      <c r="G12" s="5">
        <f>G10+G11</f>
        <v>28.852</v>
      </c>
      <c r="H12" s="5">
        <f>H10+H11</f>
        <v>4.3500000000000005</v>
      </c>
      <c r="I12" s="5">
        <f>I10+I11</f>
        <v>63.224140000000006</v>
      </c>
      <c r="J12" s="5">
        <f>J10+J11</f>
        <v>435966.42614</v>
      </c>
      <c r="K12" s="25"/>
    </row>
    <row r="13" spans="1:14" s="21" customFormat="1" ht="12.75">
      <c r="A13" s="8">
        <v>44956</v>
      </c>
      <c r="B13" s="13" t="s">
        <v>1</v>
      </c>
      <c r="C13" s="10">
        <v>10000</v>
      </c>
      <c r="D13" s="46">
        <v>7.5</v>
      </c>
      <c r="E13" s="20">
        <f>C13*D13</f>
        <v>75000</v>
      </c>
      <c r="F13" s="20">
        <f>E13*0.002</f>
        <v>150</v>
      </c>
      <c r="G13" s="20">
        <f>E13*0.000068</f>
        <v>5.0999999999999996</v>
      </c>
      <c r="H13" s="20">
        <f>E13*0.00001</f>
        <v>0.75000000000000011</v>
      </c>
      <c r="I13" s="20">
        <f>(F13+G13+H13)*0.07</f>
        <v>10.909500000000001</v>
      </c>
      <c r="J13" s="20">
        <f>E13+F13+I13+G13+H13</f>
        <v>75166.7595</v>
      </c>
    </row>
    <row r="14" spans="1:14" s="21" customFormat="1" ht="12.75">
      <c r="A14" s="44"/>
      <c r="B14" s="3">
        <f>(D13-D12)/D12</f>
        <v>-0.13793103448275856</v>
      </c>
      <c r="C14" s="22">
        <f>C12+C13</f>
        <v>60000</v>
      </c>
      <c r="D14" s="33">
        <f>E14/C14</f>
        <v>8.5</v>
      </c>
      <c r="E14" s="22">
        <f>E12+E13</f>
        <v>510000</v>
      </c>
      <c r="F14" s="22">
        <f>F12+F13</f>
        <v>1020</v>
      </c>
      <c r="G14" s="22">
        <f>G12+G13</f>
        <v>33.951999999999998</v>
      </c>
      <c r="H14" s="22">
        <f>H12+H13</f>
        <v>5.1000000000000005</v>
      </c>
      <c r="I14" s="22">
        <f>I12+I13</f>
        <v>74.133640000000014</v>
      </c>
      <c r="J14" s="22">
        <f>J12+J13</f>
        <v>511133.18563999998</v>
      </c>
      <c r="K14" s="25"/>
    </row>
    <row r="15" spans="1:14" ht="12"/>
    <row r="16" spans="1:14" s="63" customFormat="1" ht="21.75">
      <c r="A16" s="56">
        <v>44629</v>
      </c>
      <c r="C16" s="10">
        <f>C13</f>
        <v>10000</v>
      </c>
      <c r="D16" s="64">
        <v>0.17380000000000001</v>
      </c>
      <c r="E16" s="60"/>
      <c r="F16" s="32"/>
      <c r="G16" s="60"/>
      <c r="H16" s="11"/>
      <c r="I16" s="61">
        <f>C16*D16</f>
        <v>1738</v>
      </c>
      <c r="J16" s="61">
        <f>I16*0.9</f>
        <v>1564.2</v>
      </c>
      <c r="K16" s="11"/>
      <c r="L16" s="13"/>
      <c r="M16" s="62"/>
      <c r="N16" s="62"/>
    </row>
    <row r="17" spans="1:10">
      <c r="A17" s="56">
        <v>44242</v>
      </c>
      <c r="B17" s="13" t="s">
        <v>1</v>
      </c>
      <c r="C17" s="10">
        <f>C13</f>
        <v>10000</v>
      </c>
      <c r="D17" s="46">
        <f>D12</f>
        <v>8.6999999999999993</v>
      </c>
      <c r="E17" s="20">
        <f>C17*D17</f>
        <v>87000</v>
      </c>
      <c r="F17" s="20">
        <f>E17*0.002</f>
        <v>174</v>
      </c>
      <c r="G17" s="20">
        <f>E17*0.00006</f>
        <v>5.22</v>
      </c>
      <c r="H17" s="20">
        <f>E17*0.00001</f>
        <v>0.87000000000000011</v>
      </c>
      <c r="I17" s="20">
        <f>(F17+G17+H17)*0.07</f>
        <v>12.606300000000001</v>
      </c>
      <c r="J17" s="20">
        <f>E17+F17+I17+G17+H17</f>
        <v>87192.696299999996</v>
      </c>
    </row>
    <row r="18" spans="1:10">
      <c r="A18" s="56">
        <v>44277</v>
      </c>
      <c r="B18" s="13" t="s">
        <v>3</v>
      </c>
      <c r="C18" s="10">
        <f>C17</f>
        <v>10000</v>
      </c>
      <c r="D18" s="34">
        <v>8.9</v>
      </c>
      <c r="E18" s="11">
        <f>C18*D18</f>
        <v>89000</v>
      </c>
      <c r="F18" s="35">
        <f>E18*0.002</f>
        <v>178</v>
      </c>
      <c r="G18" s="34">
        <f>E18*0.000068</f>
        <v>6.0519999999999996</v>
      </c>
      <c r="H18" s="34">
        <f>E18*0.00001</f>
        <v>0.89000000000000012</v>
      </c>
      <c r="I18" s="34">
        <f>(F18+G18+H18)*0.07</f>
        <v>12.94594</v>
      </c>
      <c r="J18" s="34">
        <f>E18-F18-G18-H18-I18</f>
        <v>88802.112059999999</v>
      </c>
    </row>
    <row r="19" spans="1:10">
      <c r="A19" s="56" t="s">
        <v>4</v>
      </c>
      <c r="B19" s="13"/>
      <c r="C19" s="10"/>
      <c r="D19" s="11"/>
      <c r="E19" s="20">
        <f>E18-E17</f>
        <v>2000</v>
      </c>
      <c r="F19" s="20"/>
      <c r="G19" s="20"/>
      <c r="H19" s="20"/>
      <c r="I19" s="20"/>
      <c r="J19" s="20">
        <f>J18-J17</f>
        <v>1609.4157600000035</v>
      </c>
    </row>
    <row r="20" spans="1:10">
      <c r="C20" s="2"/>
      <c r="J20" s="53">
        <f>J16+J19</f>
        <v>3173.6157600000033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EBDA-97A4-44E7-92FF-AB904E0EA610}">
  <sheetPr>
    <tabColor rgb="FFFF0000"/>
  </sheetPr>
  <dimension ref="A1:N16"/>
  <sheetViews>
    <sheetView workbookViewId="0">
      <selection activeCell="A12" sqref="A12:XFD16"/>
    </sheetView>
  </sheetViews>
  <sheetFormatPr defaultColWidth="8.875" defaultRowHeight="14.25"/>
  <cols>
    <col min="1" max="1" width="10.625" style="38" customWidth="1"/>
    <col min="2" max="2" width="7.125" style="21" customWidth="1"/>
    <col min="3" max="3" width="7.625" style="22" bestFit="1" customWidth="1"/>
    <col min="4" max="4" width="7.625" style="21" customWidth="1"/>
    <col min="5" max="5" width="11.25" style="21" customWidth="1"/>
    <col min="6" max="6" width="9" style="21"/>
    <col min="7" max="7" width="6.75" style="21" customWidth="1"/>
    <col min="8" max="8" width="5.75" style="21" customWidth="1"/>
    <col min="9" max="9" width="8.125" style="21" bestFit="1" customWidth="1"/>
    <col min="10" max="10" width="11.25" style="21" customWidth="1"/>
    <col min="11" max="11" width="18" style="21" customWidth="1"/>
    <col min="12" max="12" width="8.875" style="21"/>
    <col min="13" max="13" width="8.875" style="25"/>
    <col min="14" max="16384" width="8.875" style="21"/>
  </cols>
  <sheetData>
    <row r="1" spans="1:14">
      <c r="B1" s="21" t="s">
        <v>35</v>
      </c>
    </row>
    <row r="2" spans="1:14" s="13" customFormat="1">
      <c r="A2" s="39">
        <v>44566</v>
      </c>
      <c r="B2" s="15" t="s">
        <v>1</v>
      </c>
      <c r="C2" s="16">
        <v>10000</v>
      </c>
      <c r="D2" s="17">
        <v>12.5</v>
      </c>
      <c r="E2" s="18">
        <f>C2*D2</f>
        <v>125000</v>
      </c>
      <c r="F2" s="18">
        <f>E2*0.002</f>
        <v>250</v>
      </c>
      <c r="G2" s="18">
        <f>E2*0.00006</f>
        <v>7.5</v>
      </c>
      <c r="H2" s="18">
        <f>E2*0.00001</f>
        <v>1.25</v>
      </c>
      <c r="I2" s="18">
        <f>(F2+G2+H2)*0.07</f>
        <v>18.112500000000001</v>
      </c>
      <c r="J2" s="18">
        <f>E2+F2+I2+G2+H2</f>
        <v>125276.8625</v>
      </c>
      <c r="K2" s="29"/>
      <c r="L2" s="17"/>
      <c r="M2" s="30"/>
    </row>
    <row r="3" spans="1:14">
      <c r="A3" s="14">
        <v>44627</v>
      </c>
      <c r="B3" s="15" t="s">
        <v>1</v>
      </c>
      <c r="C3" s="16">
        <v>10000</v>
      </c>
      <c r="D3" s="41">
        <v>12.1</v>
      </c>
      <c r="E3" s="18">
        <f>C3*D3</f>
        <v>121000</v>
      </c>
      <c r="F3" s="18">
        <f>E3*0.002</f>
        <v>242</v>
      </c>
      <c r="G3" s="18">
        <f>E3*0.000068</f>
        <v>8.2279999999999998</v>
      </c>
      <c r="H3" s="18">
        <f>E3*0.00001</f>
        <v>1.2100000000000002</v>
      </c>
      <c r="I3" s="18">
        <f>(F3+G3+H3)*0.07</f>
        <v>17.600660000000001</v>
      </c>
      <c r="J3" s="18">
        <f>E3+F3+I3+G3+H3</f>
        <v>121269.03866000001</v>
      </c>
      <c r="M3" s="21"/>
    </row>
    <row r="4" spans="1:14">
      <c r="A4" s="42"/>
      <c r="B4" s="74">
        <f>(D3-D2)/D2</f>
        <v>-3.2000000000000028E-2</v>
      </c>
      <c r="C4" s="5">
        <f>SUM(C2:C3)</f>
        <v>20000</v>
      </c>
      <c r="D4" s="36">
        <f>E4/C4</f>
        <v>12.3</v>
      </c>
      <c r="E4" s="48">
        <f t="shared" ref="E4:J4" si="0">SUM(E2:E3)</f>
        <v>246000</v>
      </c>
      <c r="F4" s="5">
        <f t="shared" si="0"/>
        <v>492</v>
      </c>
      <c r="G4" s="5">
        <f t="shared" si="0"/>
        <v>15.728</v>
      </c>
      <c r="H4" s="5">
        <f t="shared" si="0"/>
        <v>2.46</v>
      </c>
      <c r="I4" s="5">
        <f t="shared" si="0"/>
        <v>35.713160000000002</v>
      </c>
      <c r="J4" s="5">
        <f t="shared" si="0"/>
        <v>246545.90116000001</v>
      </c>
      <c r="K4" s="25"/>
      <c r="M4" s="21"/>
    </row>
    <row r="5" spans="1:14">
      <c r="A5" s="14">
        <v>44698</v>
      </c>
      <c r="B5" s="15" t="s">
        <v>1</v>
      </c>
      <c r="C5" s="16">
        <v>10000</v>
      </c>
      <c r="D5" s="41">
        <v>10.5</v>
      </c>
      <c r="E5" s="18">
        <f>C5*D5</f>
        <v>105000</v>
      </c>
      <c r="F5" s="18">
        <f>E5*0.002</f>
        <v>210</v>
      </c>
      <c r="G5" s="18">
        <f>E5*0.000068</f>
        <v>7.14</v>
      </c>
      <c r="H5" s="18">
        <f>E5*0.00001</f>
        <v>1.05</v>
      </c>
      <c r="I5" s="18">
        <f>(F5+G5+H5)*0.07</f>
        <v>15.273300000000001</v>
      </c>
      <c r="J5" s="18">
        <f>E5+F5+I5+G5+H5</f>
        <v>105233.4633</v>
      </c>
      <c r="M5" s="21"/>
    </row>
    <row r="6" spans="1:14">
      <c r="A6" s="42"/>
      <c r="B6" s="74">
        <f>(D5-D4)/D4</f>
        <v>-0.14634146341463419</v>
      </c>
      <c r="C6" s="5">
        <f>SUM(C4:C5)</f>
        <v>30000</v>
      </c>
      <c r="D6" s="36">
        <f>E6/C6</f>
        <v>11.7</v>
      </c>
      <c r="E6" s="48">
        <f t="shared" ref="E6:J6" si="1">SUM(E4:E5)</f>
        <v>351000</v>
      </c>
      <c r="F6" s="5">
        <f t="shared" si="1"/>
        <v>702</v>
      </c>
      <c r="G6" s="5">
        <f t="shared" si="1"/>
        <v>22.867999999999999</v>
      </c>
      <c r="H6" s="5">
        <f t="shared" si="1"/>
        <v>3.51</v>
      </c>
      <c r="I6" s="5">
        <f t="shared" si="1"/>
        <v>50.986460000000001</v>
      </c>
      <c r="J6" s="5">
        <f t="shared" si="1"/>
        <v>351779.36446000001</v>
      </c>
      <c r="K6" s="25"/>
      <c r="M6" s="21"/>
    </row>
    <row r="7" spans="1:14">
      <c r="A7" s="8">
        <v>44698</v>
      </c>
      <c r="B7" s="13" t="s">
        <v>1</v>
      </c>
      <c r="C7" s="10">
        <v>10000</v>
      </c>
      <c r="D7" s="46">
        <v>10.5</v>
      </c>
      <c r="E7" s="20">
        <f>C7*D7</f>
        <v>105000</v>
      </c>
      <c r="F7" s="20">
        <f>E7*0.002</f>
        <v>210</v>
      </c>
      <c r="G7" s="20">
        <f>E7*0.000068</f>
        <v>7.14</v>
      </c>
      <c r="H7" s="20">
        <f>E7*0.00001</f>
        <v>1.05</v>
      </c>
      <c r="I7" s="20">
        <f>(F7+G7+H7)*0.07</f>
        <v>15.273300000000001</v>
      </c>
      <c r="J7" s="20">
        <f>E7+F7+I7+G7+H7</f>
        <v>105233.4633</v>
      </c>
      <c r="M7" s="21"/>
    </row>
    <row r="8" spans="1:14">
      <c r="A8" s="44"/>
      <c r="B8" s="3">
        <f>(D7-D6)/D6</f>
        <v>-0.10256410256410251</v>
      </c>
      <c r="C8" s="22">
        <f>SUM(C6:C7)</f>
        <v>40000</v>
      </c>
      <c r="D8" s="33">
        <f>E8/C8</f>
        <v>11.4</v>
      </c>
      <c r="E8" s="95">
        <f t="shared" ref="E8:J8" si="2">SUM(E6:E7)</f>
        <v>456000</v>
      </c>
      <c r="F8" s="22">
        <f t="shared" si="2"/>
        <v>912</v>
      </c>
      <c r="G8" s="22">
        <f t="shared" si="2"/>
        <v>30.007999999999999</v>
      </c>
      <c r="H8" s="22">
        <f t="shared" si="2"/>
        <v>4.5599999999999996</v>
      </c>
      <c r="I8" s="22">
        <f t="shared" si="2"/>
        <v>66.25976</v>
      </c>
      <c r="J8" s="22">
        <f t="shared" si="2"/>
        <v>457012.82776000001</v>
      </c>
      <c r="K8" s="25"/>
      <c r="M8" s="21"/>
    </row>
    <row r="9" spans="1:14" s="1" customFormat="1">
      <c r="A9" s="56">
        <v>44628</v>
      </c>
      <c r="B9" s="13" t="s">
        <v>3</v>
      </c>
      <c r="C9" s="10">
        <f>C8</f>
        <v>40000</v>
      </c>
      <c r="D9" s="34">
        <v>11.6</v>
      </c>
      <c r="E9" s="11">
        <f>C9*D9</f>
        <v>464000</v>
      </c>
      <c r="F9" s="35">
        <f>E9*0.002</f>
        <v>928</v>
      </c>
      <c r="G9" s="34">
        <f>E9*0.000068</f>
        <v>31.552</v>
      </c>
      <c r="H9" s="34">
        <f>E9*0.00001</f>
        <v>4.6400000000000006</v>
      </c>
      <c r="I9" s="34">
        <f>(F9+G9+H9)*0.07</f>
        <v>67.493440000000007</v>
      </c>
      <c r="J9" s="34">
        <f>E9-F9-G9-H9-I9</f>
        <v>462968.31455999997</v>
      </c>
    </row>
    <row r="10" spans="1:14" s="1" customFormat="1">
      <c r="A10" s="56" t="s">
        <v>4</v>
      </c>
      <c r="B10" s="13"/>
      <c r="C10" s="10"/>
      <c r="D10" s="11"/>
      <c r="E10" s="20">
        <f>E9-E8</f>
        <v>8000</v>
      </c>
      <c r="F10" s="20"/>
      <c r="G10" s="20"/>
      <c r="H10" s="20"/>
      <c r="I10" s="20"/>
      <c r="J10" s="20">
        <f>J9-J8</f>
        <v>5955.4867999999551</v>
      </c>
    </row>
    <row r="11" spans="1:14">
      <c r="A11" s="56"/>
      <c r="B11" s="13"/>
      <c r="C11" s="10"/>
      <c r="D11" s="34"/>
      <c r="E11" s="20"/>
      <c r="F11" s="20"/>
      <c r="G11" s="20"/>
      <c r="H11" s="20"/>
      <c r="I11" s="20"/>
      <c r="J11" s="20"/>
      <c r="M11" s="21"/>
    </row>
    <row r="12" spans="1:14" s="63" customFormat="1" ht="21.75">
      <c r="A12" s="56">
        <v>44629</v>
      </c>
      <c r="C12" s="10">
        <f>C5</f>
        <v>10000</v>
      </c>
      <c r="D12" s="64">
        <v>0.38350000000000001</v>
      </c>
      <c r="E12" s="60"/>
      <c r="F12" s="32"/>
      <c r="G12" s="60"/>
      <c r="H12" s="11"/>
      <c r="I12" s="61">
        <f>C12*D12</f>
        <v>3835</v>
      </c>
      <c r="J12" s="61">
        <f>I12*0.9</f>
        <v>3451.5</v>
      </c>
      <c r="K12" s="11"/>
      <c r="L12" s="13"/>
      <c r="M12" s="62"/>
      <c r="N12" s="62"/>
    </row>
    <row r="13" spans="1:14" s="1" customFormat="1">
      <c r="A13" s="56">
        <v>44242</v>
      </c>
      <c r="B13" s="13" t="s">
        <v>1</v>
      </c>
      <c r="C13" s="10">
        <f>C12</f>
        <v>10000</v>
      </c>
      <c r="D13" s="46">
        <f>D5</f>
        <v>10.5</v>
      </c>
      <c r="E13" s="20">
        <f>C13*D13</f>
        <v>105000</v>
      </c>
      <c r="F13" s="20">
        <f>E13*0.002</f>
        <v>210</v>
      </c>
      <c r="G13" s="20">
        <f>E13*0.00006</f>
        <v>6.3</v>
      </c>
      <c r="H13" s="20">
        <f>E13*0.00001</f>
        <v>1.05</v>
      </c>
      <c r="I13" s="20">
        <f>(F13+G13+H13)*0.07</f>
        <v>15.214500000000003</v>
      </c>
      <c r="J13" s="20">
        <f>E13+F13+I13+G13+H13</f>
        <v>105232.56450000001</v>
      </c>
    </row>
    <row r="14" spans="1:14" s="1" customFormat="1">
      <c r="A14" s="56">
        <v>44277</v>
      </c>
      <c r="B14" s="13" t="s">
        <v>3</v>
      </c>
      <c r="C14" s="10">
        <f>C13</f>
        <v>10000</v>
      </c>
      <c r="D14" s="34">
        <v>11.3</v>
      </c>
      <c r="E14" s="11">
        <f>C14*D14</f>
        <v>113000</v>
      </c>
      <c r="F14" s="35">
        <f>E14*0.002</f>
        <v>226</v>
      </c>
      <c r="G14" s="34">
        <f>E14*0.000068</f>
        <v>7.6840000000000002</v>
      </c>
      <c r="H14" s="34">
        <f>E14*0.00001</f>
        <v>1.1300000000000001</v>
      </c>
      <c r="I14" s="34">
        <f>(F14+G14+H14)*0.07</f>
        <v>16.436980000000002</v>
      </c>
      <c r="J14" s="34">
        <f>E14-F14-G14-H14-I14</f>
        <v>112748.74902</v>
      </c>
    </row>
    <row r="15" spans="1:14" s="1" customFormat="1">
      <c r="A15" s="56" t="s">
        <v>4</v>
      </c>
      <c r="B15" s="13"/>
      <c r="C15" s="10"/>
      <c r="D15" s="11"/>
      <c r="E15" s="20">
        <f>E14-E13</f>
        <v>8000</v>
      </c>
      <c r="F15" s="20"/>
      <c r="G15" s="20"/>
      <c r="H15" s="20"/>
      <c r="I15" s="20"/>
      <c r="J15" s="20">
        <f>J14-J13</f>
        <v>7516.1845199999952</v>
      </c>
    </row>
    <row r="16" spans="1:14" s="1" customFormat="1">
      <c r="A16" s="50"/>
      <c r="C16" s="2"/>
      <c r="D16" s="47"/>
      <c r="J16" s="53">
        <f>J12+J15</f>
        <v>10967.684519999995</v>
      </c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Santi Soontarinka</cp:lastModifiedBy>
  <cp:revision/>
  <dcterms:created xsi:type="dcterms:W3CDTF">2020-07-14T06:54:52Z</dcterms:created>
  <dcterms:modified xsi:type="dcterms:W3CDTF">2023-02-08T09:22:46Z</dcterms:modified>
  <cp:category/>
  <cp:contentStatus/>
</cp:coreProperties>
</file>