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29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444" documentId="8_{9A02EB98-7EB2-4F6F-BBDA-0A28C0527E53}" xr6:coauthVersionLast="47" xr6:coauthVersionMax="47" xr10:uidLastSave="{14430126-7C49-410D-B046-42168B99BBD9}"/>
  <bookViews>
    <workbookView xWindow="-120" yWindow="-120" windowWidth="15600" windowHeight="11760" tabRatio="461" firstSheet="14" activeTab="26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JMART" sheetId="204" r:id="rId14"/>
    <sheet name="JMT" sheetId="205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CCC" sheetId="177" r:id="rId21"/>
    <sheet name="SENA" sheetId="183" r:id="rId22"/>
    <sheet name="SINGER" sheetId="203" r:id="rId23"/>
    <sheet name="SYNEX" sheetId="199" r:id="rId24"/>
    <sheet name="TFFIF" sheetId="110" r:id="rId25"/>
    <sheet name="TMT" sheetId="145" r:id="rId26"/>
    <sheet name="WHAIR" sheetId="157" r:id="rId27"/>
    <sheet name="WHART" sheetId="171" r:id="rId2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57" l="1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 s="1"/>
  <c r="C10" i="194"/>
  <c r="B10" i="194"/>
  <c r="E9" i="194"/>
  <c r="C12" i="203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27" i="197"/>
  <c r="E27" i="197" s="1"/>
  <c r="C31" i="197"/>
  <c r="E31" i="197" s="1"/>
  <c r="E20" i="199"/>
  <c r="E21" i="199" s="1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34" i="197"/>
  <c r="C35" i="197"/>
  <c r="E35" i="197" s="1"/>
  <c r="C70" i="197"/>
  <c r="E69" i="197"/>
  <c r="C67" i="197"/>
  <c r="E66" i="197"/>
  <c r="C64" i="197"/>
  <c r="E63" i="197"/>
  <c r="C61" i="197"/>
  <c r="E60" i="197"/>
  <c r="C58" i="197"/>
  <c r="E57" i="197"/>
  <c r="C55" i="197"/>
  <c r="E54" i="197"/>
  <c r="C52" i="197"/>
  <c r="E51" i="197"/>
  <c r="D49" i="197"/>
  <c r="C49" i="197"/>
  <c r="E49" i="197" s="1"/>
  <c r="E48" i="197"/>
  <c r="B47" i="197"/>
  <c r="C46" i="197"/>
  <c r="A46" i="197"/>
  <c r="A49" i="197" s="1"/>
  <c r="A52" i="197" s="1"/>
  <c r="A55" i="197" s="1"/>
  <c r="A58" i="197" s="1"/>
  <c r="A61" i="197" s="1"/>
  <c r="A64" i="197" s="1"/>
  <c r="A67" i="197" s="1"/>
  <c r="A70" i="197" s="1"/>
  <c r="E45" i="197"/>
  <c r="B43" i="197"/>
  <c r="C42" i="197"/>
  <c r="E42" i="197" s="1"/>
  <c r="E41" i="197"/>
  <c r="C39" i="197"/>
  <c r="E39" i="197" s="1"/>
  <c r="E38" i="197"/>
  <c r="E30" i="197"/>
  <c r="E26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H9" i="196"/>
  <c r="C9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 s="1"/>
  <c r="D12" i="157"/>
  <c r="B14" i="157" s="1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I10" i="161"/>
  <c r="F12" i="161"/>
  <c r="E12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14" i="157" l="1"/>
  <c r="D14" i="157" s="1"/>
  <c r="H13" i="157"/>
  <c r="H14" i="157" s="1"/>
  <c r="G13" i="157"/>
  <c r="G14" i="157" s="1"/>
  <c r="F13" i="157"/>
  <c r="I16" i="157"/>
  <c r="J16" i="157" s="1"/>
  <c r="E6" i="205"/>
  <c r="D6" i="205" s="1"/>
  <c r="H5" i="205"/>
  <c r="H6" i="205" s="1"/>
  <c r="G5" i="205"/>
  <c r="G6" i="205" s="1"/>
  <c r="F5" i="205"/>
  <c r="E6" i="196"/>
  <c r="D6" i="196" s="1"/>
  <c r="H5" i="196"/>
  <c r="H6" i="196" s="1"/>
  <c r="G5" i="196"/>
  <c r="G6" i="196" s="1"/>
  <c r="F5" i="196"/>
  <c r="E4" i="205"/>
  <c r="D4" i="205" s="1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 s="1"/>
  <c r="H9" i="194"/>
  <c r="H10" i="194" s="1"/>
  <c r="G9" i="194"/>
  <c r="G10" i="194" s="1"/>
  <c r="F9" i="194"/>
  <c r="E12" i="203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8" i="197"/>
  <c r="H27" i="197"/>
  <c r="G27" i="197"/>
  <c r="F27" i="197"/>
  <c r="E32" i="197"/>
  <c r="H31" i="197"/>
  <c r="G31" i="197"/>
  <c r="F31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34" i="197"/>
  <c r="G34" i="197"/>
  <c r="F34" i="197"/>
  <c r="E36" i="197"/>
  <c r="H35" i="197"/>
  <c r="G35" i="197"/>
  <c r="F3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26" i="197"/>
  <c r="G26" i="197"/>
  <c r="F26" i="197"/>
  <c r="H30" i="197"/>
  <c r="G30" i="197"/>
  <c r="F30" i="197"/>
  <c r="H38" i="197"/>
  <c r="G38" i="197"/>
  <c r="F38" i="197"/>
  <c r="E40" i="197"/>
  <c r="H39" i="197"/>
  <c r="G39" i="197"/>
  <c r="F39" i="197"/>
  <c r="H41" i="197"/>
  <c r="G41" i="197"/>
  <c r="F41" i="197"/>
  <c r="E43" i="197"/>
  <c r="H42" i="197"/>
  <c r="G42" i="197"/>
  <c r="F42" i="197"/>
  <c r="H45" i="197"/>
  <c r="G45" i="197"/>
  <c r="F45" i="197"/>
  <c r="K46" i="197"/>
  <c r="K49" i="197" s="1"/>
  <c r="K52" i="197" s="1"/>
  <c r="K55" i="197" s="1"/>
  <c r="K58" i="197" s="1"/>
  <c r="K61" i="197" s="1"/>
  <c r="K64" i="197" s="1"/>
  <c r="K67" i="197" s="1"/>
  <c r="K70" i="197" s="1"/>
  <c r="E46" i="197"/>
  <c r="H48" i="197"/>
  <c r="G48" i="197"/>
  <c r="F48" i="197"/>
  <c r="E50" i="197"/>
  <c r="H49" i="197"/>
  <c r="G49" i="197"/>
  <c r="F49" i="197"/>
  <c r="D64" i="197"/>
  <c r="B65" i="197" s="1"/>
  <c r="D61" i="197"/>
  <c r="B62" i="197" s="1"/>
  <c r="D58" i="197"/>
  <c r="B59" i="197" s="1"/>
  <c r="D55" i="197"/>
  <c r="D52" i="197"/>
  <c r="B50" i="197"/>
  <c r="H51" i="197"/>
  <c r="G51" i="197"/>
  <c r="F51" i="197"/>
  <c r="E52" i="197"/>
  <c r="H54" i="197"/>
  <c r="G54" i="197"/>
  <c r="F54" i="197"/>
  <c r="E55" i="197"/>
  <c r="H57" i="197"/>
  <c r="G57" i="197"/>
  <c r="F57" i="197"/>
  <c r="E58" i="197"/>
  <c r="H60" i="197"/>
  <c r="G60" i="197"/>
  <c r="F60" i="197"/>
  <c r="E61" i="197"/>
  <c r="H63" i="197"/>
  <c r="G63" i="197"/>
  <c r="F63" i="197"/>
  <c r="E64" i="197"/>
  <c r="H66" i="197"/>
  <c r="G66" i="197"/>
  <c r="F66" i="197"/>
  <c r="H69" i="197"/>
  <c r="G69" i="197"/>
  <c r="F69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14" i="157" l="1"/>
  <c r="I13" i="157"/>
  <c r="I14" i="157" s="1"/>
  <c r="J13" i="157"/>
  <c r="J14" i="157" s="1"/>
  <c r="C18" i="157"/>
  <c r="E18" i="157" s="1"/>
  <c r="E17" i="157"/>
  <c r="F6" i="205"/>
  <c r="I5" i="205"/>
  <c r="I6" i="205" s="1"/>
  <c r="J5" i="205"/>
  <c r="J6" i="205" s="1"/>
  <c r="F6" i="196"/>
  <c r="I5" i="196"/>
  <c r="I6" i="196" s="1"/>
  <c r="J5" i="196"/>
  <c r="J6" i="196" s="1"/>
  <c r="I3" i="205"/>
  <c r="J3" i="205"/>
  <c r="F4" i="205"/>
  <c r="I2" i="205"/>
  <c r="I4" i="205" s="1"/>
  <c r="J2" i="205"/>
  <c r="J4" i="205" s="1"/>
  <c r="G4" i="205"/>
  <c r="H4" i="205"/>
  <c r="I20" i="197"/>
  <c r="J20" i="197"/>
  <c r="I19" i="197"/>
  <c r="J19" i="197"/>
  <c r="I16" i="197"/>
  <c r="J16" i="197"/>
  <c r="J17" i="197" s="1"/>
  <c r="F10" i="194"/>
  <c r="I9" i="194"/>
  <c r="I10" i="194" s="1"/>
  <c r="J9" i="194"/>
  <c r="J10" i="194" s="1"/>
  <c r="F12" i="203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27" i="197"/>
  <c r="J27" i="197"/>
  <c r="I31" i="197"/>
  <c r="J31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34" i="197"/>
  <c r="J34" i="197"/>
  <c r="I35" i="197"/>
  <c r="J35" i="197"/>
  <c r="I69" i="197"/>
  <c r="J69" i="197"/>
  <c r="I66" i="197"/>
  <c r="J66" i="197"/>
  <c r="E65" i="197"/>
  <c r="H64" i="197"/>
  <c r="G64" i="197"/>
  <c r="F64" i="197"/>
  <c r="I63" i="197"/>
  <c r="J63" i="197"/>
  <c r="E62" i="197"/>
  <c r="H61" i="197"/>
  <c r="G61" i="197"/>
  <c r="F61" i="197"/>
  <c r="I60" i="197"/>
  <c r="J60" i="197"/>
  <c r="E59" i="197"/>
  <c r="H58" i="197"/>
  <c r="G58" i="197"/>
  <c r="F58" i="197"/>
  <c r="I57" i="197"/>
  <c r="J57" i="197"/>
  <c r="E56" i="197"/>
  <c r="H55" i="197"/>
  <c r="G55" i="197"/>
  <c r="F55" i="197"/>
  <c r="I54" i="197"/>
  <c r="J54" i="197"/>
  <c r="E53" i="197"/>
  <c r="H52" i="197"/>
  <c r="G52" i="197"/>
  <c r="F52" i="197"/>
  <c r="I51" i="197"/>
  <c r="J51" i="197"/>
  <c r="D67" i="197"/>
  <c r="B53" i="197"/>
  <c r="D70" i="197"/>
  <c r="B56" i="197"/>
  <c r="I49" i="197"/>
  <c r="J49" i="197"/>
  <c r="I48" i="197"/>
  <c r="J48" i="197"/>
  <c r="E47" i="197"/>
  <c r="H46" i="197"/>
  <c r="G46" i="197"/>
  <c r="F46" i="197"/>
  <c r="I45" i="197"/>
  <c r="J45" i="197"/>
  <c r="I42" i="197"/>
  <c r="J42" i="197"/>
  <c r="I41" i="197"/>
  <c r="J41" i="197"/>
  <c r="I39" i="197"/>
  <c r="J39" i="197"/>
  <c r="I38" i="197"/>
  <c r="J38" i="197"/>
  <c r="I30" i="197"/>
  <c r="J30" i="197"/>
  <c r="I26" i="197"/>
  <c r="J2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11" i="196"/>
  <c r="E11" i="196" s="1"/>
  <c r="E10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H17" i="157" l="1"/>
  <c r="G17" i="157"/>
  <c r="F17" i="157"/>
  <c r="E19" i="157"/>
  <c r="H18" i="157"/>
  <c r="G18" i="157"/>
  <c r="F18" i="157"/>
  <c r="J21" i="197"/>
  <c r="J4" i="204"/>
  <c r="J5" i="204" s="1"/>
  <c r="J13" i="197"/>
  <c r="D6" i="195"/>
  <c r="B8" i="195" s="1"/>
  <c r="E8" i="195"/>
  <c r="J25" i="42"/>
  <c r="H7" i="202"/>
  <c r="G7" i="202"/>
  <c r="F7" i="202"/>
  <c r="E9" i="202"/>
  <c r="H8" i="202"/>
  <c r="G8" i="202"/>
  <c r="F8" i="202"/>
  <c r="J14" i="202"/>
  <c r="J18" i="199"/>
  <c r="J28" i="197"/>
  <c r="J3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36" i="197"/>
  <c r="E8" i="197"/>
  <c r="D6" i="197"/>
  <c r="B8" i="197" s="1"/>
  <c r="J40" i="197"/>
  <c r="J43" i="197"/>
  <c r="I46" i="197"/>
  <c r="J46" i="197"/>
  <c r="J47" i="197" s="1"/>
  <c r="K47" i="197" s="1"/>
  <c r="J50" i="197"/>
  <c r="B71" i="197"/>
  <c r="E70" i="197"/>
  <c r="B68" i="197"/>
  <c r="E67" i="197"/>
  <c r="I52" i="197"/>
  <c r="J52" i="197"/>
  <c r="J53" i="197" s="1"/>
  <c r="I55" i="197"/>
  <c r="J55" i="197"/>
  <c r="J56" i="197" s="1"/>
  <c r="I58" i="197"/>
  <c r="J58" i="197"/>
  <c r="J59" i="197" s="1"/>
  <c r="I61" i="197"/>
  <c r="J61" i="197"/>
  <c r="J62" i="197" s="1"/>
  <c r="I64" i="197"/>
  <c r="J64" i="197"/>
  <c r="J65" i="197" s="1"/>
  <c r="J33" i="42"/>
  <c r="D13" i="195"/>
  <c r="B6" i="195"/>
  <c r="J15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 s="1"/>
  <c r="J26" i="46" s="1"/>
  <c r="I22" i="46"/>
  <c r="I24" i="46" s="1"/>
  <c r="I26" i="46" s="1"/>
  <c r="I18" i="157" l="1"/>
  <c r="J18" i="157"/>
  <c r="I17" i="157"/>
  <c r="J17" i="157"/>
  <c r="D8" i="195"/>
  <c r="B10" i="195" s="1"/>
  <c r="E10" i="195"/>
  <c r="D10" i="195" s="1"/>
  <c r="I8" i="202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8" i="197"/>
  <c r="H67" i="197"/>
  <c r="G67" i="197"/>
  <c r="F67" i="197"/>
  <c r="E71" i="197"/>
  <c r="H70" i="197"/>
  <c r="G70" i="197"/>
  <c r="F70" i="197"/>
  <c r="K50" i="197"/>
  <c r="K53" i="197" s="1"/>
  <c r="K56" i="197" s="1"/>
  <c r="K59" i="197" s="1"/>
  <c r="K62" i="197" s="1"/>
  <c r="K65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11" i="196"/>
  <c r="J11" i="196"/>
  <c r="I10" i="196"/>
  <c r="J10" i="196"/>
  <c r="I14" i="195"/>
  <c r="J14" i="195"/>
  <c r="J19" i="157" l="1"/>
  <c r="J20" i="157" s="1"/>
  <c r="J9" i="202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70" i="197"/>
  <c r="J70" i="197"/>
  <c r="J71" i="197" s="1"/>
  <c r="I67" i="197"/>
  <c r="J67" i="197"/>
  <c r="J68" i="197" s="1"/>
  <c r="K68" i="197" s="1"/>
  <c r="K71" i="197" s="1"/>
  <c r="H13" i="195"/>
  <c r="G13" i="195"/>
  <c r="F13" i="195"/>
  <c r="E15" i="195"/>
  <c r="D20" i="161"/>
  <c r="E22" i="161"/>
  <c r="J12" i="196"/>
  <c r="J13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<sst xmlns="http://schemas.openxmlformats.org/spreadsheetml/2006/main" count="444" uniqueCount="37">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</sst>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1"/>
  <sheetViews>
    <sheetView topLeftCell="A21" workbookViewId="0">
      <selection activeCell="A22" sqref="A22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 ht="14.25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 ht="14.25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 ht="14.25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" customFormat="1">
      <c r="A24" s="50"/>
      <c r="B24" s="3"/>
      <c r="C24" s="2"/>
      <c r="D24" s="47"/>
      <c r="E24" s="2"/>
      <c r="F24" s="2"/>
      <c r="G24" s="2"/>
      <c r="H24" s="2"/>
      <c r="I24" s="2"/>
      <c r="J24" s="2"/>
      <c r="K24" s="57"/>
      <c r="L24" s="58"/>
      <c r="M24" s="58"/>
      <c r="N24" s="59"/>
      <c r="O24" s="59"/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44543</v>
      </c>
      <c r="B26" s="15" t="s">
        <v>1</v>
      </c>
      <c r="C26" s="16">
        <v>2500</v>
      </c>
      <c r="D26" s="41">
        <v>29.5</v>
      </c>
      <c r="E26" s="18">
        <f>C26*D26</f>
        <v>73750</v>
      </c>
      <c r="F26" s="18">
        <f>E26*0.002</f>
        <v>147.5</v>
      </c>
      <c r="G26" s="18">
        <f>E26*0.00006</f>
        <v>4.4249999999999998</v>
      </c>
      <c r="H26" s="18">
        <f>E26*0.00001</f>
        <v>0.73750000000000004</v>
      </c>
      <c r="I26" s="18">
        <f>(F26+G26+H26)*0.07</f>
        <v>10.686375000000002</v>
      </c>
      <c r="J26" s="18">
        <f>E26+F26+I26+G26+H26</f>
        <v>73913.348875000011</v>
      </c>
      <c r="K26" s="57"/>
      <c r="L26" s="58"/>
      <c r="M26" s="58"/>
      <c r="N26" s="58"/>
      <c r="O26" s="58"/>
    </row>
    <row r="27" spans="1:15" s="1" customFormat="1">
      <c r="A27" s="49">
        <v>44923</v>
      </c>
      <c r="B27" s="15" t="s">
        <v>3</v>
      </c>
      <c r="C27" s="16">
        <f>C26</f>
        <v>2500</v>
      </c>
      <c r="D27" s="26">
        <v>20.3</v>
      </c>
      <c r="E27" s="17">
        <f>C27*D27</f>
        <v>50750</v>
      </c>
      <c r="F27" s="27">
        <f>E27*0.002</f>
        <v>101.5</v>
      </c>
      <c r="G27" s="26">
        <f>E27*0.000068</f>
        <v>3.4510000000000001</v>
      </c>
      <c r="H27" s="26">
        <f>E27*0.00001</f>
        <v>0.50750000000000006</v>
      </c>
      <c r="I27" s="26">
        <f>(F27+G27+H27)*0.07</f>
        <v>7.3820949999999996</v>
      </c>
      <c r="J27" s="26">
        <f>E27-F27-G27-H27-I27</f>
        <v>50637.159404999999</v>
      </c>
    </row>
    <row r="28" spans="1:15" s="1" customFormat="1">
      <c r="A28" s="49" t="s">
        <v>4</v>
      </c>
      <c r="B28" s="15"/>
      <c r="C28" s="16"/>
      <c r="D28" s="17"/>
      <c r="E28" s="18">
        <f>E27-E26</f>
        <v>-23000</v>
      </c>
      <c r="F28" s="18"/>
      <c r="G28" s="18"/>
      <c r="H28" s="18"/>
      <c r="I28" s="18"/>
      <c r="J28" s="18">
        <f>J27-J26</f>
        <v>-23276.189470000012</v>
      </c>
    </row>
    <row r="29" spans="1:15" s="1" customFormat="1" ht="14.25">
      <c r="A29" s="54"/>
      <c r="B29" s="74"/>
      <c r="C29" s="51"/>
      <c r="D29" s="52"/>
      <c r="E29" s="51"/>
      <c r="F29" s="51"/>
      <c r="G29" s="51"/>
      <c r="H29" s="51"/>
      <c r="I29" s="51"/>
      <c r="J29" s="51"/>
      <c r="K29" s="57"/>
      <c r="L29" s="58"/>
      <c r="M29" s="58"/>
      <c r="N29" s="59"/>
      <c r="O29" s="59"/>
    </row>
    <row r="30" spans="1:15" s="19" customFormat="1" ht="15">
      <c r="A30" s="49">
        <v>44550</v>
      </c>
      <c r="B30" s="15" t="s">
        <v>1</v>
      </c>
      <c r="C30" s="16">
        <v>2500</v>
      </c>
      <c r="D30" s="41">
        <v>29.5</v>
      </c>
      <c r="E30" s="18">
        <f>C30*D30</f>
        <v>73750</v>
      </c>
      <c r="F30" s="18">
        <f>E30*0.002</f>
        <v>147.5</v>
      </c>
      <c r="G30" s="18">
        <f>E30*0.00006</f>
        <v>4.4249999999999998</v>
      </c>
      <c r="H30" s="18">
        <f>E30*0.00001</f>
        <v>0.73750000000000004</v>
      </c>
      <c r="I30" s="18">
        <f>(F30+G30+H30)*0.07</f>
        <v>10.686375000000002</v>
      </c>
      <c r="J30" s="18">
        <f>E30+F30+I30+G30+H30</f>
        <v>73913.348875000011</v>
      </c>
      <c r="K30" s="57"/>
      <c r="L30" s="58"/>
      <c r="M30" s="58"/>
      <c r="N30" s="58"/>
      <c r="O30" s="58"/>
    </row>
    <row r="31" spans="1:15" s="1" customFormat="1">
      <c r="A31" s="49">
        <v>44922</v>
      </c>
      <c r="B31" s="15" t="s">
        <v>3</v>
      </c>
      <c r="C31" s="16">
        <f>C30</f>
        <v>2500</v>
      </c>
      <c r="D31" s="26">
        <v>19.7</v>
      </c>
      <c r="E31" s="17">
        <f>C31*D31</f>
        <v>49250</v>
      </c>
      <c r="F31" s="27">
        <f>E31*0.002</f>
        <v>98.5</v>
      </c>
      <c r="G31" s="26">
        <f>E31*0.000068</f>
        <v>3.3489999999999998</v>
      </c>
      <c r="H31" s="26">
        <f>E31*0.00001</f>
        <v>0.49250000000000005</v>
      </c>
      <c r="I31" s="26">
        <f>(F31+G31+H31)*0.07</f>
        <v>7.1639050000000015</v>
      </c>
      <c r="J31" s="26">
        <f>E31-F31-G31-H31-I31</f>
        <v>49140.494594999996</v>
      </c>
    </row>
    <row r="32" spans="1:15" s="1" customFormat="1">
      <c r="A32" s="49" t="s">
        <v>4</v>
      </c>
      <c r="B32" s="15"/>
      <c r="C32" s="16"/>
      <c r="D32" s="17"/>
      <c r="E32" s="18">
        <f>E31-E30</f>
        <v>-24500</v>
      </c>
      <c r="F32" s="18"/>
      <c r="G32" s="18"/>
      <c r="H32" s="18"/>
      <c r="I32" s="18"/>
      <c r="J32" s="18">
        <f>J31-J30</f>
        <v>-24772.854280000014</v>
      </c>
    </row>
    <row r="33" spans="1:15" s="1" customFormat="1">
      <c r="A33" s="50"/>
      <c r="B33" s="3"/>
      <c r="C33" s="2"/>
      <c r="D33" s="47"/>
      <c r="E33" s="2"/>
      <c r="F33" s="2"/>
      <c r="G33" s="2"/>
      <c r="H33" s="2"/>
      <c r="I33" s="2"/>
      <c r="J33" s="2"/>
      <c r="K33" s="57"/>
      <c r="L33" s="58"/>
      <c r="M33" s="58"/>
      <c r="N33" s="59"/>
      <c r="O33" s="59"/>
    </row>
    <row r="34" spans="1:15" s="19" customFormat="1" ht="15">
      <c r="A34" s="49">
        <v>44624</v>
      </c>
      <c r="B34" s="15" t="s">
        <v>1</v>
      </c>
      <c r="C34" s="16">
        <v>2500</v>
      </c>
      <c r="D34" s="41">
        <v>25.75</v>
      </c>
      <c r="E34" s="18">
        <f>C34*D34</f>
        <v>64375</v>
      </c>
      <c r="F34" s="18">
        <f>E34*0.002</f>
        <v>128.75</v>
      </c>
      <c r="G34" s="18">
        <f>E34*0.00006</f>
        <v>3.8625000000000003</v>
      </c>
      <c r="H34" s="18">
        <f>E34*0.00001</f>
        <v>0.64375000000000004</v>
      </c>
      <c r="I34" s="18">
        <f>(F34+G34+H34)*0.07</f>
        <v>9.3279375000000027</v>
      </c>
      <c r="J34" s="18">
        <f>E34+F34+I34+G34+H34</f>
        <v>64517.584187500004</v>
      </c>
      <c r="K34" s="57"/>
      <c r="L34" s="58"/>
      <c r="M34" s="58"/>
      <c r="N34" s="58"/>
      <c r="O34" s="58"/>
    </row>
    <row r="35" spans="1:15" s="1" customFormat="1">
      <c r="A35" s="49">
        <v>44866</v>
      </c>
      <c r="B35" s="15" t="s">
        <v>3</v>
      </c>
      <c r="C35" s="16">
        <f>C34</f>
        <v>2500</v>
      </c>
      <c r="D35" s="26">
        <v>19.2</v>
      </c>
      <c r="E35" s="17">
        <f>C35*D35</f>
        <v>48000</v>
      </c>
      <c r="F35" s="27">
        <f>E35*0.002</f>
        <v>96</v>
      </c>
      <c r="G35" s="26">
        <f>E35*0.000068</f>
        <v>3.2639999999999998</v>
      </c>
      <c r="H35" s="26">
        <f>E35*0.00001</f>
        <v>0.48000000000000004</v>
      </c>
      <c r="I35" s="26">
        <f>(F35+G35+H35)*0.07</f>
        <v>6.9820800000000007</v>
      </c>
      <c r="J35" s="26">
        <f>E35-F35-G35-H35-I35</f>
        <v>47893.273919999992</v>
      </c>
    </row>
    <row r="36" spans="1:15" s="1" customFormat="1">
      <c r="A36" s="49" t="s">
        <v>4</v>
      </c>
      <c r="B36" s="15"/>
      <c r="C36" s="16"/>
      <c r="D36" s="17"/>
      <c r="E36" s="18">
        <f>E35-E34</f>
        <v>-16375</v>
      </c>
      <c r="F36" s="18"/>
      <c r="G36" s="18"/>
      <c r="H36" s="18"/>
      <c r="I36" s="18"/>
      <c r="J36" s="18">
        <f>J35-J34</f>
        <v>-16624.310267500012</v>
      </c>
    </row>
    <row r="37" spans="1:15" s="1" customFormat="1">
      <c r="A37" s="56"/>
      <c r="B37" s="13"/>
      <c r="C37" s="10"/>
      <c r="D37" s="11"/>
      <c r="E37" s="20"/>
      <c r="F37" s="20"/>
      <c r="G37" s="20"/>
      <c r="H37" s="20"/>
      <c r="I37" s="20"/>
      <c r="J37" s="20"/>
    </row>
    <row r="38" spans="1:15" s="1" customFormat="1">
      <c r="A38" s="56">
        <v>44627</v>
      </c>
      <c r="B38" s="13" t="s">
        <v>1</v>
      </c>
      <c r="C38" s="10">
        <v>2500</v>
      </c>
      <c r="D38" s="46">
        <v>25.75</v>
      </c>
      <c r="E38" s="20">
        <f>C38*D38</f>
        <v>64375</v>
      </c>
      <c r="F38" s="20">
        <f>E38*0.002</f>
        <v>128.75</v>
      </c>
      <c r="G38" s="20">
        <f>E38*0.00006</f>
        <v>3.8625000000000003</v>
      </c>
      <c r="H38" s="20">
        <f>E38*0.00001</f>
        <v>0.64375000000000004</v>
      </c>
      <c r="I38" s="20">
        <f>(F38+G38+H38)*0.07</f>
        <v>9.3279375000000027</v>
      </c>
      <c r="J38" s="20">
        <f>E38+F38+I38+G38+H38</f>
        <v>64517.584187500004</v>
      </c>
    </row>
    <row r="39" spans="1:15" s="1" customFormat="1">
      <c r="A39" s="56">
        <v>44634</v>
      </c>
      <c r="B39" s="13" t="s">
        <v>3</v>
      </c>
      <c r="C39" s="10">
        <f>C38</f>
        <v>2500</v>
      </c>
      <c r="D39" s="34">
        <v>20.100000000000001</v>
      </c>
      <c r="E39" s="11">
        <f>C39*D39</f>
        <v>50250</v>
      </c>
      <c r="F39" s="35">
        <f>E39*0.002</f>
        <v>100.5</v>
      </c>
      <c r="G39" s="34">
        <f>E39*0.000068</f>
        <v>3.4169999999999998</v>
      </c>
      <c r="H39" s="34">
        <f>E39*0.00001</f>
        <v>0.50250000000000006</v>
      </c>
      <c r="I39" s="34">
        <f>(F39+G39+H39)*0.07</f>
        <v>7.3093650000000006</v>
      </c>
      <c r="J39" s="34">
        <f>E39-F39-G39-H39-I39</f>
        <v>50138.271134999995</v>
      </c>
    </row>
    <row r="40" spans="1:15" s="1" customFormat="1">
      <c r="A40" s="56" t="s">
        <v>4</v>
      </c>
      <c r="B40" s="13"/>
      <c r="C40" s="10"/>
      <c r="D40" s="11"/>
      <c r="E40" s="20">
        <f>E39-E38</f>
        <v>-14125</v>
      </c>
      <c r="F40" s="20"/>
      <c r="G40" s="20"/>
      <c r="H40" s="20"/>
      <c r="I40" s="20"/>
      <c r="J40" s="20">
        <f>J39-J38</f>
        <v>-14379.313052500009</v>
      </c>
    </row>
    <row r="41" spans="1:15" s="1" customFormat="1">
      <c r="A41" s="56">
        <v>44627</v>
      </c>
      <c r="B41" s="13" t="s">
        <v>1</v>
      </c>
      <c r="C41" s="10">
        <v>2500</v>
      </c>
      <c r="D41" s="46">
        <v>19</v>
      </c>
      <c r="E41" s="20">
        <f>C41*D41</f>
        <v>47500</v>
      </c>
      <c r="F41" s="20">
        <f>E41*0.002</f>
        <v>95</v>
      </c>
      <c r="G41" s="20">
        <f>E41*0.00006</f>
        <v>2.85</v>
      </c>
      <c r="H41" s="20">
        <f>E41*0.00001</f>
        <v>0.47500000000000003</v>
      </c>
      <c r="I41" s="20">
        <f>(F41+G41+H41)*0.07</f>
        <v>6.8827499999999997</v>
      </c>
      <c r="J41" s="20">
        <f>E41+F41+I41+G41+H41</f>
        <v>47605.207749999994</v>
      </c>
    </row>
    <row r="42" spans="1:15" s="1" customFormat="1">
      <c r="A42" s="56">
        <v>44634</v>
      </c>
      <c r="B42" s="13" t="s">
        <v>3</v>
      </c>
      <c r="C42" s="10">
        <f>C41</f>
        <v>2500</v>
      </c>
      <c r="D42" s="34">
        <v>20.100000000000001</v>
      </c>
      <c r="E42" s="11">
        <f>C42*D42</f>
        <v>50250</v>
      </c>
      <c r="F42" s="35">
        <f>E42*0.002</f>
        <v>100.5</v>
      </c>
      <c r="G42" s="34">
        <f>E42*0.000068</f>
        <v>3.4169999999999998</v>
      </c>
      <c r="H42" s="34">
        <f>E42*0.00001</f>
        <v>0.50250000000000006</v>
      </c>
      <c r="I42" s="34">
        <f>(F42+G42+H42)*0.07</f>
        <v>7.3093650000000006</v>
      </c>
      <c r="J42" s="34">
        <f>E42-F42-G42-H42-I42</f>
        <v>50138.271134999995</v>
      </c>
    </row>
    <row r="43" spans="1:15" s="1" customFormat="1">
      <c r="A43" s="56" t="s">
        <v>4</v>
      </c>
      <c r="B43" s="12">
        <f>(D42-D41)/D41</f>
        <v>5.7894736842105339E-2</v>
      </c>
      <c r="C43" s="10"/>
      <c r="D43" s="11"/>
      <c r="E43" s="20">
        <f>E42-E41</f>
        <v>2750</v>
      </c>
      <c r="F43" s="20"/>
      <c r="G43" s="20"/>
      <c r="H43" s="20"/>
      <c r="I43" s="20"/>
      <c r="J43" s="20">
        <f>J42-J41</f>
        <v>2533.0633850000013</v>
      </c>
    </row>
    <row r="44" spans="1:15" s="1" customFormat="1" ht="12">
      <c r="A44" s="50"/>
      <c r="D44" s="47"/>
      <c r="J44" s="53"/>
    </row>
    <row r="45" spans="1:15" s="19" customFormat="1" ht="15">
      <c r="A45" s="56">
        <v>44624</v>
      </c>
      <c r="B45" s="13" t="s">
        <v>1</v>
      </c>
      <c r="C45" s="16">
        <v>2500</v>
      </c>
      <c r="D45" s="46">
        <v>25.75</v>
      </c>
      <c r="E45" s="20">
        <f>C45*D45</f>
        <v>64375</v>
      </c>
      <c r="F45" s="20">
        <f>E45*0.002</f>
        <v>128.75</v>
      </c>
      <c r="G45" s="20">
        <f>E45*0.00006</f>
        <v>3.8625000000000003</v>
      </c>
      <c r="H45" s="20">
        <f>E45*0.00001</f>
        <v>0.64375000000000004</v>
      </c>
      <c r="I45" s="20">
        <f>(F45+G45+H45)*0.07</f>
        <v>9.3279375000000027</v>
      </c>
      <c r="J45" s="20">
        <f>E45+F45+I45+G45+H45</f>
        <v>64517.584187500004</v>
      </c>
      <c r="K45" s="57"/>
      <c r="L45" s="58"/>
      <c r="M45" s="58"/>
      <c r="N45" s="58"/>
      <c r="O45" s="58"/>
    </row>
    <row r="46" spans="1:15" s="13" customFormat="1">
      <c r="A46" s="56" t="e">
        <f>#REF!</f>
        <v>#REF!</v>
      </c>
      <c r="B46" s="13" t="s">
        <v>3</v>
      </c>
      <c r="C46" s="10">
        <f>C45</f>
        <v>2500</v>
      </c>
      <c r="D46" s="26">
        <v>29.5</v>
      </c>
      <c r="E46" s="11">
        <f>C46*D46</f>
        <v>73750</v>
      </c>
      <c r="F46" s="35">
        <f>E46*0.002</f>
        <v>147.5</v>
      </c>
      <c r="G46" s="34">
        <f>E46*0.000068</f>
        <v>5.0149999999999997</v>
      </c>
      <c r="H46" s="34">
        <f>E46*0.00001</f>
        <v>0.73750000000000004</v>
      </c>
      <c r="I46" s="34">
        <f>(F46+G46+H46)*0.07</f>
        <v>10.727675000000001</v>
      </c>
      <c r="J46" s="34">
        <f>E46-F46-G46-H46-I46</f>
        <v>73586.019824999996</v>
      </c>
      <c r="K46" s="10">
        <f>C46</f>
        <v>2500</v>
      </c>
    </row>
    <row r="47" spans="1:15" s="31" customFormat="1" ht="18.75">
      <c r="A47" s="56" t="s">
        <v>4</v>
      </c>
      <c r="B47" s="25">
        <f>(D46-D45)/D45</f>
        <v>0.14563106796116504</v>
      </c>
      <c r="C47" s="10"/>
      <c r="D47" s="11"/>
      <c r="E47" s="20">
        <f>E46-E45</f>
        <v>9375</v>
      </c>
      <c r="F47" s="20"/>
      <c r="G47" s="20"/>
      <c r="H47" s="20"/>
      <c r="I47" s="20"/>
      <c r="J47" s="20">
        <f>J46-J45</f>
        <v>9068.4356374999916</v>
      </c>
      <c r="K47" s="20">
        <f>J47</f>
        <v>9068.4356374999916</v>
      </c>
    </row>
    <row r="48" spans="1:15" s="19" customFormat="1" ht="15">
      <c r="A48" s="49">
        <v>44550</v>
      </c>
      <c r="B48" s="13" t="s">
        <v>1</v>
      </c>
      <c r="C48" s="16">
        <v>2500</v>
      </c>
      <c r="D48" s="46">
        <v>29.5</v>
      </c>
      <c r="E48" s="20">
        <f>C48*D48</f>
        <v>73750</v>
      </c>
      <c r="F48" s="20">
        <f>E48*0.002</f>
        <v>147.5</v>
      </c>
      <c r="G48" s="20">
        <f>E48*0.00006</f>
        <v>4.4249999999999998</v>
      </c>
      <c r="H48" s="20">
        <f>E48*0.00001</f>
        <v>0.73750000000000004</v>
      </c>
      <c r="I48" s="20">
        <f>(F48+G48+H48)*0.07</f>
        <v>10.686375000000002</v>
      </c>
      <c r="J48" s="20">
        <f>E48+F48+I48+G48+H48</f>
        <v>73913.348875000011</v>
      </c>
      <c r="K48" s="57"/>
      <c r="L48" s="58"/>
      <c r="M48" s="58"/>
      <c r="N48" s="58"/>
      <c r="O48" s="58"/>
    </row>
    <row r="49" spans="1:15" s="13" customFormat="1">
      <c r="A49" s="56" t="e">
        <f>A46</f>
        <v>#REF!</v>
      </c>
      <c r="B49" s="13" t="s">
        <v>3</v>
      </c>
      <c r="C49" s="10">
        <f>C48</f>
        <v>2500</v>
      </c>
      <c r="D49" s="34">
        <f>D46</f>
        <v>29.5</v>
      </c>
      <c r="E49" s="11">
        <f>C49*D49</f>
        <v>73750</v>
      </c>
      <c r="F49" s="35">
        <f>E49*0.002</f>
        <v>147.5</v>
      </c>
      <c r="G49" s="34">
        <f>E49*0.000068</f>
        <v>5.0149999999999997</v>
      </c>
      <c r="H49" s="34">
        <f>E49*0.00001</f>
        <v>0.73750000000000004</v>
      </c>
      <c r="I49" s="34">
        <f>(F49+G49+H49)*0.07</f>
        <v>10.727675000000001</v>
      </c>
      <c r="J49" s="34">
        <f>E49-F49-G49-H49-I49</f>
        <v>73586.019824999996</v>
      </c>
      <c r="K49" s="10">
        <f>K46+C49</f>
        <v>5000</v>
      </c>
    </row>
    <row r="50" spans="1:15" s="31" customFormat="1" ht="18.75">
      <c r="A50" s="56" t="s">
        <v>4</v>
      </c>
      <c r="B50" s="25">
        <f>(D49-D48)/D48</f>
        <v>0</v>
      </c>
      <c r="C50" s="10"/>
      <c r="D50" s="11"/>
      <c r="E50" s="20">
        <f>E49-E48</f>
        <v>0</v>
      </c>
      <c r="F50" s="20"/>
      <c r="G50" s="20"/>
      <c r="H50" s="20"/>
      <c r="I50" s="20"/>
      <c r="J50" s="20">
        <f>J49-J48</f>
        <v>-327.32905000001483</v>
      </c>
      <c r="K50" s="20">
        <f>K47+J50</f>
        <v>8741.1065874999767</v>
      </c>
    </row>
    <row r="51" spans="1:15" s="19" customFormat="1" ht="15">
      <c r="A51" s="56">
        <v>44543</v>
      </c>
      <c r="B51" s="13" t="s">
        <v>1</v>
      </c>
      <c r="C51" s="16">
        <v>2500</v>
      </c>
      <c r="D51" s="46">
        <v>29.5</v>
      </c>
      <c r="E51" s="20">
        <f>C51*D51</f>
        <v>73750</v>
      </c>
      <c r="F51" s="20">
        <f>E51*0.002</f>
        <v>147.5</v>
      </c>
      <c r="G51" s="20">
        <f>E51*0.00006</f>
        <v>4.4249999999999998</v>
      </c>
      <c r="H51" s="20">
        <f>E51*0.00001</f>
        <v>0.73750000000000004</v>
      </c>
      <c r="I51" s="20">
        <f>(F51+G51+H51)*0.07</f>
        <v>10.686375000000002</v>
      </c>
      <c r="J51" s="20">
        <f>E51+F51+I51+G51+H51</f>
        <v>73913.348875000011</v>
      </c>
      <c r="K51" s="57"/>
      <c r="L51" s="58"/>
      <c r="M51" s="58"/>
      <c r="N51" s="58"/>
      <c r="O51" s="58"/>
    </row>
    <row r="52" spans="1:15" s="13" customFormat="1">
      <c r="A52" s="56" t="e">
        <f>A49</f>
        <v>#REF!</v>
      </c>
      <c r="B52" s="13" t="s">
        <v>3</v>
      </c>
      <c r="C52" s="10">
        <f>C51</f>
        <v>2500</v>
      </c>
      <c r="D52" s="34">
        <f>D49</f>
        <v>29.5</v>
      </c>
      <c r="E52" s="11">
        <f>C52*D52</f>
        <v>73750</v>
      </c>
      <c r="F52" s="35">
        <f>E52*0.002</f>
        <v>147.5</v>
      </c>
      <c r="G52" s="34">
        <f>E52*0.000068</f>
        <v>5.0149999999999997</v>
      </c>
      <c r="H52" s="34">
        <f>E52*0.00001</f>
        <v>0.73750000000000004</v>
      </c>
      <c r="I52" s="34">
        <f>(F52+G52+H52)*0.07</f>
        <v>10.727675000000001</v>
      </c>
      <c r="J52" s="34">
        <f>E52-F52-G52-H52-I52</f>
        <v>73586.019824999996</v>
      </c>
      <c r="K52" s="10">
        <f>K49+C52</f>
        <v>7500</v>
      </c>
    </row>
    <row r="53" spans="1:15" s="31" customFormat="1" ht="18.75">
      <c r="A53" s="56" t="s">
        <v>4</v>
      </c>
      <c r="B53" s="25">
        <f>(D52-D51)/D51</f>
        <v>0</v>
      </c>
      <c r="C53" s="10"/>
      <c r="D53" s="11"/>
      <c r="E53" s="20">
        <f>E52-E51</f>
        <v>0</v>
      </c>
      <c r="F53" s="20"/>
      <c r="G53" s="20"/>
      <c r="H53" s="20"/>
      <c r="I53" s="20"/>
      <c r="J53" s="20">
        <f>J52-J51</f>
        <v>-327.32905000001483</v>
      </c>
      <c r="K53" s="20">
        <f>K50+J53</f>
        <v>8413.7775374999619</v>
      </c>
    </row>
    <row r="54" spans="1:15" s="19" customFormat="1" ht="15">
      <c r="A54" s="56">
        <v>44496</v>
      </c>
      <c r="B54" s="13" t="s">
        <v>1</v>
      </c>
      <c r="C54" s="16">
        <v>2500</v>
      </c>
      <c r="D54" s="46">
        <v>32.75</v>
      </c>
      <c r="E54" s="20">
        <f>C54*D54</f>
        <v>81875</v>
      </c>
      <c r="F54" s="20">
        <f>E54*0.002</f>
        <v>163.75</v>
      </c>
      <c r="G54" s="20">
        <f>E54*0.00006</f>
        <v>4.9125000000000005</v>
      </c>
      <c r="H54" s="20">
        <f>E54*0.00001</f>
        <v>0.81875000000000009</v>
      </c>
      <c r="I54" s="20">
        <f>(F54+G54+H54)*0.07</f>
        <v>11.863687500000001</v>
      </c>
      <c r="J54" s="20">
        <f>E54+F54+I54+G54+H54</f>
        <v>82056.344937500005</v>
      </c>
      <c r="K54" s="57"/>
      <c r="L54" s="58"/>
      <c r="M54" s="58"/>
      <c r="N54" s="58"/>
      <c r="O54" s="58"/>
    </row>
    <row r="55" spans="1:15" s="13" customFormat="1">
      <c r="A55" s="56" t="e">
        <f>A52</f>
        <v>#REF!</v>
      </c>
      <c r="B55" s="13" t="s">
        <v>3</v>
      </c>
      <c r="C55" s="10">
        <f>C54</f>
        <v>2500</v>
      </c>
      <c r="D55" s="34">
        <f>D49</f>
        <v>29.5</v>
      </c>
      <c r="E55" s="11">
        <f>C55*D55</f>
        <v>73750</v>
      </c>
      <c r="F55" s="35">
        <f>E55*0.002</f>
        <v>147.5</v>
      </c>
      <c r="G55" s="34">
        <f>E55*0.000068</f>
        <v>5.0149999999999997</v>
      </c>
      <c r="H55" s="34">
        <f>E55*0.00001</f>
        <v>0.73750000000000004</v>
      </c>
      <c r="I55" s="34">
        <f>(F55+G55+H55)*0.07</f>
        <v>10.727675000000001</v>
      </c>
      <c r="J55" s="34">
        <f>E55-F55-G55-H55-I55</f>
        <v>73586.019824999996</v>
      </c>
      <c r="K55" s="10">
        <f>K52+C55</f>
        <v>10000</v>
      </c>
    </row>
    <row r="56" spans="1:15" s="31" customFormat="1" ht="18.75">
      <c r="A56" s="56" t="s">
        <v>4</v>
      </c>
      <c r="B56" s="25">
        <f>(D55-D54)/D54</f>
        <v>-9.9236641221374045E-2</v>
      </c>
      <c r="C56" s="10"/>
      <c r="D56" s="11"/>
      <c r="E56" s="20">
        <f>E55-E54</f>
        <v>-8125</v>
      </c>
      <c r="F56" s="20"/>
      <c r="G56" s="20"/>
      <c r="H56" s="20"/>
      <c r="I56" s="20"/>
      <c r="J56" s="20">
        <f>J55-J54</f>
        <v>-8470.3251125000097</v>
      </c>
      <c r="K56" s="20">
        <f>K53+J56</f>
        <v>-56.5475750000478</v>
      </c>
    </row>
    <row r="57" spans="1:15" s="19" customFormat="1" ht="15">
      <c r="A57" s="56">
        <v>44462</v>
      </c>
      <c r="B57" s="13" t="s">
        <v>1</v>
      </c>
      <c r="C57" s="16">
        <v>2500</v>
      </c>
      <c r="D57" s="46">
        <v>33.25</v>
      </c>
      <c r="E57" s="20">
        <f>C57*D57</f>
        <v>83125</v>
      </c>
      <c r="F57" s="20">
        <f>E57*0.002</f>
        <v>166.25</v>
      </c>
      <c r="G57" s="20">
        <f>E57*0.00006</f>
        <v>4.9874999999999998</v>
      </c>
      <c r="H57" s="20">
        <f>E57*0.00001</f>
        <v>0.83125000000000004</v>
      </c>
      <c r="I57" s="20">
        <f>(F57+G57+H57)*0.07</f>
        <v>12.044812500000003</v>
      </c>
      <c r="J57" s="20">
        <f>E57+F57+I57+G57+H57</f>
        <v>83309.113562500002</v>
      </c>
      <c r="K57" s="57"/>
      <c r="L57" s="58"/>
      <c r="M57" s="58"/>
      <c r="N57" s="58"/>
      <c r="O57" s="58"/>
    </row>
    <row r="58" spans="1:15" s="13" customFormat="1">
      <c r="A58" s="56" t="e">
        <f>A55</f>
        <v>#REF!</v>
      </c>
      <c r="B58" s="13" t="s">
        <v>3</v>
      </c>
      <c r="C58" s="10">
        <f>C57</f>
        <v>2500</v>
      </c>
      <c r="D58" s="34">
        <f>D49</f>
        <v>29.5</v>
      </c>
      <c r="E58" s="11">
        <f>C58*D58</f>
        <v>73750</v>
      </c>
      <c r="F58" s="35">
        <f>E58*0.002</f>
        <v>147.5</v>
      </c>
      <c r="G58" s="34">
        <f>E58*0.000068</f>
        <v>5.0149999999999997</v>
      </c>
      <c r="H58" s="34">
        <f>E58*0.00001</f>
        <v>0.73750000000000004</v>
      </c>
      <c r="I58" s="34">
        <f>(F58+G58+H58)*0.07</f>
        <v>10.727675000000001</v>
      </c>
      <c r="J58" s="34">
        <f>E58-F58-G58-H58-I58</f>
        <v>73586.019824999996</v>
      </c>
      <c r="K58" s="10">
        <f>K55+C58</f>
        <v>12500</v>
      </c>
    </row>
    <row r="59" spans="1:15" s="31" customFormat="1" ht="18.75">
      <c r="A59" s="56" t="s">
        <v>4</v>
      </c>
      <c r="B59" s="25">
        <f>(D58-D57)/D57</f>
        <v>-0.11278195488721804</v>
      </c>
      <c r="C59" s="10"/>
      <c r="D59" s="11"/>
      <c r="E59" s="20">
        <f>E58-E57</f>
        <v>-9375</v>
      </c>
      <c r="F59" s="20"/>
      <c r="G59" s="20"/>
      <c r="H59" s="20"/>
      <c r="I59" s="20"/>
      <c r="J59" s="20">
        <f>J58-J57</f>
        <v>-9723.0937375000067</v>
      </c>
      <c r="K59" s="20">
        <f>K56+J59</f>
        <v>-9779.6413125000545</v>
      </c>
    </row>
    <row r="60" spans="1:15" s="19" customFormat="1" ht="15">
      <c r="A60" s="56">
        <v>44452</v>
      </c>
      <c r="B60" s="13" t="s">
        <v>1</v>
      </c>
      <c r="C60" s="16">
        <v>2500</v>
      </c>
      <c r="D60" s="46">
        <v>35.25</v>
      </c>
      <c r="E60" s="20">
        <f>C60*D60</f>
        <v>88125</v>
      </c>
      <c r="F60" s="20">
        <f>E60*0.002</f>
        <v>176.25</v>
      </c>
      <c r="G60" s="20">
        <f>E60*0.00006</f>
        <v>5.2875000000000005</v>
      </c>
      <c r="H60" s="20">
        <f>E60*0.00001</f>
        <v>0.88125000000000009</v>
      </c>
      <c r="I60" s="20">
        <f>(F60+G60+H60)*0.07</f>
        <v>12.7693125</v>
      </c>
      <c r="J60" s="20">
        <f>E60+F60+I60+G60+H60</f>
        <v>88320.188062500005</v>
      </c>
      <c r="K60" s="57"/>
      <c r="L60" s="58"/>
      <c r="M60" s="58"/>
      <c r="N60" s="58"/>
      <c r="O60" s="58"/>
    </row>
    <row r="61" spans="1:15" s="13" customFormat="1">
      <c r="A61" s="56" t="e">
        <f>A58</f>
        <v>#REF!</v>
      </c>
      <c r="B61" s="13" t="s">
        <v>3</v>
      </c>
      <c r="C61" s="10">
        <f>C60</f>
        <v>2500</v>
      </c>
      <c r="D61" s="34">
        <f>D49</f>
        <v>29.5</v>
      </c>
      <c r="E61" s="11">
        <f>C61*D61</f>
        <v>73750</v>
      </c>
      <c r="F61" s="35">
        <f>E61*0.002</f>
        <v>147.5</v>
      </c>
      <c r="G61" s="34">
        <f>E61*0.000068</f>
        <v>5.0149999999999997</v>
      </c>
      <c r="H61" s="34">
        <f>E61*0.00001</f>
        <v>0.73750000000000004</v>
      </c>
      <c r="I61" s="34">
        <f>(F61+G61+H61)*0.07</f>
        <v>10.727675000000001</v>
      </c>
      <c r="J61" s="34">
        <f>E61-F61-G61-H61-I61</f>
        <v>73586.019824999996</v>
      </c>
      <c r="K61" s="91">
        <f>K58+C61</f>
        <v>15000</v>
      </c>
    </row>
    <row r="62" spans="1:15" s="31" customFormat="1" ht="18.75">
      <c r="A62" s="56" t="s">
        <v>4</v>
      </c>
      <c r="B62" s="25">
        <f>(D61-D60)/D60</f>
        <v>-0.16312056737588654</v>
      </c>
      <c r="C62" s="10"/>
      <c r="D62" s="11"/>
      <c r="E62" s="20">
        <f>E61-E60</f>
        <v>-14375</v>
      </c>
      <c r="F62" s="20"/>
      <c r="G62" s="20"/>
      <c r="H62" s="20"/>
      <c r="I62" s="20"/>
      <c r="J62" s="20">
        <f>J61-J60</f>
        <v>-14734.168237500009</v>
      </c>
      <c r="K62" s="20">
        <f>K59+J62</f>
        <v>-24513.809550000064</v>
      </c>
    </row>
    <row r="63" spans="1:15" s="19" customFormat="1" ht="15">
      <c r="A63" s="56">
        <v>44398</v>
      </c>
      <c r="B63" s="13" t="s">
        <v>1</v>
      </c>
      <c r="C63" s="16">
        <v>2500</v>
      </c>
      <c r="D63" s="46">
        <v>37.75</v>
      </c>
      <c r="E63" s="20">
        <f>C63*D63</f>
        <v>94375</v>
      </c>
      <c r="F63" s="20">
        <f>E63*0.002</f>
        <v>188.75</v>
      </c>
      <c r="G63" s="20">
        <f>E63*0.00006</f>
        <v>5.6625000000000005</v>
      </c>
      <c r="H63" s="20">
        <f>E63*0.00001</f>
        <v>0.94375000000000009</v>
      </c>
      <c r="I63" s="20">
        <f>(F63+G63+H63)*0.07</f>
        <v>13.6749375</v>
      </c>
      <c r="J63" s="20">
        <f>E63+F63+I63+G63+H63</f>
        <v>94584.031187500019</v>
      </c>
      <c r="K63" s="57"/>
      <c r="L63" s="58"/>
      <c r="M63" s="58"/>
      <c r="N63" s="58"/>
      <c r="O63" s="58"/>
    </row>
    <row r="64" spans="1:15" s="13" customFormat="1">
      <c r="A64" s="56" t="e">
        <f>A61</f>
        <v>#REF!</v>
      </c>
      <c r="B64" s="13" t="s">
        <v>3</v>
      </c>
      <c r="C64" s="10">
        <f>C63</f>
        <v>2500</v>
      </c>
      <c r="D64" s="34">
        <f>D49</f>
        <v>29.5</v>
      </c>
      <c r="E64" s="11">
        <f>C64*D64</f>
        <v>73750</v>
      </c>
      <c r="F64" s="35">
        <f>E64*0.002</f>
        <v>147.5</v>
      </c>
      <c r="G64" s="34">
        <f>E64*0.000068</f>
        <v>5.0149999999999997</v>
      </c>
      <c r="H64" s="34">
        <f>E64*0.00001</f>
        <v>0.73750000000000004</v>
      </c>
      <c r="I64" s="34">
        <f>(F64+G64+H64)*0.07</f>
        <v>10.727675000000001</v>
      </c>
      <c r="J64" s="34">
        <f>E64-F64-G64-H64-I64</f>
        <v>73586.019824999996</v>
      </c>
      <c r="K64" s="10">
        <f>K61+C64</f>
        <v>17500</v>
      </c>
    </row>
    <row r="65" spans="1:15" s="31" customFormat="1" ht="18.75">
      <c r="A65" s="56" t="s">
        <v>4</v>
      </c>
      <c r="B65" s="25">
        <f>(D64-D63)/D63</f>
        <v>-0.2185430463576159</v>
      </c>
      <c r="C65" s="10"/>
      <c r="D65" s="11"/>
      <c r="E65" s="20">
        <f>E64-E63</f>
        <v>-20625</v>
      </c>
      <c r="F65" s="20"/>
      <c r="G65" s="20"/>
      <c r="H65" s="20"/>
      <c r="I65" s="20"/>
      <c r="J65" s="20">
        <f>J64-J63</f>
        <v>-20998.011362500023</v>
      </c>
      <c r="K65" s="20">
        <f>K62+J65</f>
        <v>-45511.820912500087</v>
      </c>
    </row>
    <row r="66" spans="1:15" s="19" customFormat="1" ht="15">
      <c r="A66" s="56">
        <v>44368</v>
      </c>
      <c r="B66" s="13" t="s">
        <v>1</v>
      </c>
      <c r="C66" s="16">
        <v>2500</v>
      </c>
      <c r="D66" s="46">
        <v>40</v>
      </c>
      <c r="E66" s="20">
        <f>C66*D66</f>
        <v>100000</v>
      </c>
      <c r="F66" s="20">
        <f>E66*0.002</f>
        <v>200</v>
      </c>
      <c r="G66" s="20">
        <f>E66*0.00006</f>
        <v>6</v>
      </c>
      <c r="H66" s="20">
        <f>E66*0.00001</f>
        <v>1</v>
      </c>
      <c r="I66" s="20">
        <f>(F66+G66+H66)*0.07</f>
        <v>14.490000000000002</v>
      </c>
      <c r="J66" s="20">
        <f>E66+F66+I66+G66+H66</f>
        <v>100221.49</v>
      </c>
      <c r="K66" s="57"/>
      <c r="L66" s="58"/>
      <c r="M66" s="58"/>
      <c r="N66" s="58"/>
      <c r="O66" s="58"/>
    </row>
    <row r="67" spans="1:15" s="13" customFormat="1">
      <c r="A67" s="56" t="e">
        <f>A64</f>
        <v>#REF!</v>
      </c>
      <c r="B67" s="13" t="s">
        <v>3</v>
      </c>
      <c r="C67" s="10">
        <f>C66</f>
        <v>2500</v>
      </c>
      <c r="D67" s="34">
        <f>D52</f>
        <v>29.5</v>
      </c>
      <c r="E67" s="11">
        <f>C67*D67</f>
        <v>73750</v>
      </c>
      <c r="F67" s="35">
        <f>E67*0.002</f>
        <v>147.5</v>
      </c>
      <c r="G67" s="34">
        <f>E67*0.000068</f>
        <v>5.0149999999999997</v>
      </c>
      <c r="H67" s="34">
        <f>E67*0.00001</f>
        <v>0.73750000000000004</v>
      </c>
      <c r="I67" s="34">
        <f>(F67+G67+H67)*0.07</f>
        <v>10.727675000000001</v>
      </c>
      <c r="J67" s="34">
        <f>E67-F67-G67-H67-I67</f>
        <v>73586.019824999996</v>
      </c>
      <c r="K67" s="10">
        <f>K64+C67</f>
        <v>20000</v>
      </c>
    </row>
    <row r="68" spans="1:15" s="31" customFormat="1" ht="18.75">
      <c r="A68" s="56" t="s">
        <v>4</v>
      </c>
      <c r="B68" s="25">
        <f>(D67-D66)/D66</f>
        <v>-0.26250000000000001</v>
      </c>
      <c r="C68" s="10"/>
      <c r="D68" s="11"/>
      <c r="E68" s="20">
        <f>E67-E66</f>
        <v>-26250</v>
      </c>
      <c r="F68" s="20"/>
      <c r="G68" s="20"/>
      <c r="H68" s="20"/>
      <c r="I68" s="20"/>
      <c r="J68" s="20">
        <f>J67-J66</f>
        <v>-26635.470175000009</v>
      </c>
      <c r="K68" s="20">
        <f>K65+J68</f>
        <v>-72147.291087500096</v>
      </c>
    </row>
    <row r="69" spans="1:15" s="19" customFormat="1" ht="15">
      <c r="A69" s="56">
        <v>44368</v>
      </c>
      <c r="B69" s="13" t="s">
        <v>1</v>
      </c>
      <c r="C69" s="16">
        <v>2500</v>
      </c>
      <c r="D69" s="46">
        <v>40</v>
      </c>
      <c r="E69" s="20">
        <f>C69*D69</f>
        <v>100000</v>
      </c>
      <c r="F69" s="20">
        <f>E69*0.002</f>
        <v>200</v>
      </c>
      <c r="G69" s="20">
        <f>E69*0.00006</f>
        <v>6</v>
      </c>
      <c r="H69" s="20">
        <f>E69*0.00001</f>
        <v>1</v>
      </c>
      <c r="I69" s="20">
        <f>(F69+G69+H69)*0.07</f>
        <v>14.490000000000002</v>
      </c>
      <c r="J69" s="20">
        <f>E69+F69+I69+G69+H69</f>
        <v>100221.49</v>
      </c>
      <c r="K69" s="57"/>
      <c r="L69" s="58"/>
      <c r="M69" s="58"/>
      <c r="N69" s="58"/>
      <c r="O69" s="58"/>
    </row>
    <row r="70" spans="1:15" s="13" customFormat="1">
      <c r="A70" s="56" t="e">
        <f>A67</f>
        <v>#REF!</v>
      </c>
      <c r="B70" s="13" t="s">
        <v>3</v>
      </c>
      <c r="C70" s="10">
        <f>C69</f>
        <v>2500</v>
      </c>
      <c r="D70" s="34">
        <f>D55</f>
        <v>29.5</v>
      </c>
      <c r="E70" s="11">
        <f>C70*D70</f>
        <v>73750</v>
      </c>
      <c r="F70" s="35">
        <f>E70*0.002</f>
        <v>147.5</v>
      </c>
      <c r="G70" s="34">
        <f>E70*0.000068</f>
        <v>5.0149999999999997</v>
      </c>
      <c r="H70" s="34">
        <f>E70*0.00001</f>
        <v>0.73750000000000004</v>
      </c>
      <c r="I70" s="34">
        <f>(F70+G70+H70)*0.07</f>
        <v>10.727675000000001</v>
      </c>
      <c r="J70" s="34">
        <f>E70-F70-G70-H70-I70</f>
        <v>73586.019824999996</v>
      </c>
      <c r="K70" s="10">
        <f>K67+C70</f>
        <v>22500</v>
      </c>
    </row>
    <row r="71" spans="1:15" s="31" customFormat="1" ht="18.75">
      <c r="A71" s="56" t="s">
        <v>4</v>
      </c>
      <c r="B71" s="25">
        <f>(D70-D69)/D69</f>
        <v>-0.26250000000000001</v>
      </c>
      <c r="C71" s="10"/>
      <c r="D71" s="11"/>
      <c r="E71" s="20">
        <f>E70-E69</f>
        <v>-26250</v>
      </c>
      <c r="F71" s="20"/>
      <c r="G71" s="20"/>
      <c r="H71" s="20"/>
      <c r="I71" s="20"/>
      <c r="J71" s="20">
        <f>J70-J69</f>
        <v>-26635.470175000009</v>
      </c>
      <c r="K71" s="20">
        <f>K68+J71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0" sqref="D10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 ht="12.75">
      <c r="A9" s="77">
        <v>44950</v>
      </c>
      <c r="B9" s="78" t="s">
        <v>1</v>
      </c>
      <c r="C9" s="79">
        <v>10000</v>
      </c>
      <c r="D9" s="80">
        <v>18.7</v>
      </c>
      <c r="E9" s="94">
        <f>C9*D9</f>
        <v>187000</v>
      </c>
      <c r="F9" s="94">
        <f>E9*0.002</f>
        <v>374</v>
      </c>
      <c r="G9" s="94">
        <f>E9*0.000068</f>
        <v>12.715999999999999</v>
      </c>
      <c r="H9" s="94">
        <f>E9*0.00001</f>
        <v>1.87</v>
      </c>
      <c r="I9" s="94">
        <f>(F9+G9+H9)*0.07</f>
        <v>27.201020000000003</v>
      </c>
      <c r="J9" s="94">
        <f>E9+F9+I9+G9+H9</f>
        <v>187415.78701999999</v>
      </c>
    </row>
    <row r="10" spans="1:14" ht="12.75">
      <c r="A10" s="77"/>
      <c r="B10" s="81">
        <f>(D9-D8)/D8</f>
        <v>-2.094240837696346E-2</v>
      </c>
      <c r="C10" s="79">
        <f>SUM(C8:C9)</f>
        <v>40000</v>
      </c>
      <c r="D10" s="80">
        <f>E10/C10</f>
        <v>19</v>
      </c>
      <c r="E10" s="79">
        <f t="shared" ref="E10:J10" si="3">SUM(E8:E9)</f>
        <v>760000</v>
      </c>
      <c r="F10" s="79">
        <f t="shared" si="3"/>
        <v>1520</v>
      </c>
      <c r="G10" s="79">
        <f t="shared" si="3"/>
        <v>50.904000000000003</v>
      </c>
      <c r="H10" s="79">
        <f t="shared" si="3"/>
        <v>7.6000000000000005</v>
      </c>
      <c r="I10" s="79">
        <f t="shared" si="3"/>
        <v>110.49528000000001</v>
      </c>
      <c r="J10" s="79">
        <f t="shared" si="3"/>
        <v>761688.99928000011</v>
      </c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2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 ht="12.75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ht="12"/>
    <row r="21" spans="1:13" ht="12"/>
    <row r="22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33.5</v>
      </c>
      <c r="E7" s="20">
        <f>C7*D7</f>
        <v>40200</v>
      </c>
      <c r="F7" s="20">
        <f>E7*0.002</f>
        <v>80.400000000000006</v>
      </c>
      <c r="G7" s="20">
        <f>E7*0.00006</f>
        <v>2.4119999999999999</v>
      </c>
      <c r="H7" s="20">
        <f>E7*0.00001</f>
        <v>0.40200000000000002</v>
      </c>
      <c r="I7" s="20">
        <f>(F7+G7+H7)*0.07</f>
        <v>5.8249800000000018</v>
      </c>
      <c r="J7" s="20">
        <f>E7+F7+I7+G7+H7</f>
        <v>40289.038979999998</v>
      </c>
    </row>
    <row r="8" spans="1:13" s="1" customFormat="1" ht="14.25">
      <c r="A8" s="56"/>
      <c r="B8" s="12">
        <f>(D7-D6)/D6</f>
        <v>-0.15189873417721519</v>
      </c>
      <c r="C8" s="10">
        <f>SUM(C6:C7)</f>
        <v>4800</v>
      </c>
      <c r="D8" s="11">
        <f>E8/C8</f>
        <v>38</v>
      </c>
      <c r="E8" s="10">
        <f t="shared" ref="E8:J8" si="0">SUM(E6:E7)</f>
        <v>182400</v>
      </c>
      <c r="F8" s="10">
        <f t="shared" si="0"/>
        <v>364.80000000000007</v>
      </c>
      <c r="G8" s="10">
        <f t="shared" si="0"/>
        <v>10.943999999999999</v>
      </c>
      <c r="H8" s="10">
        <f t="shared" si="0"/>
        <v>1.8240000000000003</v>
      </c>
      <c r="I8" s="10">
        <f t="shared" si="0"/>
        <v>26.429760000000009</v>
      </c>
      <c r="J8" s="10">
        <f t="shared" si="0"/>
        <v>182803.99776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6"/>
  <sheetViews>
    <sheetView workbookViewId="0">
      <selection activeCell="E5" sqref="E5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56">
        <v>44676</v>
      </c>
      <c r="B5" s="13" t="s">
        <v>1</v>
      </c>
      <c r="C5" s="10">
        <v>1500</v>
      </c>
      <c r="D5" s="46">
        <v>53</v>
      </c>
      <c r="E5" s="62">
        <f>C5*D5</f>
        <v>79500</v>
      </c>
      <c r="F5" s="20">
        <f>E5*0.002</f>
        <v>159</v>
      </c>
      <c r="G5" s="20">
        <f>E5*0.00006</f>
        <v>4.7700000000000005</v>
      </c>
      <c r="H5" s="20">
        <f>E5*0.00001</f>
        <v>0.79500000000000004</v>
      </c>
      <c r="I5" s="20">
        <f>(F5+G5+H5)*0.07</f>
        <v>11.519550000000001</v>
      </c>
      <c r="J5" s="62">
        <f>E5+F5+I5+G5+H5</f>
        <v>79676.08455</v>
      </c>
    </row>
    <row r="6" spans="1:13" s="1" customFormat="1">
      <c r="A6" s="56"/>
      <c r="B6" s="12">
        <f>(D5-D4)/D4</f>
        <v>-7.0175438596491224E-2</v>
      </c>
      <c r="C6" s="10">
        <f>SUM(C4:C5)</f>
        <v>4800</v>
      </c>
      <c r="D6" s="11">
        <f>E6/C6</f>
        <v>55.75</v>
      </c>
      <c r="E6" s="62">
        <f t="shared" ref="E6:J6" si="1">SUM(E4:E5)</f>
        <v>267600</v>
      </c>
      <c r="F6" s="10">
        <f t="shared" si="1"/>
        <v>535.20000000000005</v>
      </c>
      <c r="G6" s="10">
        <f t="shared" si="1"/>
        <v>16.056000000000001</v>
      </c>
      <c r="H6" s="10">
        <f t="shared" si="1"/>
        <v>2.6760000000000002</v>
      </c>
      <c r="I6" s="10">
        <f t="shared" si="1"/>
        <v>38.775240000000004</v>
      </c>
      <c r="J6" s="62">
        <f t="shared" si="1"/>
        <v>268192.70724000002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23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24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24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abSelected="1"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35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 ht="12.75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 ht="12.75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 ht="12.75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5" spans="1:14" ht="12"/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2023-01-30T09:53:00Z</dcterms:modified>
  <cp:category/>
  <cp:contentStatus/>
</cp:coreProperties>
</file>