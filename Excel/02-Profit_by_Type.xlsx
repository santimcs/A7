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54" documentId="8_{9A02EB98-7EB2-4F6F-BBDA-0A28C0527E53}" xr6:coauthVersionLast="47" xr6:coauthVersionMax="47" xr10:uidLastSave="{2FAEEA83-C032-46B3-B59A-978825DF2B4F}"/>
  <bookViews>
    <workbookView xWindow="-120" yWindow="-120" windowWidth="15600" windowHeight="11760" tabRatio="461" firstSheet="11" activeTab="6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0" r:id="rId14"/>
    <sheet name="MAKRO" sheetId="179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CCC" sheetId="177" r:id="rId21"/>
    <sheet name="SENA" sheetId="183" r:id="rId22"/>
    <sheet name="SINGER" sheetId="201" r:id="rId23"/>
    <sheet name="SYNEX" sheetId="199" r:id="rId24"/>
    <sheet name="TFFIF" sheetId="110" r:id="rId25"/>
    <sheet name="TMT" sheetId="145" r:id="rId26"/>
    <sheet name="WHAIR" sheetId="157" r:id="rId27"/>
    <sheet name="WHART" sheetId="171" r:id="rId2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01" l="1"/>
  <c r="B4" i="201"/>
  <c r="E3" i="20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D6" i="201"/>
  <c r="C6" i="201"/>
  <c r="C7" i="201"/>
  <c r="E7" i="201" s="1"/>
  <c r="E6" i="201"/>
  <c r="H5" i="201"/>
  <c r="C5" i="201"/>
  <c r="J5" i="201" s="1"/>
  <c r="E2" i="201"/>
  <c r="B21" i="199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C4" i="200"/>
  <c r="B4" i="200"/>
  <c r="E3" i="200"/>
  <c r="E2" i="200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4" i="201" l="1"/>
  <c r="D4" i="201" s="1"/>
  <c r="H3" i="201"/>
  <c r="H4" i="201" s="1"/>
  <c r="G3" i="201"/>
  <c r="G4" i="201" s="1"/>
  <c r="F3" i="201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H2" i="201"/>
  <c r="G2" i="201"/>
  <c r="F2" i="201"/>
  <c r="H6" i="201"/>
  <c r="G6" i="201"/>
  <c r="F6" i="201"/>
  <c r="E8" i="201"/>
  <c r="H7" i="201"/>
  <c r="G7" i="201"/>
  <c r="F7" i="201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E4" i="200"/>
  <c r="H2" i="200"/>
  <c r="G2" i="200"/>
  <c r="F2" i="200"/>
  <c r="H3" i="200"/>
  <c r="G3" i="200"/>
  <c r="F3" i="200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4" i="201" l="1"/>
  <c r="I3" i="201"/>
  <c r="I4" i="201" s="1"/>
  <c r="J3" i="201"/>
  <c r="J4" i="201" s="1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7" i="201"/>
  <c r="J7" i="201"/>
  <c r="I6" i="201"/>
  <c r="J6" i="201"/>
  <c r="I2" i="201"/>
  <c r="J2" i="201"/>
  <c r="I17" i="199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3" i="200"/>
  <c r="J3" i="200"/>
  <c r="F4" i="200"/>
  <c r="I2" i="200"/>
  <c r="I4" i="200" s="1"/>
  <c r="J2" i="200"/>
  <c r="J4" i="200" s="1"/>
  <c r="G4" i="200"/>
  <c r="H4" i="200"/>
  <c r="D4" i="200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H7" i="202" l="1"/>
  <c r="G7" i="202"/>
  <c r="F7" i="202"/>
  <c r="E9" i="202"/>
  <c r="H8" i="202"/>
  <c r="G8" i="202"/>
  <c r="F8" i="202"/>
  <c r="J14" i="202"/>
  <c r="J8" i="201"/>
  <c r="J9" i="201" s="1"/>
  <c r="J18" i="199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0" i="195"/>
  <c r="G10" i="195"/>
  <c r="F10" i="195"/>
  <c r="J22" i="46"/>
  <c r="J24" i="46" s="1"/>
  <c r="J26" i="46" s="1"/>
  <c r="I22" i="46"/>
  <c r="I24" i="46" s="1"/>
  <c r="I26" i="46" s="1"/>
  <c r="I8" i="202" l="1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0" i="195"/>
  <c r="J10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<sst xmlns="http://schemas.openxmlformats.org/spreadsheetml/2006/main" count="421" uniqueCount="37">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</sst>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tabSelected="1"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19.2</v>
      </c>
      <c r="E7" s="94">
        <f>C7*D7</f>
        <v>192000</v>
      </c>
      <c r="F7" s="94">
        <f>E7*0.002</f>
        <v>384</v>
      </c>
      <c r="G7" s="94">
        <f>E7*0.000068</f>
        <v>13.055999999999999</v>
      </c>
      <c r="H7" s="94">
        <f>E7*0.00001</f>
        <v>1.9200000000000002</v>
      </c>
      <c r="I7" s="94">
        <f>(F7+G7+H7)*0.07</f>
        <v>27.928320000000003</v>
      </c>
      <c r="J7" s="94">
        <f>E7+F7+I7+G7+H7</f>
        <v>192426.90432000003</v>
      </c>
    </row>
    <row r="8" spans="1:14" s="63" customFormat="1" ht="21.75">
      <c r="A8" s="77"/>
      <c r="B8" s="81">
        <f>(D7-D6)/D6</f>
        <v>1.587301587301591E-2</v>
      </c>
      <c r="C8" s="79">
        <f>SUM(C6:C7)</f>
        <v>30000</v>
      </c>
      <c r="D8" s="80">
        <f>E8/C8</f>
        <v>19</v>
      </c>
      <c r="E8" s="79">
        <f t="shared" ref="E8:J8" si="2">SUM(E6:E7)</f>
        <v>570000</v>
      </c>
      <c r="F8" s="79">
        <f t="shared" si="2"/>
        <v>1140</v>
      </c>
      <c r="G8" s="79">
        <f t="shared" si="2"/>
        <v>37.984000000000002</v>
      </c>
      <c r="H8" s="79">
        <f t="shared" si="2"/>
        <v>5.7</v>
      </c>
      <c r="I8" s="79">
        <f t="shared" si="2"/>
        <v>82.857880000000009</v>
      </c>
      <c r="J8" s="79">
        <f t="shared" si="2"/>
        <v>571266.54188000003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6F41-4A4D-49E3-9DEE-4D1E17C59DB3}">
  <dimension ref="A1:M4"/>
  <sheetViews>
    <sheetView workbookViewId="0">
      <selection activeCell="K8" sqref="K8"/>
    </sheetView>
  </sheetViews>
  <sheetFormatPr defaultColWidth="8.875" defaultRowHeight="12.7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44915</v>
      </c>
      <c r="B2" s="15" t="s">
        <v>1</v>
      </c>
      <c r="C2" s="16">
        <v>3000</v>
      </c>
      <c r="D2" s="40">
        <v>40</v>
      </c>
      <c r="E2" s="18">
        <f>C2*D2</f>
        <v>120000</v>
      </c>
      <c r="F2" s="18">
        <f>E2*0.002</f>
        <v>240</v>
      </c>
      <c r="G2" s="18">
        <f>E2*0.00006</f>
        <v>7.2</v>
      </c>
      <c r="H2" s="18">
        <f>E2*0.00001</f>
        <v>1.2000000000000002</v>
      </c>
      <c r="I2" s="18">
        <f>(F2+G2+H2)*0.07</f>
        <v>17.388000000000002</v>
      </c>
      <c r="J2" s="18">
        <f>E2+F2+I2+G2+H2</f>
        <v>120265.788</v>
      </c>
      <c r="K2" s="29"/>
      <c r="L2" s="17"/>
      <c r="M2" s="30"/>
    </row>
    <row r="3" spans="1:13" s="13" customFormat="1">
      <c r="A3" s="67">
        <v>44656</v>
      </c>
      <c r="B3" s="13" t="s">
        <v>1</v>
      </c>
      <c r="C3" s="10">
        <v>1200</v>
      </c>
      <c r="D3" s="64">
        <v>36.5</v>
      </c>
      <c r="E3" s="20">
        <f>C3*D3</f>
        <v>43800</v>
      </c>
      <c r="F3" s="20">
        <f>E3*0.002</f>
        <v>87.600000000000009</v>
      </c>
      <c r="G3" s="20">
        <f>E3*0.00006</f>
        <v>2.6280000000000001</v>
      </c>
      <c r="H3" s="20">
        <f>E3*0.00001</f>
        <v>0.43800000000000006</v>
      </c>
      <c r="I3" s="20">
        <f>(F3+G3+H3)*0.07</f>
        <v>6.3466200000000015</v>
      </c>
      <c r="J3" s="20">
        <f>E3+F3+I3+G3+H3</f>
        <v>43897.012619999994</v>
      </c>
      <c r="K3" s="32"/>
      <c r="L3" s="11"/>
      <c r="M3" s="12"/>
    </row>
    <row r="4" spans="1:13">
      <c r="B4" s="25">
        <f>(D3-D2)/D2</f>
        <v>-8.7499999999999994E-2</v>
      </c>
      <c r="C4" s="22">
        <f>SUM(C2:C3)</f>
        <v>4200</v>
      </c>
      <c r="D4" s="65">
        <f>E4/C4</f>
        <v>39</v>
      </c>
      <c r="E4" s="22">
        <f t="shared" ref="E4:J4" si="0">SUM(E2:E3)</f>
        <v>163800</v>
      </c>
      <c r="F4" s="22">
        <f t="shared" si="0"/>
        <v>327.60000000000002</v>
      </c>
      <c r="G4" s="22">
        <f t="shared" si="0"/>
        <v>9.8279999999999994</v>
      </c>
      <c r="H4" s="22">
        <f t="shared" si="0"/>
        <v>1.6380000000000003</v>
      </c>
      <c r="I4" s="22">
        <f t="shared" si="0"/>
        <v>23.734620000000003</v>
      </c>
      <c r="J4" s="22">
        <f t="shared" si="0"/>
        <v>164162.80061999999</v>
      </c>
      <c r="L4" s="25"/>
      <c r="M4" s="2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:XFD14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7F3B0-D8F6-4080-95CB-3E133683EFC9}">
  <dimension ref="A1:N9"/>
  <sheetViews>
    <sheetView workbookViewId="0">
      <selection activeCell="D4" sqref="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44930</v>
      </c>
      <c r="B2" s="15" t="s">
        <v>1</v>
      </c>
      <c r="C2" s="16">
        <v>3600</v>
      </c>
      <c r="D2" s="17">
        <v>27.5</v>
      </c>
      <c r="E2" s="18">
        <f>C2*D2</f>
        <v>99000</v>
      </c>
      <c r="F2" s="18">
        <f>E2*0.002</f>
        <v>198</v>
      </c>
      <c r="G2" s="18">
        <f>E2*0.00006</f>
        <v>5.94</v>
      </c>
      <c r="H2" s="18">
        <f>E2*0.00001</f>
        <v>0.9900000000000001</v>
      </c>
      <c r="I2" s="18">
        <f>(F2+G2+H2)*0.07</f>
        <v>14.345100000000002</v>
      </c>
      <c r="J2" s="18">
        <f>E2+F2+I2+G2+H2</f>
        <v>99219.275100000013</v>
      </c>
      <c r="K2" s="29"/>
      <c r="L2" s="17"/>
      <c r="M2" s="30"/>
    </row>
    <row r="3" spans="1:14" ht="14.25">
      <c r="A3" s="67">
        <v>44693</v>
      </c>
      <c r="B3" s="13" t="s">
        <v>1</v>
      </c>
      <c r="C3" s="10">
        <v>1200</v>
      </c>
      <c r="D3" s="64">
        <v>25.5</v>
      </c>
      <c r="E3" s="20">
        <f>C3*D3</f>
        <v>30600</v>
      </c>
      <c r="F3" s="20">
        <f>E3*0.002</f>
        <v>61.2</v>
      </c>
      <c r="G3" s="20">
        <f>E3*0.00006</f>
        <v>1.8360000000000001</v>
      </c>
      <c r="H3" s="20">
        <f>E3*0.00001</f>
        <v>0.30600000000000005</v>
      </c>
      <c r="I3" s="20">
        <f>(F3+G3+H3)*0.07</f>
        <v>4.4339400000000007</v>
      </c>
      <c r="J3" s="20">
        <f>E3+F3+I3+G3+H3</f>
        <v>30667.77594</v>
      </c>
    </row>
    <row r="4" spans="1:14" ht="14.25">
      <c r="B4" s="25">
        <f>(D3-D2)/D2</f>
        <v>-7.2727272727272724E-2</v>
      </c>
      <c r="C4" s="22">
        <f>SUM(C2:C3)</f>
        <v>4800</v>
      </c>
      <c r="D4" s="65">
        <f>E4/C4</f>
        <v>27</v>
      </c>
      <c r="E4" s="22">
        <f t="shared" ref="E4:J4" si="0">SUM(E2:E3)</f>
        <v>129600</v>
      </c>
      <c r="F4" s="22">
        <f t="shared" si="0"/>
        <v>259.2</v>
      </c>
      <c r="G4" s="22">
        <f t="shared" si="0"/>
        <v>7.7760000000000007</v>
      </c>
      <c r="H4" s="22">
        <f t="shared" si="0"/>
        <v>1.2960000000000003</v>
      </c>
      <c r="I4" s="22">
        <f t="shared" si="0"/>
        <v>18.779040000000002</v>
      </c>
      <c r="J4" s="22">
        <f t="shared" si="0"/>
        <v>129887.05104000002</v>
      </c>
    </row>
    <row r="5" spans="1:14" s="63" customFormat="1" ht="21.75">
      <c r="A5" s="56">
        <v>44904</v>
      </c>
      <c r="C5" s="10">
        <f>C2</f>
        <v>3600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361.08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f>C2</f>
        <v>3600</v>
      </c>
      <c r="D6" s="11">
        <f>D2</f>
        <v>27.5</v>
      </c>
      <c r="E6" s="20">
        <f>C6*D6</f>
        <v>99000</v>
      </c>
      <c r="F6" s="20">
        <f>E6*0.002</f>
        <v>198</v>
      </c>
      <c r="G6" s="20">
        <f>E6*0.00006</f>
        <v>5.94</v>
      </c>
      <c r="H6" s="20">
        <f>E6*0.00001</f>
        <v>0.9900000000000001</v>
      </c>
      <c r="I6" s="20">
        <f>(F6+G6+H6)*0.07</f>
        <v>14.345100000000002</v>
      </c>
      <c r="J6" s="20">
        <f>E6+F6+I6+G6+H6</f>
        <v>99219.275100000013</v>
      </c>
    </row>
    <row r="7" spans="1:14" s="1" customFormat="1">
      <c r="A7" s="56">
        <v>44277</v>
      </c>
      <c r="B7" s="13" t="s">
        <v>3</v>
      </c>
      <c r="C7" s="10">
        <f>C6</f>
        <v>3600</v>
      </c>
      <c r="D7" s="34">
        <v>30</v>
      </c>
      <c r="E7" s="11">
        <f>C7*D7</f>
        <v>108000</v>
      </c>
      <c r="F7" s="35">
        <f>E7*0.002</f>
        <v>216</v>
      </c>
      <c r="G7" s="34">
        <f>E7*0.000068</f>
        <v>7.3440000000000003</v>
      </c>
      <c r="H7" s="34">
        <f>E7*0.00001</f>
        <v>1.08</v>
      </c>
      <c r="I7" s="34">
        <f>(F7+G7+H7)*0.07</f>
        <v>15.709680000000002</v>
      </c>
      <c r="J7" s="34">
        <f>E7-F7-G7-H7-I7</f>
        <v>107759.86632</v>
      </c>
    </row>
    <row r="8" spans="1:14" s="1" customFormat="1">
      <c r="A8" s="56" t="s">
        <v>4</v>
      </c>
      <c r="B8" s="13"/>
      <c r="C8" s="10"/>
      <c r="D8" s="11"/>
      <c r="E8" s="20">
        <f>E7-E6</f>
        <v>9000</v>
      </c>
      <c r="F8" s="20"/>
      <c r="G8" s="20"/>
      <c r="H8" s="20"/>
      <c r="I8" s="20"/>
      <c r="J8" s="20">
        <f>J7-J6</f>
        <v>8540.5912199999875</v>
      </c>
    </row>
    <row r="9" spans="1:14" s="1" customFormat="1" ht="12">
      <c r="A9" s="50"/>
      <c r="C9" s="2"/>
      <c r="D9" s="47"/>
      <c r="J9" s="53">
        <f>J5+J8</f>
        <v>8901.6712199999874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35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2023-01-07T16:40:09Z</dcterms:modified>
  <cp:category/>
  <cp:contentStatus/>
</cp:coreProperties>
</file>