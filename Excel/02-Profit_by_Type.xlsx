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1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692" documentId="8_{9A02EB98-7EB2-4F6F-BBDA-0A28C0527E53}" xr6:coauthVersionLast="47" xr6:coauthVersionMax="47" xr10:uidLastSave="{FE38E6B5-CA3D-42A8-B0CE-788D3DC06F13}"/>
  <bookViews>
    <workbookView xWindow="-120" yWindow="-120" windowWidth="15600" windowHeight="11760" tabRatio="461" firstSheet="3" activeTab="14" xr2:uid="{00000000-000D-0000-FFFF-FFFF00000000}"/>
  </bookViews>
  <sheets>
    <sheet name="KCE" sheetId="206" r:id="rId1"/>
    <sheet name="PTTGC" sheetId="42" r:id="rId2"/>
    <sheet name="STA" sheetId="197" r:id="rId3"/>
    <sheet name="ASK" sheetId="207" r:id="rId4"/>
    <sheet name="ASP" sheetId="181" r:id="rId5"/>
    <sheet name="BANPU" sheetId="202" r:id="rId6"/>
    <sheet name="BCH" sheetId="150" r:id="rId7"/>
    <sheet name="CPNREIT" sheetId="194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07" l="1"/>
  <c r="H6" i="207"/>
  <c r="C6" i="207"/>
  <c r="C4" i="207"/>
  <c r="B4" i="207"/>
  <c r="E3" i="207"/>
  <c r="E2" i="207"/>
  <c r="C8" i="203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5" i="202"/>
  <c r="E15" i="202"/>
  <c r="E14" i="202"/>
  <c r="D9" i="202"/>
  <c r="B11" i="202"/>
  <c r="H8" i="202"/>
  <c r="C8" i="202"/>
  <c r="C4" i="202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B15" i="170"/>
  <c r="A15" i="170"/>
  <c r="C14" i="170"/>
  <c r="E14" i="170"/>
  <c r="E13" i="170"/>
  <c r="E10" i="170"/>
  <c r="E31" i="161"/>
  <c r="B19" i="170"/>
  <c r="A19" i="170"/>
  <c r="C18" i="170"/>
  <c r="E18" i="170"/>
  <c r="E17" i="170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9" i="170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9" i="196"/>
  <c r="C9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/>
  <c r="G39" i="57"/>
  <c r="G40" i="57"/>
  <c r="F39" i="57"/>
  <c r="F40" i="57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/>
  <c r="J39" i="57"/>
  <c r="J40" i="57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4"/>
  <c r="D6" i="204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E6" i="202"/>
  <c r="D6" i="202"/>
  <c r="H5" i="202"/>
  <c r="H6" i="202"/>
  <c r="G5" i="202"/>
  <c r="G6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D6" i="196"/>
  <c r="H5" i="196"/>
  <c r="H6" i="196"/>
  <c r="G5" i="196"/>
  <c r="G6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G2" i="196"/>
  <c r="G4" i="196"/>
  <c r="F2" i="196"/>
  <c r="F4" i="196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F6" i="202"/>
  <c r="I5" i="202"/>
  <c r="I6" i="202"/>
  <c r="J5" i="202"/>
  <c r="J6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I6" i="196"/>
  <c r="J5" i="196"/>
  <c r="J6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5" i="202"/>
  <c r="J15" i="202"/>
  <c r="I14" i="202"/>
  <c r="J14" i="202"/>
  <c r="C10" i="202"/>
  <c r="E10" i="202"/>
  <c r="E9" i="202"/>
  <c r="I3" i="202"/>
  <c r="J3" i="202"/>
  <c r="F4" i="202"/>
  <c r="I2" i="202"/>
  <c r="I4" i="202"/>
  <c r="J2" i="202"/>
  <c r="J4" i="202"/>
  <c r="G4" i="202"/>
  <c r="H4" i="202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C11" i="196"/>
  <c r="E11" i="196"/>
  <c r="E10" i="196"/>
  <c r="I2" i="196"/>
  <c r="I4" i="196"/>
  <c r="J2" i="196"/>
  <c r="J4" i="196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9" i="202"/>
  <c r="G9" i="202"/>
  <c r="F9" i="202"/>
  <c r="E11" i="202"/>
  <c r="H10" i="202"/>
  <c r="G10" i="202"/>
  <c r="F10" i="202"/>
  <c r="J16" i="202"/>
  <c r="J18" i="199"/>
  <c r="J33" i="197"/>
  <c r="J42" i="161"/>
  <c r="J15" i="170"/>
  <c r="J19" i="170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0" i="202"/>
  <c r="J10" i="202"/>
  <c r="I9" i="202"/>
  <c r="J9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1" i="196"/>
  <c r="J11" i="196"/>
  <c r="I10" i="196"/>
  <c r="J10" i="196"/>
  <c r="I14" i="195"/>
  <c r="J14" i="195"/>
  <c r="E22" i="206"/>
  <c r="D20" i="206"/>
  <c r="J19" i="157"/>
  <c r="J20" i="157"/>
  <c r="J11" i="202"/>
  <c r="J12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J12" i="196"/>
  <c r="J13" i="196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4" i="207" l="1"/>
  <c r="D4" i="207" s="1"/>
  <c r="H2" i="207"/>
  <c r="G2" i="207"/>
  <c r="F2" i="207"/>
  <c r="H3" i="207"/>
  <c r="G3" i="207"/>
  <c r="F3" i="207"/>
  <c r="C7" i="207"/>
  <c r="J6" i="207"/>
  <c r="E8" i="203"/>
  <c r="D8" i="203" s="1"/>
  <c r="H7" i="203"/>
  <c r="H8" i="203" s="1"/>
  <c r="G7" i="203"/>
  <c r="G8" i="203" s="1"/>
  <c r="F7" i="203"/>
  <c r="C8" i="207" l="1"/>
  <c r="E8" i="207" s="1"/>
  <c r="E7" i="207"/>
  <c r="I3" i="207"/>
  <c r="J3" i="207"/>
  <c r="F4" i="207"/>
  <c r="I2" i="207"/>
  <c r="I4" i="207" s="1"/>
  <c r="J2" i="207"/>
  <c r="J4" i="207" s="1"/>
  <c r="G4" i="207"/>
  <c r="H4" i="207"/>
  <c r="F8" i="203"/>
  <c r="I7" i="203"/>
  <c r="I8" i="203" s="1"/>
  <c r="J7" i="203"/>
  <c r="J8" i="203" s="1"/>
  <c r="H7" i="207" l="1"/>
  <c r="G7" i="207"/>
  <c r="F7" i="207"/>
  <c r="E9" i="207"/>
  <c r="H8" i="207"/>
  <c r="G8" i="207"/>
  <c r="F8" i="207"/>
  <c r="I8" i="207" l="1"/>
  <c r="J8" i="207"/>
  <c r="I7" i="207"/>
  <c r="J7" i="207"/>
  <c r="J9" i="207" l="1"/>
  <c r="J10" i="207" s="1"/>
</calcChain>
</file>

<file path=xl/sharedStrings.xml><?xml version="1.0" encoding="utf-8"?>
<sst xmlns="http://schemas.openxmlformats.org/spreadsheetml/2006/main" count="434" uniqueCount="35">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</sst>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6.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6.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6.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4FF-B02C-4578-B01E-5589DADB9D1A}">
  <dimension ref="A1:N10"/>
  <sheetViews>
    <sheetView topLeftCell="A6" workbookViewId="0">
      <selection activeCell="A12" sqref="A12:XFD1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44973</v>
      </c>
      <c r="B2" s="15" t="s">
        <v>1</v>
      </c>
      <c r="C2" s="16">
        <v>4500</v>
      </c>
      <c r="D2" s="41">
        <v>31</v>
      </c>
      <c r="E2" s="18">
        <f>C2*D2</f>
        <v>139500</v>
      </c>
      <c r="F2" s="18">
        <f>E2*0.002</f>
        <v>279</v>
      </c>
      <c r="G2" s="18">
        <f>E2*0.00006</f>
        <v>8.370000000000001</v>
      </c>
      <c r="H2" s="18">
        <f>E2*0.00001</f>
        <v>1.395</v>
      </c>
      <c r="I2" s="18">
        <f>(F2+G2+H2)*0.07</f>
        <v>20.213550000000001</v>
      </c>
      <c r="J2" s="18">
        <f>E2+F2+I2+G2+H2</f>
        <v>139808.97854999997</v>
      </c>
    </row>
    <row r="3" spans="1:14" s="13" customFormat="1">
      <c r="A3" s="67">
        <v>44473</v>
      </c>
      <c r="B3" s="13" t="s">
        <v>1</v>
      </c>
      <c r="C3" s="10">
        <v>4500</v>
      </c>
      <c r="D3" s="11">
        <v>29</v>
      </c>
      <c r="E3" s="20">
        <f>C3*D3</f>
        <v>130500</v>
      </c>
      <c r="F3" s="20">
        <f>E3*0.002</f>
        <v>261</v>
      </c>
      <c r="G3" s="20">
        <f>E3*0.00006</f>
        <v>7.83</v>
      </c>
      <c r="H3" s="20">
        <f>E3*0.00001</f>
        <v>1.3050000000000002</v>
      </c>
      <c r="I3" s="20">
        <f>(F3+G3+H3)*0.07</f>
        <v>18.90945</v>
      </c>
      <c r="J3" s="20">
        <f>E3+F3+I3+G3+H3</f>
        <v>130789.04445</v>
      </c>
      <c r="K3" s="32"/>
      <c r="L3" s="11"/>
      <c r="M3" s="12"/>
    </row>
    <row r="4" spans="1:14" s="63" customFormat="1" ht="21.75">
      <c r="A4" s="56"/>
      <c r="B4" s="76">
        <f>(D3-D2)/D2</f>
        <v>-6.4516129032258063E-2</v>
      </c>
      <c r="C4" s="10">
        <f>SUM(C2:C3)</f>
        <v>9000</v>
      </c>
      <c r="D4" s="64">
        <f>E4/C4</f>
        <v>30</v>
      </c>
      <c r="E4" s="10">
        <f t="shared" ref="E4:J4" si="0">SUM(E2:E3)</f>
        <v>270000</v>
      </c>
      <c r="F4" s="10">
        <f t="shared" si="0"/>
        <v>540</v>
      </c>
      <c r="G4" s="10">
        <f t="shared" si="0"/>
        <v>16.200000000000003</v>
      </c>
      <c r="H4" s="10">
        <f t="shared" si="0"/>
        <v>2.7</v>
      </c>
      <c r="I4" s="10">
        <f t="shared" si="0"/>
        <v>39.123000000000005</v>
      </c>
      <c r="J4" s="10">
        <f t="shared" si="0"/>
        <v>270598.02299999999</v>
      </c>
      <c r="K4" s="11"/>
      <c r="L4" s="13"/>
      <c r="M4" s="62"/>
      <c r="N4" s="62"/>
    </row>
    <row r="6" spans="1:14" s="63" customFormat="1" ht="21.75">
      <c r="A6" s="56">
        <v>44985</v>
      </c>
      <c r="C6" s="10">
        <f>C2</f>
        <v>4500</v>
      </c>
      <c r="D6" s="64">
        <v>1.44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6480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4500</v>
      </c>
      <c r="D7" s="46">
        <f>D2</f>
        <v>31</v>
      </c>
      <c r="E7" s="20">
        <f>C7*D7</f>
        <v>139500</v>
      </c>
      <c r="F7" s="20">
        <f>E7*0.002</f>
        <v>279</v>
      </c>
      <c r="G7" s="20">
        <f>E7*0.00006</f>
        <v>8.370000000000001</v>
      </c>
      <c r="H7" s="20">
        <f>E7*0.00001</f>
        <v>1.395</v>
      </c>
      <c r="I7" s="20">
        <f>(F7+G7+H7)*0.07</f>
        <v>20.213550000000001</v>
      </c>
      <c r="J7" s="20">
        <f>E7+F7+I7+G7+H7</f>
        <v>139808.97854999997</v>
      </c>
    </row>
    <row r="8" spans="1:14" s="1" customFormat="1">
      <c r="A8" s="56">
        <v>44277</v>
      </c>
      <c r="B8" s="13" t="s">
        <v>3</v>
      </c>
      <c r="C8" s="10">
        <f>C7</f>
        <v>4500</v>
      </c>
      <c r="D8" s="34">
        <v>31.25</v>
      </c>
      <c r="E8" s="11">
        <f>C8*D8</f>
        <v>140625</v>
      </c>
      <c r="F8" s="35">
        <f>E8*0.002</f>
        <v>281.25</v>
      </c>
      <c r="G8" s="34">
        <f>E8*0.000068</f>
        <v>9.5625</v>
      </c>
      <c r="H8" s="34">
        <f>E8*0.00001</f>
        <v>1.4062500000000002</v>
      </c>
      <c r="I8" s="34">
        <f>(F8+G8+H8)*0.07</f>
        <v>20.455312500000002</v>
      </c>
      <c r="J8" s="34">
        <f>E8-F8-G8-H8-I8</f>
        <v>140312.32593749999</v>
      </c>
    </row>
    <row r="9" spans="1:14" s="1" customFormat="1">
      <c r="A9" s="56" t="s">
        <v>4</v>
      </c>
      <c r="B9" s="13"/>
      <c r="C9" s="10"/>
      <c r="D9" s="11"/>
      <c r="E9" s="20">
        <f>E8-E7</f>
        <v>1125</v>
      </c>
      <c r="F9" s="20"/>
      <c r="G9" s="20"/>
      <c r="H9" s="20"/>
      <c r="I9" s="20"/>
      <c r="J9" s="20">
        <f>J8-J7</f>
        <v>503.34738750001998</v>
      </c>
    </row>
    <row r="10" spans="1:14" s="1" customFormat="1" ht="12">
      <c r="A10" s="50"/>
      <c r="D10" s="47"/>
      <c r="J10" s="53">
        <f>J6+J9</f>
        <v>6983.34738750002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topLeftCell="A4"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6.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6">
        <v>44972</v>
      </c>
      <c r="B5" s="13" t="s">
        <v>1</v>
      </c>
      <c r="C5" s="10">
        <v>1200</v>
      </c>
      <c r="D5" s="46">
        <v>27.25</v>
      </c>
      <c r="E5" s="20">
        <f>C5*D5</f>
        <v>32700</v>
      </c>
      <c r="F5" s="20">
        <f>E5*0.002</f>
        <v>65.400000000000006</v>
      </c>
      <c r="G5" s="20">
        <f>E5*0.00006</f>
        <v>1.962</v>
      </c>
      <c r="H5" s="20">
        <f>E5*0.00001</f>
        <v>0.32700000000000001</v>
      </c>
      <c r="I5" s="20">
        <f>(F5+G5+H5)*0.07</f>
        <v>4.7382300000000006</v>
      </c>
      <c r="J5" s="20">
        <f>E5+F5+I5+G5+H5</f>
        <v>32772.427230000001</v>
      </c>
    </row>
    <row r="6" spans="1:13" s="1" customFormat="1">
      <c r="A6" s="56"/>
      <c r="B6" s="12">
        <f>(D5-D4)/D4</f>
        <v>-0.26845637583892618</v>
      </c>
      <c r="C6" s="10">
        <f>SUM(C4:C5)</f>
        <v>6000</v>
      </c>
      <c r="D6" s="11">
        <f>E6/C6</f>
        <v>35.25</v>
      </c>
      <c r="E6" s="10">
        <f t="shared" ref="E6:J6" si="1">SUM(E4:E5)</f>
        <v>211500</v>
      </c>
      <c r="F6" s="10">
        <f t="shared" si="1"/>
        <v>423</v>
      </c>
      <c r="G6" s="10">
        <f t="shared" si="1"/>
        <v>12.69</v>
      </c>
      <c r="H6" s="10">
        <f t="shared" si="1"/>
        <v>2.1150000000000002</v>
      </c>
      <c r="I6" s="10">
        <f t="shared" si="1"/>
        <v>30.646350000000005</v>
      </c>
      <c r="J6" s="10">
        <f t="shared" si="1"/>
        <v>211968.45134999999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tabSelected="1" workbookViewId="0">
      <selection activeCell="L6" sqref="L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44.25</v>
      </c>
      <c r="E7" s="62">
        <f>C7*D7</f>
        <v>53100</v>
      </c>
      <c r="F7" s="20">
        <f>E7*0.002</f>
        <v>106.2</v>
      </c>
      <c r="G7" s="20">
        <f>E7*0.00006</f>
        <v>3.1859999999999999</v>
      </c>
      <c r="H7" s="20">
        <f>E7*0.00001</f>
        <v>0.53100000000000003</v>
      </c>
      <c r="I7" s="20">
        <f>(F7+G7+H7)*0.07</f>
        <v>7.6941900000000008</v>
      </c>
      <c r="J7" s="62">
        <f>E7+F7+I7+G7+H7</f>
        <v>53217.611190000003</v>
      </c>
    </row>
    <row r="8" spans="1:13">
      <c r="A8" s="56"/>
      <c r="B8" s="12">
        <f>(D7-D6)/D6</f>
        <v>-0.20270270270270271</v>
      </c>
      <c r="C8" s="10">
        <f>SUM(C6:C7)</f>
        <v>5400</v>
      </c>
      <c r="D8" s="11">
        <f>E8/C8</f>
        <v>53</v>
      </c>
      <c r="E8" s="62">
        <f t="shared" ref="E8:J8" si="2">SUM(E6:E7)</f>
        <v>286200</v>
      </c>
      <c r="F8" s="10">
        <f t="shared" si="2"/>
        <v>572.40000000000009</v>
      </c>
      <c r="G8" s="10">
        <f t="shared" si="2"/>
        <v>17.172000000000001</v>
      </c>
      <c r="H8" s="10">
        <f t="shared" si="2"/>
        <v>2.8620000000000005</v>
      </c>
      <c r="I8" s="10">
        <f t="shared" si="2"/>
        <v>41.470380000000006</v>
      </c>
      <c r="J8" s="62">
        <f t="shared" si="2"/>
        <v>286833.90438000002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E15" sqref="E15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workbookViewId="0">
      <selection activeCell="C10" sqref="C1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6">
        <v>44676</v>
      </c>
      <c r="B7" s="13" t="s">
        <v>1</v>
      </c>
      <c r="C7" s="10">
        <v>1200</v>
      </c>
      <c r="D7" s="46">
        <v>17</v>
      </c>
      <c r="E7" s="20">
        <f>C7*D7</f>
        <v>20400</v>
      </c>
      <c r="F7" s="20">
        <f>E7*0.002</f>
        <v>40.800000000000004</v>
      </c>
      <c r="G7" s="20">
        <f>E7*0.00006</f>
        <v>1.224</v>
      </c>
      <c r="H7" s="20">
        <f>E7*0.00001</f>
        <v>0.20400000000000001</v>
      </c>
      <c r="I7" s="20">
        <f>(F7+G7+H7)*0.07</f>
        <v>2.9559600000000006</v>
      </c>
      <c r="J7" s="20">
        <f>E7+F7+I7+G7+H7</f>
        <v>20445.183959999998</v>
      </c>
    </row>
    <row r="8" spans="1:13" s="1" customFormat="1">
      <c r="A8" s="56"/>
      <c r="B8" s="12">
        <f>(D7-D6)/D6</f>
        <v>-0.31451612903225806</v>
      </c>
      <c r="C8" s="10">
        <f>SUM(C6:C7)</f>
        <v>7200</v>
      </c>
      <c r="D8" s="11">
        <f>E8/C8</f>
        <v>23.5</v>
      </c>
      <c r="E8" s="10">
        <f t="shared" ref="E8:J8" si="2">SUM(E6:E7)</f>
        <v>169200</v>
      </c>
      <c r="F8" s="10">
        <f t="shared" si="2"/>
        <v>338.40000000000003</v>
      </c>
      <c r="G8" s="10">
        <f t="shared" si="2"/>
        <v>10.152000000000001</v>
      </c>
      <c r="H8" s="10">
        <f t="shared" si="2"/>
        <v>1.6919999999999999</v>
      </c>
      <c r="I8" s="10">
        <f t="shared" si="2"/>
        <v>24.517080000000004</v>
      </c>
      <c r="J8" s="10">
        <f t="shared" si="2"/>
        <v>169574.76108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2023-02-16T14:32:14Z</dcterms:modified>
  <cp:category/>
  <cp:contentStatus/>
</cp:coreProperties>
</file>