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01" documentId="8_{9A02EB98-7EB2-4F6F-BBDA-0A28C0527E53}" xr6:coauthVersionLast="47" xr6:coauthVersionMax="47" xr10:uidLastSave="{21C59231-C952-4EF4-A3B7-FF26B688B366}"/>
  <bookViews>
    <workbookView xWindow="-120" yWindow="-120" windowWidth="15600" windowHeight="11760" tabRatio="461" firstSheet="22" activeTab="1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CH" sheetId="150" r:id="rId5"/>
    <sheet name="CPNREIT" sheetId="194" r:id="rId6"/>
    <sheet name="DCC" sheetId="185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JMART" sheetId="200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99" l="1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C4" i="200"/>
  <c r="B4" i="200"/>
  <c r="E3" i="200"/>
  <c r="E2" i="200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5" i="196"/>
  <c r="H4" i="196"/>
  <c r="C4" i="196"/>
  <c r="E2" i="196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8" i="199" l="1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E4" i="200"/>
  <c r="H2" i="200"/>
  <c r="G2" i="200"/>
  <c r="F2" i="200"/>
  <c r="H3" i="200"/>
  <c r="G3" i="200"/>
  <c r="F3" i="200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G2" i="196"/>
  <c r="F2" i="196"/>
  <c r="C5" i="196"/>
  <c r="J4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17" i="199" l="1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3" i="200"/>
  <c r="J3" i="200"/>
  <c r="F4" i="200"/>
  <c r="I2" i="200"/>
  <c r="I4" i="200" s="1"/>
  <c r="J2" i="200"/>
  <c r="J4" i="200" s="1"/>
  <c r="G4" i="200"/>
  <c r="H4" i="200"/>
  <c r="D4" i="200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6" i="196"/>
  <c r="E6" i="196" s="1"/>
  <c r="E5" i="196"/>
  <c r="I2" i="196"/>
  <c r="J2" i="196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18" i="199" l="1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5" i="196"/>
  <c r="G5" i="196"/>
  <c r="F5" i="196"/>
  <c r="E7" i="196"/>
  <c r="H6" i="196"/>
  <c r="G6" i="196"/>
  <c r="F6" i="196"/>
  <c r="H10" i="195"/>
  <c r="G10" i="195"/>
  <c r="F10" i="195"/>
  <c r="J22" i="46"/>
  <c r="J24" i="46" s="1"/>
  <c r="J26" i="46" s="1"/>
  <c r="I22" i="46"/>
  <c r="I24" i="46" s="1"/>
  <c r="I26" i="46" s="1"/>
  <c r="D15" i="199" l="1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6" i="196"/>
  <c r="J6" i="196"/>
  <c r="I5" i="196"/>
  <c r="J5" i="196"/>
  <c r="I10" i="195"/>
  <c r="J10" i="195"/>
  <c r="D20" i="198" l="1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7" i="196"/>
  <c r="J8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<sst xmlns="http://schemas.openxmlformats.org/spreadsheetml/2006/main" count="405" uniqueCount="35">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</sst>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10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11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18.3</v>
      </c>
      <c r="E7" s="94">
        <f>C7*D7</f>
        <v>183000</v>
      </c>
      <c r="F7" s="94">
        <f>E7*0.002</f>
        <v>366</v>
      </c>
      <c r="G7" s="94">
        <f>E7*0.000068</f>
        <v>12.443999999999999</v>
      </c>
      <c r="H7" s="94">
        <f>E7*0.00001</f>
        <v>1.83</v>
      </c>
      <c r="I7" s="94">
        <f>(F7+G7+H7)*0.07</f>
        <v>26.619180000000004</v>
      </c>
      <c r="J7" s="94">
        <f>E7+F7+I7+G7+H7</f>
        <v>183406.89317999998</v>
      </c>
    </row>
    <row r="8" spans="1:14" s="63" customFormat="1" ht="21.75">
      <c r="A8" s="77"/>
      <c r="B8" s="81">
        <f>(D7-D6)/D6</f>
        <v>-3.1746031746031633E-2</v>
      </c>
      <c r="C8" s="79">
        <f>SUM(C6:C7)</f>
        <v>30000</v>
      </c>
      <c r="D8" s="80">
        <f>E8/C8</f>
        <v>18.7</v>
      </c>
      <c r="E8" s="79">
        <f t="shared" ref="E8:J8" si="2">SUM(E6:E7)</f>
        <v>561000</v>
      </c>
      <c r="F8" s="79">
        <f t="shared" si="2"/>
        <v>1122</v>
      </c>
      <c r="G8" s="79">
        <f t="shared" si="2"/>
        <v>37.372</v>
      </c>
      <c r="H8" s="79">
        <f t="shared" si="2"/>
        <v>5.61</v>
      </c>
      <c r="I8" s="79">
        <f t="shared" si="2"/>
        <v>81.548740000000009</v>
      </c>
      <c r="J8" s="79">
        <f t="shared" si="2"/>
        <v>562246.53073999996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6"/>
  <sheetViews>
    <sheetView workbookViewId="0">
      <selection activeCell="B2" sqref="B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>
      <c r="A3" s="54"/>
      <c r="B3" s="55"/>
      <c r="C3" s="51"/>
      <c r="D3" s="52"/>
      <c r="E3" s="55"/>
      <c r="F3" s="55"/>
      <c r="G3" s="55"/>
      <c r="H3" s="55"/>
      <c r="I3" s="55"/>
      <c r="J3" s="55"/>
    </row>
    <row r="4" spans="1:14" s="63" customFormat="1" ht="21.75">
      <c r="A4" s="56">
        <v>44799</v>
      </c>
      <c r="C4" s="10">
        <f>C2</f>
        <v>2400</v>
      </c>
      <c r="D4" s="64">
        <v>0.4</v>
      </c>
      <c r="E4" s="60">
        <v>0</v>
      </c>
      <c r="F4" s="32">
        <v>0</v>
      </c>
      <c r="G4" s="60">
        <v>0</v>
      </c>
      <c r="H4" s="11">
        <f>G4-E4</f>
        <v>0</v>
      </c>
      <c r="I4" s="12">
        <v>0</v>
      </c>
      <c r="J4" s="61">
        <f>C4*D4*0.9</f>
        <v>864</v>
      </c>
      <c r="K4" s="11"/>
      <c r="L4" s="13"/>
      <c r="M4" s="62"/>
      <c r="N4" s="62"/>
    </row>
    <row r="5" spans="1:14">
      <c r="A5" s="56">
        <v>44242</v>
      </c>
      <c r="B5" s="13" t="s">
        <v>1</v>
      </c>
      <c r="C5" s="10">
        <f>C4</f>
        <v>2400</v>
      </c>
      <c r="D5" s="46">
        <f>D2</f>
        <v>44</v>
      </c>
      <c r="E5" s="20">
        <f>C5*D5</f>
        <v>105600</v>
      </c>
      <c r="F5" s="20">
        <f>E5*0.002</f>
        <v>211.20000000000002</v>
      </c>
      <c r="G5" s="20">
        <f>E5*0.00006</f>
        <v>6.3360000000000003</v>
      </c>
      <c r="H5" s="20">
        <f>E5*0.00001</f>
        <v>1.056</v>
      </c>
      <c r="I5" s="20">
        <f>(F5+G5+H5)*0.07</f>
        <v>15.301440000000005</v>
      </c>
      <c r="J5" s="20">
        <f>E5+F5+I5+G5+H5</f>
        <v>105833.89343999999</v>
      </c>
    </row>
    <row r="6" spans="1:14">
      <c r="A6" s="56">
        <v>44277</v>
      </c>
      <c r="B6" s="13" t="s">
        <v>3</v>
      </c>
      <c r="C6" s="10">
        <f>C5</f>
        <v>2400</v>
      </c>
      <c r="D6" s="34">
        <v>45</v>
      </c>
      <c r="E6" s="11">
        <f>C6*D6</f>
        <v>108000</v>
      </c>
      <c r="F6" s="35">
        <f>E6*0.002</f>
        <v>216</v>
      </c>
      <c r="G6" s="34">
        <f>E6*0.000068</f>
        <v>7.3440000000000003</v>
      </c>
      <c r="H6" s="34">
        <f>E6*0.00001</f>
        <v>1.08</v>
      </c>
      <c r="I6" s="34">
        <f>(F6+G6+H6)*0.07</f>
        <v>15.709680000000002</v>
      </c>
      <c r="J6" s="34">
        <f>E6-F6-G6-H6-I6</f>
        <v>107759.86632</v>
      </c>
    </row>
    <row r="7" spans="1:14">
      <c r="A7" s="56" t="s">
        <v>4</v>
      </c>
      <c r="B7" s="13"/>
      <c r="C7" s="10"/>
      <c r="D7" s="11"/>
      <c r="E7" s="20">
        <f>E6-E5</f>
        <v>2400</v>
      </c>
      <c r="F7" s="20"/>
      <c r="G7" s="20"/>
      <c r="H7" s="20"/>
      <c r="I7" s="20"/>
      <c r="J7" s="20">
        <f>J6-J5</f>
        <v>1925.9728800000157</v>
      </c>
    </row>
    <row r="8" spans="1:14">
      <c r="J8" s="53">
        <f>J4+J7</f>
        <v>2789.9728800000157</v>
      </c>
    </row>
    <row r="9" spans="1:14" s="78" customFormat="1">
      <c r="A9" s="82"/>
      <c r="B9" s="83"/>
      <c r="C9" s="84"/>
      <c r="D9" s="85"/>
      <c r="E9" s="86"/>
      <c r="F9" s="86"/>
      <c r="G9" s="86"/>
      <c r="H9" s="86"/>
      <c r="I9" s="86"/>
      <c r="J9" s="86"/>
    </row>
    <row r="10" spans="1:14" s="13" customFormat="1">
      <c r="A10" s="49"/>
      <c r="B10" s="15"/>
      <c r="C10" s="16"/>
      <c r="D10" s="26"/>
      <c r="E10" s="17"/>
      <c r="F10" s="27"/>
      <c r="G10" s="26"/>
      <c r="H10" s="26"/>
      <c r="I10" s="26"/>
      <c r="J10" s="26"/>
    </row>
    <row r="11" spans="1:14" s="31" customFormat="1" ht="18.75">
      <c r="A11" s="28"/>
      <c r="B11" s="30"/>
      <c r="C11" s="16"/>
      <c r="D11" s="17"/>
      <c r="E11" s="18"/>
      <c r="F11" s="18"/>
      <c r="G11" s="18"/>
      <c r="H11" s="18"/>
      <c r="I11" s="18"/>
      <c r="J11" s="18"/>
      <c r="K11" s="32"/>
      <c r="L11" s="12"/>
      <c r="M11" s="12"/>
    </row>
    <row r="12" spans="1:14" s="21" customFormat="1">
      <c r="A12" s="49"/>
      <c r="B12" s="15"/>
      <c r="C12" s="16"/>
      <c r="D12" s="17"/>
      <c r="E12" s="18"/>
      <c r="F12" s="18"/>
      <c r="G12" s="18"/>
      <c r="H12" s="18"/>
      <c r="I12" s="18"/>
      <c r="J12" s="18"/>
      <c r="L12" s="25"/>
    </row>
    <row r="13" spans="1:14" s="13" customFormat="1">
      <c r="A13" s="49"/>
      <c r="B13" s="15"/>
      <c r="C13" s="16"/>
      <c r="D13" s="26"/>
      <c r="E13" s="17"/>
      <c r="F13" s="27"/>
      <c r="G13" s="26"/>
      <c r="H13" s="26"/>
      <c r="I13" s="26"/>
      <c r="J13" s="26"/>
    </row>
    <row r="14" spans="1:14" s="31" customFormat="1" ht="18.75">
      <c r="A14" s="28"/>
      <c r="B14" s="30"/>
      <c r="C14" s="16"/>
      <c r="D14" s="17"/>
      <c r="E14" s="18"/>
      <c r="F14" s="18"/>
      <c r="G14" s="18"/>
      <c r="H14" s="18"/>
      <c r="I14" s="18"/>
      <c r="J14" s="18"/>
      <c r="K14" s="32"/>
      <c r="L14" s="12"/>
      <c r="M14" s="12"/>
    </row>
    <row r="15" spans="1:14" ht="12"/>
    <row r="16" spans="1:14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6F41-4A4D-49E3-9DEE-4D1E17C59DB3}">
  <dimension ref="A1:M4"/>
  <sheetViews>
    <sheetView tabSelected="1" workbookViewId="0">
      <selection activeCell="K8" sqref="K8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44915</v>
      </c>
      <c r="B2" s="15" t="s">
        <v>1</v>
      </c>
      <c r="C2" s="16">
        <v>3000</v>
      </c>
      <c r="D2" s="40">
        <v>40</v>
      </c>
      <c r="E2" s="18">
        <f>C2*D2</f>
        <v>120000</v>
      </c>
      <c r="F2" s="18">
        <f>E2*0.002</f>
        <v>240</v>
      </c>
      <c r="G2" s="18">
        <f>E2*0.00006</f>
        <v>7.2</v>
      </c>
      <c r="H2" s="18">
        <f>E2*0.00001</f>
        <v>1.2000000000000002</v>
      </c>
      <c r="I2" s="18">
        <f>(F2+G2+H2)*0.07</f>
        <v>17.388000000000002</v>
      </c>
      <c r="J2" s="18">
        <f>E2+F2+I2+G2+H2</f>
        <v>120265.788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1200</v>
      </c>
      <c r="D3" s="64">
        <v>36.5</v>
      </c>
      <c r="E3" s="20">
        <f>C3*D3</f>
        <v>43800</v>
      </c>
      <c r="F3" s="20">
        <f>E3*0.002</f>
        <v>87.600000000000009</v>
      </c>
      <c r="G3" s="20">
        <f>E3*0.00006</f>
        <v>2.6280000000000001</v>
      </c>
      <c r="H3" s="20">
        <f>E3*0.00001</f>
        <v>0.43800000000000006</v>
      </c>
      <c r="I3" s="20">
        <f>(F3+G3+H3)*0.07</f>
        <v>6.3466200000000015</v>
      </c>
      <c r="J3" s="20">
        <f>E3+F3+I3+G3+H3</f>
        <v>43897.012619999994</v>
      </c>
      <c r="K3" s="32"/>
      <c r="L3" s="11"/>
      <c r="M3" s="12"/>
    </row>
    <row r="4" spans="1:13">
      <c r="B4" s="25">
        <f>(D3-D2)/D2</f>
        <v>-8.7499999999999994E-2</v>
      </c>
      <c r="C4" s="22">
        <f>SUM(C2:C3)</f>
        <v>4200</v>
      </c>
      <c r="D4" s="65">
        <f>E4/C4</f>
        <v>39</v>
      </c>
      <c r="E4" s="22">
        <f t="shared" ref="E4:J4" si="0">SUM(E2:E3)</f>
        <v>163800</v>
      </c>
      <c r="F4" s="22">
        <f t="shared" si="0"/>
        <v>327.60000000000002</v>
      </c>
      <c r="G4" s="22">
        <f t="shared" si="0"/>
        <v>9.8279999999999994</v>
      </c>
      <c r="H4" s="22">
        <f t="shared" si="0"/>
        <v>1.6380000000000003</v>
      </c>
      <c r="I4" s="22">
        <f t="shared" si="0"/>
        <v>23.734620000000003</v>
      </c>
      <c r="J4" s="22">
        <f t="shared" si="0"/>
        <v>164162.80061999999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:XFD9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33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2023-01-03T08:39:20Z</dcterms:modified>
  <cp:category/>
  <cp:contentStatus/>
</cp:coreProperties>
</file>