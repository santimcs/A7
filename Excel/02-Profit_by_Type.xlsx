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02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552" documentId="8_{9A02EB98-7EB2-4F6F-BBDA-0A28C0527E53}" xr6:coauthVersionLast="47" xr6:coauthVersionMax="47" xr10:uidLastSave="{41CB907D-114C-4410-BC75-BAD1177BF08C}"/>
  <bookViews>
    <workbookView xWindow="-120" yWindow="-120" windowWidth="15600" windowHeight="11760" tabRatio="461" firstSheet="7" activeTab="7" xr2:uid="{00000000-000D-0000-FFFF-FFFF00000000}"/>
  </bookViews>
  <sheets>
    <sheet name="KCE (2)" sheetId="206" r:id="rId1"/>
    <sheet name="KCE" sheetId="198" r:id="rId2"/>
    <sheet name="PTTGC" sheetId="42" r:id="rId3"/>
    <sheet name="STA" sheetId="197" r:id="rId4"/>
    <sheet name="ASP" sheetId="181" r:id="rId5"/>
    <sheet name="BANPU" sheetId="202" r:id="rId6"/>
    <sheet name="BCH" sheetId="150" r:id="rId7"/>
    <sheet name="CPNREIT" sheetId="194" r:id="rId8"/>
    <sheet name="DCC" sheetId="185" r:id="rId9"/>
    <sheet name="DIF" sheetId="57" r:id="rId10"/>
    <sheet name="DOHOME" sheetId="170" r:id="rId11"/>
    <sheet name="GVREIT" sheetId="195" r:id="rId12"/>
    <sheet name="IVL" sheetId="196" r:id="rId13"/>
    <sheet name="JASIF" sheetId="46" r:id="rId14"/>
    <sheet name="JMART" sheetId="204" r:id="rId15"/>
    <sheet name="JMT" sheetId="205" r:id="rId16"/>
    <sheet name="MCS" sheetId="20" r:id="rId17"/>
    <sheet name="NER" sheetId="117" r:id="rId18"/>
    <sheet name="ORI" sheetId="184" r:id="rId19"/>
    <sheet name="RCL" sheetId="161" r:id="rId20"/>
    <sheet name="SCC" sheetId="152" r:id="rId21"/>
    <sheet name="SCCC" sheetId="177" r:id="rId22"/>
    <sheet name="SENA" sheetId="183" r:id="rId23"/>
    <sheet name="SINGER" sheetId="203" r:id="rId24"/>
    <sheet name="SYNEX" sheetId="199" r:id="rId25"/>
    <sheet name="TFFIF" sheetId="110" r:id="rId26"/>
    <sheet name="TMT" sheetId="145" r:id="rId27"/>
    <sheet name="WHAIR" sheetId="157" r:id="rId28"/>
    <sheet name="WHART" sheetId="171" r:id="rId29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94" l="1"/>
  <c r="B12" i="194"/>
  <c r="E11" i="194"/>
  <c r="C34" i="161"/>
  <c r="B34" i="161"/>
  <c r="E33" i="161"/>
  <c r="C34" i="206"/>
  <c r="B34" i="206"/>
  <c r="E33" i="206"/>
  <c r="B31" i="206"/>
  <c r="C30" i="206"/>
  <c r="E29" i="206"/>
  <c r="C6" i="202"/>
  <c r="B6" i="202"/>
  <c r="E5" i="202"/>
  <c r="E10" i="150"/>
  <c r="B12" i="150"/>
  <c r="A12" i="150"/>
  <c r="C11" i="150"/>
  <c r="E11" i="150" s="1"/>
  <c r="B27" i="206"/>
  <c r="C26" i="206"/>
  <c r="B38" i="206"/>
  <c r="C37" i="206"/>
  <c r="E36" i="206"/>
  <c r="E25" i="206"/>
  <c r="E23" i="206"/>
  <c r="E21" i="206"/>
  <c r="E19" i="206"/>
  <c r="E17" i="206"/>
  <c r="E15" i="206"/>
  <c r="C14" i="206"/>
  <c r="C16" i="206" s="1"/>
  <c r="C18" i="206" s="1"/>
  <c r="C20" i="206" s="1"/>
  <c r="C22" i="206" s="1"/>
  <c r="C24" i="206" s="1"/>
  <c r="B14" i="206"/>
  <c r="E13" i="206"/>
  <c r="E12" i="206"/>
  <c r="E10" i="206"/>
  <c r="C9" i="206"/>
  <c r="C11" i="206" s="1"/>
  <c r="B9" i="206"/>
  <c r="E8" i="206"/>
  <c r="E7" i="206"/>
  <c r="E6" i="206"/>
  <c r="E5" i="206"/>
  <c r="C4" i="206"/>
  <c r="B4" i="206"/>
  <c r="E3" i="206"/>
  <c r="E2" i="206"/>
  <c r="D17" i="157"/>
  <c r="C16" i="157"/>
  <c r="C17" i="157"/>
  <c r="E13" i="157"/>
  <c r="C6" i="205"/>
  <c r="B6" i="205"/>
  <c r="E5" i="205"/>
  <c r="B12" i="196"/>
  <c r="D10" i="196"/>
  <c r="C10" i="196"/>
  <c r="C6" i="196"/>
  <c r="B6" i="196"/>
  <c r="E5" i="196"/>
  <c r="C4" i="205"/>
  <c r="B4" i="205"/>
  <c r="E3" i="205"/>
  <c r="E2" i="205"/>
  <c r="E20" i="197"/>
  <c r="E19" i="197"/>
  <c r="E16" i="197"/>
  <c r="E17" i="197" s="1"/>
  <c r="C10" i="194"/>
  <c r="B10" i="194"/>
  <c r="E9" i="194"/>
  <c r="C12" i="203"/>
  <c r="B12" i="203"/>
  <c r="E11" i="203"/>
  <c r="C10" i="203"/>
  <c r="B10" i="203"/>
  <c r="E9" i="203"/>
  <c r="A6" i="203"/>
  <c r="D6" i="203"/>
  <c r="C8" i="203"/>
  <c r="B8" i="203"/>
  <c r="E7" i="203"/>
  <c r="E6" i="203"/>
  <c r="E6" i="204"/>
  <c r="E7" i="204"/>
  <c r="E8" i="204"/>
  <c r="B4" i="204"/>
  <c r="C3" i="204"/>
  <c r="E3" i="204" s="1"/>
  <c r="E2" i="204"/>
  <c r="C12" i="197"/>
  <c r="E12" i="197" s="1"/>
  <c r="B4" i="203"/>
  <c r="C3" i="203"/>
  <c r="E3" i="203" s="1"/>
  <c r="E2" i="203"/>
  <c r="E9" i="195"/>
  <c r="C28" i="42"/>
  <c r="B28" i="42"/>
  <c r="E27" i="42"/>
  <c r="E7" i="195"/>
  <c r="B25" i="42"/>
  <c r="C24" i="42"/>
  <c r="E24" i="42" s="1"/>
  <c r="C4" i="196"/>
  <c r="B4" i="196"/>
  <c r="E3" i="196"/>
  <c r="C15" i="202"/>
  <c r="E15" i="202" s="1"/>
  <c r="E14" i="202"/>
  <c r="D9" i="202"/>
  <c r="B11" i="202" s="1"/>
  <c r="H8" i="202"/>
  <c r="C8" i="202"/>
  <c r="C4" i="202"/>
  <c r="B4" i="202"/>
  <c r="E3" i="202"/>
  <c r="E2" i="202"/>
  <c r="B21" i="199"/>
  <c r="C21" i="199"/>
  <c r="B18" i="199"/>
  <c r="C17" i="199"/>
  <c r="E17" i="199" s="1"/>
  <c r="C8" i="145"/>
  <c r="B8" i="145"/>
  <c r="E7" i="145"/>
  <c r="C11" i="145"/>
  <c r="E11" i="145" s="1"/>
  <c r="C27" i="197"/>
  <c r="E27" i="197" s="1"/>
  <c r="C31" i="197"/>
  <c r="E31" i="197" s="1"/>
  <c r="E20" i="199"/>
  <c r="E21" i="199" s="1"/>
  <c r="E6" i="110"/>
  <c r="C5" i="110"/>
  <c r="B42" i="161"/>
  <c r="A42" i="161"/>
  <c r="C41" i="161"/>
  <c r="E41" i="161" s="1"/>
  <c r="E40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2" i="198"/>
  <c r="C57" i="198"/>
  <c r="C55" i="198"/>
  <c r="E54" i="198"/>
  <c r="C52" i="198"/>
  <c r="E51" i="198"/>
  <c r="C49" i="198"/>
  <c r="E48" i="198"/>
  <c r="C46" i="198"/>
  <c r="E45" i="198"/>
  <c r="C43" i="198"/>
  <c r="E42" i="198"/>
  <c r="C40" i="198"/>
  <c r="E39" i="198"/>
  <c r="D37" i="198"/>
  <c r="C37" i="198"/>
  <c r="E37" i="198" s="1"/>
  <c r="E36" i="198"/>
  <c r="B34" i="198"/>
  <c r="C33" i="198"/>
  <c r="E25" i="198"/>
  <c r="E23" i="198"/>
  <c r="E21" i="198"/>
  <c r="E27" i="198"/>
  <c r="E19" i="198"/>
  <c r="E17" i="198"/>
  <c r="E15" i="198"/>
  <c r="C14" i="198"/>
  <c r="C16" i="198" s="1"/>
  <c r="C18" i="198" s="1"/>
  <c r="C20" i="198" s="1"/>
  <c r="C22" i="198" s="1"/>
  <c r="B14" i="198"/>
  <c r="E13" i="198"/>
  <c r="E12" i="198"/>
  <c r="E10" i="198"/>
  <c r="C9" i="198"/>
  <c r="C11" i="198" s="1"/>
  <c r="B9" i="198"/>
  <c r="E8" i="198"/>
  <c r="E7" i="198"/>
  <c r="E6" i="198"/>
  <c r="E5" i="198"/>
  <c r="C4" i="198"/>
  <c r="B4" i="198"/>
  <c r="E3" i="198"/>
  <c r="E2" i="198"/>
  <c r="E34" i="197"/>
  <c r="C35" i="197"/>
  <c r="E35" i="197" s="1"/>
  <c r="C70" i="197"/>
  <c r="E69" i="197"/>
  <c r="C67" i="197"/>
  <c r="E66" i="197"/>
  <c r="C64" i="197"/>
  <c r="E63" i="197"/>
  <c r="C61" i="197"/>
  <c r="E60" i="197"/>
  <c r="C58" i="197"/>
  <c r="E57" i="197"/>
  <c r="C55" i="197"/>
  <c r="E54" i="197"/>
  <c r="C52" i="197"/>
  <c r="E51" i="197"/>
  <c r="D49" i="197"/>
  <c r="C49" i="197"/>
  <c r="E49" i="197" s="1"/>
  <c r="E48" i="197"/>
  <c r="B47" i="197"/>
  <c r="C46" i="197"/>
  <c r="A46" i="197"/>
  <c r="A49" i="197" s="1"/>
  <c r="A52" i="197" s="1"/>
  <c r="A55" i="197" s="1"/>
  <c r="A58" i="197" s="1"/>
  <c r="A61" i="197" s="1"/>
  <c r="A64" i="197" s="1"/>
  <c r="A67" i="197" s="1"/>
  <c r="A70" i="197" s="1"/>
  <c r="E45" i="197"/>
  <c r="B43" i="197"/>
  <c r="C42" i="197"/>
  <c r="E42" i="197" s="1"/>
  <c r="E41" i="197"/>
  <c r="C39" i="197"/>
  <c r="E39" i="197" s="1"/>
  <c r="E38" i="197"/>
  <c r="E30" i="197"/>
  <c r="E26" i="197"/>
  <c r="E11" i="197"/>
  <c r="E9" i="197"/>
  <c r="E7" i="197"/>
  <c r="E5" i="197"/>
  <c r="C4" i="197"/>
  <c r="C6" i="197" s="1"/>
  <c r="C8" i="197" s="1"/>
  <c r="C10" i="197" s="1"/>
  <c r="B4" i="197"/>
  <c r="E3" i="197"/>
  <c r="E2" i="197"/>
  <c r="E31" i="42"/>
  <c r="B33" i="42"/>
  <c r="C32" i="42"/>
  <c r="E32" i="42" s="1"/>
  <c r="E9" i="170"/>
  <c r="E5" i="195"/>
  <c r="E16" i="150"/>
  <c r="B18" i="150"/>
  <c r="A18" i="150"/>
  <c r="C17" i="150"/>
  <c r="E17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C12" i="195" s="1"/>
  <c r="B4" i="195"/>
  <c r="E3" i="195"/>
  <c r="B38" i="161"/>
  <c r="E36" i="161"/>
  <c r="A38" i="161"/>
  <c r="C37" i="161"/>
  <c r="E37" i="161" s="1"/>
  <c r="E5" i="194"/>
  <c r="E25" i="46"/>
  <c r="I12" i="171"/>
  <c r="J12" i="171" s="1"/>
  <c r="D13" i="171"/>
  <c r="C12" i="171"/>
  <c r="E13" i="150"/>
  <c r="H9" i="196"/>
  <c r="C9" i="196"/>
  <c r="E2" i="196"/>
  <c r="E4" i="196" s="1"/>
  <c r="D4" i="196" s="1"/>
  <c r="H12" i="195"/>
  <c r="J12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D8" i="185"/>
  <c r="D7" i="185"/>
  <c r="C6" i="185"/>
  <c r="H6" i="185"/>
  <c r="C4" i="185"/>
  <c r="B4" i="185"/>
  <c r="E3" i="185"/>
  <c r="E2" i="185"/>
  <c r="B64" i="20"/>
  <c r="A64" i="20"/>
  <c r="C63" i="20"/>
  <c r="E63" i="20"/>
  <c r="E62" i="20"/>
  <c r="E7" i="150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C6" i="177"/>
  <c r="B6" i="177"/>
  <c r="E5" i="177"/>
  <c r="C4" i="177"/>
  <c r="B4" i="177"/>
  <c r="E3" i="177"/>
  <c r="E2" i="177"/>
  <c r="E4" i="177"/>
  <c r="B38" i="42"/>
  <c r="C37" i="42"/>
  <c r="E37" i="42"/>
  <c r="E36" i="42"/>
  <c r="D49" i="42"/>
  <c r="B50" i="42"/>
  <c r="C49" i="42"/>
  <c r="E49" i="42"/>
  <c r="E48" i="42"/>
  <c r="D46" i="42"/>
  <c r="B47" i="42"/>
  <c r="C46" i="42"/>
  <c r="E46" i="42"/>
  <c r="E45" i="42"/>
  <c r="D43" i="42"/>
  <c r="B44" i="42"/>
  <c r="C43" i="42"/>
  <c r="E43" i="42"/>
  <c r="E42" i="42"/>
  <c r="B41" i="42"/>
  <c r="C40" i="42"/>
  <c r="E40" i="42"/>
  <c r="E39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B22" i="42"/>
  <c r="E21" i="42"/>
  <c r="C6" i="152"/>
  <c r="B6" i="152"/>
  <c r="E5" i="152"/>
  <c r="B12" i="161"/>
  <c r="E11" i="161"/>
  <c r="A13" i="117"/>
  <c r="C12" i="117"/>
  <c r="E12" i="117"/>
  <c r="E11" i="117"/>
  <c r="A15" i="150"/>
  <c r="C14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C8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4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B6" i="150" s="1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4" i="150"/>
  <c r="G14" i="150"/>
  <c r="F14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4" i="150"/>
  <c r="J14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C7" i="185"/>
  <c r="J6" i="185"/>
  <c r="E4" i="185"/>
  <c r="D4" i="185"/>
  <c r="H2" i="185"/>
  <c r="G2" i="185"/>
  <c r="F2" i="185"/>
  <c r="H3" i="185"/>
  <c r="G3" i="185"/>
  <c r="F3" i="185"/>
  <c r="H62" i="20"/>
  <c r="G62" i="20"/>
  <c r="F62" i="20"/>
  <c r="E64" i="20"/>
  <c r="H63" i="20"/>
  <c r="G63" i="20"/>
  <c r="F63" i="20"/>
  <c r="H7" i="150"/>
  <c r="G7" i="150"/>
  <c r="F7" i="150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E6" i="177"/>
  <c r="D6" i="177"/>
  <c r="H5" i="177"/>
  <c r="H6" i="177"/>
  <c r="G5" i="177"/>
  <c r="G6" i="177"/>
  <c r="F5" i="177"/>
  <c r="H2" i="177"/>
  <c r="G2" i="177"/>
  <c r="F2" i="177"/>
  <c r="H3" i="177"/>
  <c r="G3" i="177"/>
  <c r="F3" i="177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8" i="42"/>
  <c r="G48" i="42"/>
  <c r="F48" i="42"/>
  <c r="E50" i="42"/>
  <c r="H49" i="42"/>
  <c r="G49" i="42"/>
  <c r="F49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C14" i="157" s="1"/>
  <c r="D12" i="157"/>
  <c r="B14" i="157" s="1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C8" i="185"/>
  <c r="E8" i="185"/>
  <c r="E7" i="185"/>
  <c r="I3" i="185"/>
  <c r="J3" i="185"/>
  <c r="F4" i="185"/>
  <c r="I2" i="185"/>
  <c r="I4" i="185"/>
  <c r="J2" i="185"/>
  <c r="J4" i="185"/>
  <c r="G4" i="185"/>
  <c r="H4" i="185"/>
  <c r="I63" i="20"/>
  <c r="J63" i="20"/>
  <c r="I62" i="20"/>
  <c r="J62" i="20"/>
  <c r="D6" i="150"/>
  <c r="B8" i="150"/>
  <c r="I7" i="150"/>
  <c r="J7" i="150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F6" i="177"/>
  <c r="I5" i="177"/>
  <c r="I6" i="177"/>
  <c r="J5" i="177"/>
  <c r="J6" i="177"/>
  <c r="F4" i="177"/>
  <c r="G4" i="177"/>
  <c r="H4" i="177"/>
  <c r="I3" i="177"/>
  <c r="J3" i="177"/>
  <c r="I2" i="177"/>
  <c r="I4" i="177"/>
  <c r="J2" i="177"/>
  <c r="J4" i="177"/>
  <c r="I37" i="42"/>
  <c r="J37" i="42"/>
  <c r="I36" i="42"/>
  <c r="J36" i="42"/>
  <c r="I49" i="42"/>
  <c r="J49" i="42"/>
  <c r="I48" i="42"/>
  <c r="J48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D22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H7" i="185"/>
  <c r="G7" i="185"/>
  <c r="F7" i="185"/>
  <c r="E9" i="185"/>
  <c r="H8" i="185"/>
  <c r="G8" i="185"/>
  <c r="F8" i="185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H10" i="161"/>
  <c r="H12" i="161"/>
  <c r="G10" i="161"/>
  <c r="G12" i="161"/>
  <c r="F10" i="161"/>
  <c r="E12" i="161"/>
  <c r="D12" i="161"/>
  <c r="B16" i="161"/>
  <c r="B15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D4" i="177"/>
  <c r="J38" i="42"/>
  <c r="J41" i="42"/>
  <c r="J44" i="42"/>
  <c r="J47" i="42"/>
  <c r="J50" i="42"/>
  <c r="F8" i="161"/>
  <c r="I6" i="161"/>
  <c r="J13" i="117"/>
  <c r="H9" i="171"/>
  <c r="G9" i="171"/>
  <c r="F9" i="171"/>
  <c r="I9" i="171"/>
  <c r="J9" i="171"/>
  <c r="J10" i="171"/>
  <c r="C13" i="171"/>
  <c r="I8" i="185"/>
  <c r="J8" i="185"/>
  <c r="I7" i="185"/>
  <c r="J7" i="185"/>
  <c r="I10" i="161"/>
  <c r="F12" i="161"/>
  <c r="E15" i="150"/>
  <c r="I8" i="181"/>
  <c r="J8" i="181"/>
  <c r="I7" i="181"/>
  <c r="J7" i="181"/>
  <c r="K41" i="42"/>
  <c r="K44" i="42"/>
  <c r="K47" i="42"/>
  <c r="K50" i="42"/>
  <c r="I8" i="161"/>
  <c r="J6" i="161"/>
  <c r="J8" i="161"/>
  <c r="C14" i="171"/>
  <c r="E14" i="171"/>
  <c r="E13" i="171"/>
  <c r="J9" i="185"/>
  <c r="J10" i="185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12" i="194" l="1"/>
  <c r="D12" i="194" s="1"/>
  <c r="H11" i="194"/>
  <c r="H12" i="194" s="1"/>
  <c r="G11" i="194"/>
  <c r="G12" i="194" s="1"/>
  <c r="F11" i="194"/>
  <c r="E34" i="161"/>
  <c r="D34" i="161" s="1"/>
  <c r="H33" i="161"/>
  <c r="H34" i="161" s="1"/>
  <c r="G33" i="161"/>
  <c r="G34" i="161" s="1"/>
  <c r="F33" i="161"/>
  <c r="E34" i="206"/>
  <c r="D34" i="206" s="1"/>
  <c r="H33" i="206"/>
  <c r="H34" i="206" s="1"/>
  <c r="G33" i="206"/>
  <c r="G34" i="206" s="1"/>
  <c r="F33" i="206"/>
  <c r="K30" i="206"/>
  <c r="E30" i="206"/>
  <c r="H29" i="206"/>
  <c r="G29" i="206"/>
  <c r="F29" i="206"/>
  <c r="E6" i="202"/>
  <c r="D6" i="202" s="1"/>
  <c r="H5" i="202"/>
  <c r="H6" i="202" s="1"/>
  <c r="G5" i="202"/>
  <c r="G6" i="202" s="1"/>
  <c r="F5" i="202"/>
  <c r="H10" i="150"/>
  <c r="G10" i="150"/>
  <c r="F10" i="150"/>
  <c r="E12" i="150"/>
  <c r="H11" i="150"/>
  <c r="G11" i="150"/>
  <c r="F11" i="150"/>
  <c r="E8" i="150"/>
  <c r="D8" i="150" s="1"/>
  <c r="K26" i="206"/>
  <c r="E26" i="206"/>
  <c r="E4" i="206"/>
  <c r="D4" i="206" s="1"/>
  <c r="H2" i="206"/>
  <c r="G2" i="206"/>
  <c r="F2" i="206"/>
  <c r="H3" i="206"/>
  <c r="G3" i="206"/>
  <c r="F3" i="206"/>
  <c r="H5" i="206"/>
  <c r="G5" i="206"/>
  <c r="F5" i="206"/>
  <c r="H6" i="206"/>
  <c r="G6" i="206"/>
  <c r="F6" i="206"/>
  <c r="E9" i="206"/>
  <c r="H7" i="206"/>
  <c r="G7" i="206"/>
  <c r="F7" i="206"/>
  <c r="H8" i="206"/>
  <c r="G8" i="206"/>
  <c r="F8" i="206"/>
  <c r="H10" i="206"/>
  <c r="G10" i="206"/>
  <c r="F10" i="206"/>
  <c r="E14" i="206"/>
  <c r="H12" i="206"/>
  <c r="G12" i="206"/>
  <c r="F12" i="206"/>
  <c r="H13" i="206"/>
  <c r="G13" i="206"/>
  <c r="F13" i="206"/>
  <c r="H15" i="206"/>
  <c r="G15" i="206"/>
  <c r="F15" i="206"/>
  <c r="H17" i="206"/>
  <c r="G17" i="206"/>
  <c r="F17" i="206"/>
  <c r="H19" i="206"/>
  <c r="G19" i="206"/>
  <c r="F19" i="206"/>
  <c r="H21" i="206"/>
  <c r="G21" i="206"/>
  <c r="F21" i="206"/>
  <c r="H23" i="206"/>
  <c r="G23" i="206"/>
  <c r="F23" i="206"/>
  <c r="H25" i="206"/>
  <c r="G25" i="206"/>
  <c r="F25" i="206"/>
  <c r="H36" i="206"/>
  <c r="G36" i="206"/>
  <c r="F36" i="206"/>
  <c r="K37" i="206"/>
  <c r="E37" i="206"/>
  <c r="E14" i="157"/>
  <c r="D14" i="157" s="1"/>
  <c r="H13" i="157"/>
  <c r="H14" i="157" s="1"/>
  <c r="G13" i="157"/>
  <c r="G14" i="157" s="1"/>
  <c r="F13" i="157"/>
  <c r="I16" i="157"/>
  <c r="J16" i="157" s="1"/>
  <c r="E6" i="205"/>
  <c r="D6" i="205" s="1"/>
  <c r="H5" i="205"/>
  <c r="H6" i="205" s="1"/>
  <c r="G5" i="205"/>
  <c r="G6" i="205" s="1"/>
  <c r="F5" i="205"/>
  <c r="E6" i="196"/>
  <c r="D6" i="196" s="1"/>
  <c r="H5" i="196"/>
  <c r="H6" i="196" s="1"/>
  <c r="G5" i="196"/>
  <c r="G6" i="196" s="1"/>
  <c r="F5" i="196"/>
  <c r="E4" i="205"/>
  <c r="D4" i="205" s="1"/>
  <c r="H2" i="205"/>
  <c r="G2" i="205"/>
  <c r="F2" i="205"/>
  <c r="H3" i="205"/>
  <c r="G3" i="205"/>
  <c r="F3" i="205"/>
  <c r="E21" i="197"/>
  <c r="H20" i="197"/>
  <c r="G20" i="197"/>
  <c r="F20" i="197"/>
  <c r="H19" i="197"/>
  <c r="G19" i="197"/>
  <c r="F19" i="197"/>
  <c r="H16" i="197"/>
  <c r="G16" i="197"/>
  <c r="F16" i="197"/>
  <c r="E10" i="194"/>
  <c r="D10" i="194" s="1"/>
  <c r="H9" i="194"/>
  <c r="H10" i="194" s="1"/>
  <c r="G9" i="194"/>
  <c r="G10" i="194" s="1"/>
  <c r="F9" i="194"/>
  <c r="E12" i="203"/>
  <c r="D12" i="203" s="1"/>
  <c r="H11" i="203"/>
  <c r="H12" i="203" s="1"/>
  <c r="G11" i="203"/>
  <c r="G12" i="203" s="1"/>
  <c r="F11" i="203"/>
  <c r="E10" i="203"/>
  <c r="D10" i="203" s="1"/>
  <c r="H9" i="203"/>
  <c r="H10" i="203" s="1"/>
  <c r="G9" i="203"/>
  <c r="G10" i="203" s="1"/>
  <c r="F9" i="203"/>
  <c r="E8" i="203"/>
  <c r="D8" i="203" s="1"/>
  <c r="H6" i="203"/>
  <c r="G6" i="203"/>
  <c r="F6" i="203"/>
  <c r="H7" i="203"/>
  <c r="G7" i="203"/>
  <c r="F7" i="203"/>
  <c r="H6" i="204"/>
  <c r="G6" i="204"/>
  <c r="F6" i="204"/>
  <c r="C8" i="204"/>
  <c r="B8" i="204"/>
  <c r="D8" i="204"/>
  <c r="H7" i="204"/>
  <c r="H8" i="204" s="1"/>
  <c r="G7" i="204"/>
  <c r="G8" i="204" s="1"/>
  <c r="F7" i="204"/>
  <c r="H2" i="204"/>
  <c r="G2" i="204"/>
  <c r="F2" i="204"/>
  <c r="E4" i="204"/>
  <c r="H3" i="204"/>
  <c r="G3" i="204"/>
  <c r="F3" i="204"/>
  <c r="E13" i="197"/>
  <c r="H12" i="197"/>
  <c r="G12" i="197"/>
  <c r="F12" i="197"/>
  <c r="E4" i="203"/>
  <c r="H3" i="203"/>
  <c r="G3" i="203"/>
  <c r="F3" i="203"/>
  <c r="H2" i="203"/>
  <c r="G2" i="203"/>
  <c r="F2" i="203"/>
  <c r="H9" i="195"/>
  <c r="G9" i="195"/>
  <c r="F9" i="195"/>
  <c r="E28" i="42"/>
  <c r="D28" i="42" s="1"/>
  <c r="H27" i="42"/>
  <c r="H28" i="42" s="1"/>
  <c r="G27" i="42"/>
  <c r="G28" i="42" s="1"/>
  <c r="F27" i="42"/>
  <c r="H7" i="195"/>
  <c r="G7" i="195"/>
  <c r="F7" i="195"/>
  <c r="E25" i="42"/>
  <c r="H24" i="42"/>
  <c r="G24" i="42"/>
  <c r="F24" i="42"/>
  <c r="H3" i="196"/>
  <c r="G3" i="196"/>
  <c r="F3" i="196"/>
  <c r="E4" i="202"/>
  <c r="D4" i="202" s="1"/>
  <c r="H2" i="202"/>
  <c r="G2" i="202"/>
  <c r="F2" i="202"/>
  <c r="H3" i="202"/>
  <c r="G3" i="202"/>
  <c r="F3" i="202"/>
  <c r="C9" i="202"/>
  <c r="J8" i="202"/>
  <c r="H14" i="202"/>
  <c r="G14" i="202"/>
  <c r="F14" i="202"/>
  <c r="E16" i="202"/>
  <c r="H15" i="202"/>
  <c r="G15" i="202"/>
  <c r="F15" i="202"/>
  <c r="E18" i="199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E28" i="197"/>
  <c r="H27" i="197"/>
  <c r="G27" i="197"/>
  <c r="F27" i="197"/>
  <c r="E32" i="197"/>
  <c r="H31" i="197"/>
  <c r="G31" i="197"/>
  <c r="F31" i="197"/>
  <c r="H20" i="199"/>
  <c r="H21" i="199" s="1"/>
  <c r="G20" i="199"/>
  <c r="G21" i="199" s="1"/>
  <c r="F20" i="199"/>
  <c r="F21" i="199" s="1"/>
  <c r="H6" i="110"/>
  <c r="G6" i="110"/>
  <c r="F6" i="110"/>
  <c r="H40" i="161"/>
  <c r="G40" i="161"/>
  <c r="F40" i="161"/>
  <c r="E42" i="161"/>
  <c r="H41" i="161"/>
  <c r="G41" i="161"/>
  <c r="F41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2" i="198"/>
  <c r="G32" i="198"/>
  <c r="F32" i="198"/>
  <c r="E4" i="198"/>
  <c r="D4" i="198" s="1"/>
  <c r="H2" i="198"/>
  <c r="G2" i="198"/>
  <c r="F2" i="198"/>
  <c r="H3" i="198"/>
  <c r="G3" i="198"/>
  <c r="F3" i="198"/>
  <c r="H5" i="198"/>
  <c r="G5" i="198"/>
  <c r="F5" i="198"/>
  <c r="H6" i="198"/>
  <c r="G6" i="198"/>
  <c r="F6" i="198"/>
  <c r="E9" i="198"/>
  <c r="H7" i="198"/>
  <c r="G7" i="198"/>
  <c r="F7" i="198"/>
  <c r="H8" i="198"/>
  <c r="G8" i="198"/>
  <c r="F8" i="198"/>
  <c r="H10" i="198"/>
  <c r="G10" i="198"/>
  <c r="F10" i="198"/>
  <c r="E14" i="198"/>
  <c r="H12" i="198"/>
  <c r="G12" i="198"/>
  <c r="F12" i="198"/>
  <c r="H13" i="198"/>
  <c r="G13" i="198"/>
  <c r="F13" i="198"/>
  <c r="H15" i="198"/>
  <c r="G15" i="198"/>
  <c r="F15" i="198"/>
  <c r="H17" i="198"/>
  <c r="G17" i="198"/>
  <c r="F17" i="198"/>
  <c r="H19" i="198"/>
  <c r="G19" i="198"/>
  <c r="F19" i="198"/>
  <c r="H27" i="198"/>
  <c r="G27" i="198"/>
  <c r="F27" i="198"/>
  <c r="H21" i="198"/>
  <c r="G21" i="198"/>
  <c r="F21" i="198"/>
  <c r="H23" i="198"/>
  <c r="G23" i="198"/>
  <c r="F23" i="198"/>
  <c r="H25" i="198"/>
  <c r="G25" i="198"/>
  <c r="F25" i="198"/>
  <c r="K37" i="198"/>
  <c r="K40" i="198" s="1"/>
  <c r="K43" i="198" s="1"/>
  <c r="K46" i="198" s="1"/>
  <c r="K49" i="198" s="1"/>
  <c r="K33" i="198"/>
  <c r="E33" i="198"/>
  <c r="H36" i="198"/>
  <c r="G36" i="198"/>
  <c r="F36" i="198"/>
  <c r="E38" i="198"/>
  <c r="H37" i="198"/>
  <c r="G37" i="198"/>
  <c r="F37" i="198"/>
  <c r="D40" i="198"/>
  <c r="B38" i="198"/>
  <c r="H39" i="198"/>
  <c r="G39" i="198"/>
  <c r="F39" i="198"/>
  <c r="E40" i="198"/>
  <c r="H42" i="198"/>
  <c r="G42" i="198"/>
  <c r="F42" i="198"/>
  <c r="H45" i="198"/>
  <c r="G45" i="198"/>
  <c r="F45" i="198"/>
  <c r="H48" i="198"/>
  <c r="G48" i="198"/>
  <c r="F48" i="198"/>
  <c r="H51" i="198"/>
  <c r="G51" i="198"/>
  <c r="F51" i="198"/>
  <c r="H54" i="198"/>
  <c r="G54" i="198"/>
  <c r="F54" i="198"/>
  <c r="H34" i="197"/>
  <c r="G34" i="197"/>
  <c r="F34" i="197"/>
  <c r="E36" i="197"/>
  <c r="H35" i="197"/>
  <c r="G35" i="197"/>
  <c r="F35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26" i="197"/>
  <c r="G26" i="197"/>
  <c r="F26" i="197"/>
  <c r="H30" i="197"/>
  <c r="G30" i="197"/>
  <c r="F30" i="197"/>
  <c r="H38" i="197"/>
  <c r="G38" i="197"/>
  <c r="F38" i="197"/>
  <c r="E40" i="197"/>
  <c r="H39" i="197"/>
  <c r="G39" i="197"/>
  <c r="F39" i="197"/>
  <c r="H41" i="197"/>
  <c r="G41" i="197"/>
  <c r="F41" i="197"/>
  <c r="E43" i="197"/>
  <c r="H42" i="197"/>
  <c r="G42" i="197"/>
  <c r="F42" i="197"/>
  <c r="H45" i="197"/>
  <c r="G45" i="197"/>
  <c r="F45" i="197"/>
  <c r="K46" i="197"/>
  <c r="K49" i="197" s="1"/>
  <c r="K52" i="197" s="1"/>
  <c r="K55" i="197" s="1"/>
  <c r="K58" i="197" s="1"/>
  <c r="K61" i="197" s="1"/>
  <c r="K64" i="197" s="1"/>
  <c r="K67" i="197" s="1"/>
  <c r="K70" i="197" s="1"/>
  <c r="E46" i="197"/>
  <c r="H48" i="197"/>
  <c r="G48" i="197"/>
  <c r="F48" i="197"/>
  <c r="E50" i="197"/>
  <c r="H49" i="197"/>
  <c r="G49" i="197"/>
  <c r="F49" i="197"/>
  <c r="D64" i="197"/>
  <c r="B65" i="197" s="1"/>
  <c r="D61" i="197"/>
  <c r="B62" i="197" s="1"/>
  <c r="D58" i="197"/>
  <c r="B59" i="197" s="1"/>
  <c r="D55" i="197"/>
  <c r="D52" i="197"/>
  <c r="B50" i="197"/>
  <c r="H51" i="197"/>
  <c r="G51" i="197"/>
  <c r="F51" i="197"/>
  <c r="E52" i="197"/>
  <c r="H54" i="197"/>
  <c r="G54" i="197"/>
  <c r="F54" i="197"/>
  <c r="E55" i="197"/>
  <c r="H57" i="197"/>
  <c r="G57" i="197"/>
  <c r="F57" i="197"/>
  <c r="E58" i="197"/>
  <c r="H60" i="197"/>
  <c r="G60" i="197"/>
  <c r="F60" i="197"/>
  <c r="E61" i="197"/>
  <c r="H63" i="197"/>
  <c r="G63" i="197"/>
  <c r="F63" i="197"/>
  <c r="E64" i="197"/>
  <c r="H66" i="197"/>
  <c r="G66" i="197"/>
  <c r="F66" i="197"/>
  <c r="H69" i="197"/>
  <c r="G69" i="197"/>
  <c r="F69" i="197"/>
  <c r="H31" i="42"/>
  <c r="G31" i="42"/>
  <c r="F31" i="42"/>
  <c r="E33" i="42"/>
  <c r="H32" i="42"/>
  <c r="G32" i="42"/>
  <c r="F32" i="42"/>
  <c r="H9" i="170"/>
  <c r="G9" i="170"/>
  <c r="F9" i="170"/>
  <c r="C13" i="195"/>
  <c r="C6" i="195"/>
  <c r="C8" i="195" s="1"/>
  <c r="C10" i="195" s="1"/>
  <c r="H5" i="195"/>
  <c r="G5" i="195"/>
  <c r="F5" i="195"/>
  <c r="J6" i="150"/>
  <c r="J8" i="150" s="1"/>
  <c r="I6" i="150"/>
  <c r="I8" i="150" s="1"/>
  <c r="F6" i="150"/>
  <c r="F8" i="150" s="1"/>
  <c r="G6" i="150"/>
  <c r="G8" i="150" s="1"/>
  <c r="H6" i="150"/>
  <c r="H8" i="150" s="1"/>
  <c r="H16" i="150"/>
  <c r="G16" i="150"/>
  <c r="F16" i="150"/>
  <c r="E18" i="150"/>
  <c r="H17" i="150"/>
  <c r="G17" i="150"/>
  <c r="F17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6" i="161"/>
  <c r="G36" i="161"/>
  <c r="F36" i="161"/>
  <c r="E38" i="161"/>
  <c r="H37" i="161"/>
  <c r="G37" i="161"/>
  <c r="F37" i="161"/>
  <c r="H5" i="194"/>
  <c r="G5" i="194"/>
  <c r="F5" i="194"/>
  <c r="H25" i="46"/>
  <c r="G25" i="46"/>
  <c r="F25" i="46"/>
  <c r="H13" i="150"/>
  <c r="G13" i="150"/>
  <c r="F13" i="150"/>
  <c r="H2" i="196"/>
  <c r="H4" i="196" s="1"/>
  <c r="G2" i="196"/>
  <c r="G4" i="196" s="1"/>
  <c r="F2" i="196"/>
  <c r="F4" i="196" s="1"/>
  <c r="J9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F12" i="194" l="1"/>
  <c r="I11" i="194"/>
  <c r="I12" i="194" s="1"/>
  <c r="J11" i="194"/>
  <c r="J12" i="194" s="1"/>
  <c r="F34" i="161"/>
  <c r="I33" i="161"/>
  <c r="I34" i="161" s="1"/>
  <c r="J33" i="161"/>
  <c r="J34" i="161" s="1"/>
  <c r="F34" i="206"/>
  <c r="I33" i="206"/>
  <c r="I34" i="206" s="1"/>
  <c r="J33" i="206"/>
  <c r="J34" i="206" s="1"/>
  <c r="E31" i="206"/>
  <c r="H30" i="206"/>
  <c r="G30" i="206"/>
  <c r="F30" i="206"/>
  <c r="I29" i="206"/>
  <c r="J29" i="206"/>
  <c r="F6" i="202"/>
  <c r="I5" i="202"/>
  <c r="I6" i="202" s="1"/>
  <c r="J5" i="202"/>
  <c r="J6" i="202" s="1"/>
  <c r="I10" i="150"/>
  <c r="J10" i="150"/>
  <c r="I11" i="150"/>
  <c r="J11" i="150"/>
  <c r="E27" i="206"/>
  <c r="H26" i="206"/>
  <c r="G26" i="206"/>
  <c r="F26" i="206"/>
  <c r="E38" i="206"/>
  <c r="H37" i="206"/>
  <c r="G37" i="206"/>
  <c r="F37" i="206"/>
  <c r="I36" i="206"/>
  <c r="J36" i="206"/>
  <c r="I25" i="206"/>
  <c r="J25" i="206"/>
  <c r="I23" i="206"/>
  <c r="J23" i="206"/>
  <c r="I21" i="206"/>
  <c r="J21" i="206"/>
  <c r="I19" i="206"/>
  <c r="J19" i="206"/>
  <c r="I17" i="206"/>
  <c r="J17" i="206"/>
  <c r="I15" i="206"/>
  <c r="J15" i="206"/>
  <c r="I13" i="206"/>
  <c r="J13" i="206"/>
  <c r="F14" i="206"/>
  <c r="F16" i="206" s="1"/>
  <c r="F18" i="206" s="1"/>
  <c r="F20" i="206" s="1"/>
  <c r="F22" i="206" s="1"/>
  <c r="F24" i="206" s="1"/>
  <c r="I12" i="206"/>
  <c r="I14" i="206" s="1"/>
  <c r="I16" i="206" s="1"/>
  <c r="I18" i="206" s="1"/>
  <c r="I20" i="206" s="1"/>
  <c r="I22" i="206" s="1"/>
  <c r="I24" i="206" s="1"/>
  <c r="J12" i="206"/>
  <c r="J14" i="206" s="1"/>
  <c r="J16" i="206" s="1"/>
  <c r="J18" i="206" s="1"/>
  <c r="J20" i="206" s="1"/>
  <c r="J22" i="206" s="1"/>
  <c r="J24" i="206" s="1"/>
  <c r="G14" i="206"/>
  <c r="G16" i="206" s="1"/>
  <c r="G18" i="206" s="1"/>
  <c r="G20" i="206" s="1"/>
  <c r="G22" i="206" s="1"/>
  <c r="G24" i="206" s="1"/>
  <c r="H14" i="206"/>
  <c r="H16" i="206" s="1"/>
  <c r="H18" i="206" s="1"/>
  <c r="H20" i="206" s="1"/>
  <c r="H22" i="206" s="1"/>
  <c r="H24" i="206" s="1"/>
  <c r="E16" i="206"/>
  <c r="D14" i="206"/>
  <c r="B16" i="206" s="1"/>
  <c r="I10" i="206"/>
  <c r="J10" i="206"/>
  <c r="I8" i="206"/>
  <c r="J8" i="206"/>
  <c r="F9" i="206"/>
  <c r="F11" i="206" s="1"/>
  <c r="I7" i="206"/>
  <c r="I9" i="206" s="1"/>
  <c r="I11" i="206" s="1"/>
  <c r="J7" i="206"/>
  <c r="J9" i="206" s="1"/>
  <c r="J11" i="206" s="1"/>
  <c r="G9" i="206"/>
  <c r="G11" i="206" s="1"/>
  <c r="H9" i="206"/>
  <c r="H11" i="206" s="1"/>
  <c r="E11" i="206"/>
  <c r="D11" i="206" s="1"/>
  <c r="D9" i="206"/>
  <c r="B11" i="206" s="1"/>
  <c r="I6" i="206"/>
  <c r="J6" i="206"/>
  <c r="I5" i="206"/>
  <c r="J5" i="206"/>
  <c r="I3" i="206"/>
  <c r="J3" i="206"/>
  <c r="F4" i="206"/>
  <c r="I2" i="206"/>
  <c r="I4" i="206" s="1"/>
  <c r="J2" i="206"/>
  <c r="J4" i="206" s="1"/>
  <c r="G4" i="206"/>
  <c r="H4" i="206"/>
  <c r="F14" i="157"/>
  <c r="I13" i="157"/>
  <c r="I14" i="157" s="1"/>
  <c r="J13" i="157"/>
  <c r="J14" i="157" s="1"/>
  <c r="C18" i="157"/>
  <c r="E18" i="157" s="1"/>
  <c r="E17" i="157"/>
  <c r="F6" i="205"/>
  <c r="I5" i="205"/>
  <c r="I6" i="205" s="1"/>
  <c r="J5" i="205"/>
  <c r="J6" i="205" s="1"/>
  <c r="F6" i="196"/>
  <c r="I5" i="196"/>
  <c r="I6" i="196" s="1"/>
  <c r="J5" i="196"/>
  <c r="J6" i="196" s="1"/>
  <c r="I3" i="205"/>
  <c r="J3" i="205"/>
  <c r="F4" i="205"/>
  <c r="I2" i="205"/>
  <c r="I4" i="205" s="1"/>
  <c r="J2" i="205"/>
  <c r="J4" i="205" s="1"/>
  <c r="G4" i="205"/>
  <c r="H4" i="205"/>
  <c r="I20" i="197"/>
  <c r="J20" i="197"/>
  <c r="I19" i="197"/>
  <c r="J19" i="197"/>
  <c r="I16" i="197"/>
  <c r="J16" i="197"/>
  <c r="J17" i="197" s="1"/>
  <c r="F10" i="194"/>
  <c r="I9" i="194"/>
  <c r="I10" i="194" s="1"/>
  <c r="J9" i="194"/>
  <c r="J10" i="194" s="1"/>
  <c r="F12" i="203"/>
  <c r="I11" i="203"/>
  <c r="I12" i="203" s="1"/>
  <c r="J11" i="203"/>
  <c r="J12" i="203" s="1"/>
  <c r="F10" i="203"/>
  <c r="I9" i="203"/>
  <c r="I10" i="203" s="1"/>
  <c r="J9" i="203"/>
  <c r="J10" i="203" s="1"/>
  <c r="I7" i="203"/>
  <c r="J7" i="203"/>
  <c r="F8" i="203"/>
  <c r="I6" i="203"/>
  <c r="I8" i="203" s="1"/>
  <c r="J6" i="203"/>
  <c r="J8" i="203" s="1"/>
  <c r="G8" i="203"/>
  <c r="H8" i="203"/>
  <c r="I6" i="204"/>
  <c r="J6" i="204"/>
  <c r="I7" i="204"/>
  <c r="I8" i="204" s="1"/>
  <c r="F8" i="204"/>
  <c r="J7" i="204"/>
  <c r="J8" i="204" s="1"/>
  <c r="I3" i="204"/>
  <c r="J3" i="204"/>
  <c r="I2" i="204"/>
  <c r="J2" i="204"/>
  <c r="I12" i="197"/>
  <c r="J12" i="197"/>
  <c r="I3" i="203"/>
  <c r="J3" i="203"/>
  <c r="J4" i="203" s="1"/>
  <c r="J5" i="203" s="1"/>
  <c r="I2" i="203"/>
  <c r="J2" i="203"/>
  <c r="I9" i="195"/>
  <c r="J9" i="195"/>
  <c r="F28" i="42"/>
  <c r="I27" i="42"/>
  <c r="I28" i="42" s="1"/>
  <c r="J27" i="42"/>
  <c r="J28" i="42" s="1"/>
  <c r="I7" i="195"/>
  <c r="J7" i="195"/>
  <c r="I24" i="42"/>
  <c r="J24" i="42"/>
  <c r="I3" i="196"/>
  <c r="J3" i="196"/>
  <c r="I15" i="202"/>
  <c r="J15" i="202"/>
  <c r="I14" i="202"/>
  <c r="J14" i="202"/>
  <c r="C10" i="202"/>
  <c r="E10" i="202" s="1"/>
  <c r="E9" i="202"/>
  <c r="I3" i="202"/>
  <c r="J3" i="202"/>
  <c r="F4" i="202"/>
  <c r="I2" i="202"/>
  <c r="I4" i="202" s="1"/>
  <c r="J2" i="202"/>
  <c r="J4" i="202" s="1"/>
  <c r="G4" i="202"/>
  <c r="H4" i="202"/>
  <c r="I17" i="199"/>
  <c r="J17" i="199"/>
  <c r="F8" i="145"/>
  <c r="I7" i="145"/>
  <c r="I8" i="145" s="1"/>
  <c r="J7" i="145"/>
  <c r="J8" i="145" s="1"/>
  <c r="I11" i="145"/>
  <c r="J11" i="145"/>
  <c r="J12" i="145" s="1"/>
  <c r="I27" i="197"/>
  <c r="J27" i="197"/>
  <c r="I31" i="197"/>
  <c r="J31" i="197"/>
  <c r="I20" i="199"/>
  <c r="I21" i="199" s="1"/>
  <c r="J20" i="199"/>
  <c r="J21" i="199" s="1"/>
  <c r="I6" i="110"/>
  <c r="J6" i="110"/>
  <c r="J8" i="110" s="1"/>
  <c r="J9" i="110" s="1"/>
  <c r="I41" i="161"/>
  <c r="J41" i="161"/>
  <c r="I40" i="161"/>
  <c r="J40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2" i="198"/>
  <c r="J32" i="198"/>
  <c r="I54" i="198"/>
  <c r="J54" i="198"/>
  <c r="I51" i="198"/>
  <c r="J51" i="198"/>
  <c r="I48" i="198"/>
  <c r="J48" i="198"/>
  <c r="I45" i="198"/>
  <c r="J45" i="198"/>
  <c r="I42" i="198"/>
  <c r="J42" i="198"/>
  <c r="E41" i="198"/>
  <c r="H40" i="198"/>
  <c r="G40" i="198"/>
  <c r="F40" i="198"/>
  <c r="I39" i="198"/>
  <c r="J39" i="198"/>
  <c r="D43" i="198"/>
  <c r="B41" i="198"/>
  <c r="I37" i="198"/>
  <c r="J37" i="198"/>
  <c r="I36" i="198"/>
  <c r="J36" i="198"/>
  <c r="E34" i="198"/>
  <c r="H33" i="198"/>
  <c r="G33" i="198"/>
  <c r="F33" i="198"/>
  <c r="I25" i="198"/>
  <c r="J25" i="198"/>
  <c r="I23" i="198"/>
  <c r="J23" i="198"/>
  <c r="I21" i="198"/>
  <c r="J21" i="198"/>
  <c r="I27" i="198"/>
  <c r="J27" i="198"/>
  <c r="I19" i="198"/>
  <c r="J19" i="198"/>
  <c r="I17" i="198"/>
  <c r="J17" i="198"/>
  <c r="I15" i="198"/>
  <c r="J15" i="198"/>
  <c r="I13" i="198"/>
  <c r="J13" i="198"/>
  <c r="F14" i="198"/>
  <c r="F16" i="198" s="1"/>
  <c r="F18" i="198" s="1"/>
  <c r="F20" i="198" s="1"/>
  <c r="F22" i="198" s="1"/>
  <c r="I12" i="198"/>
  <c r="I14" i="198" s="1"/>
  <c r="I16" i="198" s="1"/>
  <c r="I18" i="198" s="1"/>
  <c r="I20" i="198" s="1"/>
  <c r="I22" i="198" s="1"/>
  <c r="J12" i="198"/>
  <c r="J14" i="198" s="1"/>
  <c r="J16" i="198" s="1"/>
  <c r="J18" i="198" s="1"/>
  <c r="J20" i="198" s="1"/>
  <c r="J22" i="198" s="1"/>
  <c r="G14" i="198"/>
  <c r="G16" i="198" s="1"/>
  <c r="G18" i="198" s="1"/>
  <c r="G20" i="198" s="1"/>
  <c r="G22" i="198" s="1"/>
  <c r="H14" i="198"/>
  <c r="H16" i="198" s="1"/>
  <c r="H18" i="198" s="1"/>
  <c r="H20" i="198" s="1"/>
  <c r="H22" i="198" s="1"/>
  <c r="E16" i="198"/>
  <c r="D14" i="198"/>
  <c r="B16" i="198" s="1"/>
  <c r="I10" i="198"/>
  <c r="J10" i="198"/>
  <c r="I8" i="198"/>
  <c r="J8" i="198"/>
  <c r="F9" i="198"/>
  <c r="F11" i="198" s="1"/>
  <c r="I7" i="198"/>
  <c r="I9" i="198" s="1"/>
  <c r="I11" i="198" s="1"/>
  <c r="J7" i="198"/>
  <c r="J9" i="198" s="1"/>
  <c r="J11" i="198" s="1"/>
  <c r="G9" i="198"/>
  <c r="G11" i="198" s="1"/>
  <c r="H9" i="198"/>
  <c r="H11" i="198" s="1"/>
  <c r="E11" i="198"/>
  <c r="D11" i="198" s="1"/>
  <c r="D9" i="198"/>
  <c r="B11" i="198" s="1"/>
  <c r="I6" i="198"/>
  <c r="J6" i="198"/>
  <c r="I5" i="198"/>
  <c r="J5" i="198"/>
  <c r="I3" i="198"/>
  <c r="J3" i="198"/>
  <c r="F4" i="198"/>
  <c r="I2" i="198"/>
  <c r="I4" i="198" s="1"/>
  <c r="J2" i="198"/>
  <c r="J4" i="198" s="1"/>
  <c r="G4" i="198"/>
  <c r="H4" i="198"/>
  <c r="I34" i="197"/>
  <c r="J34" i="197"/>
  <c r="I35" i="197"/>
  <c r="J35" i="197"/>
  <c r="I69" i="197"/>
  <c r="J69" i="197"/>
  <c r="I66" i="197"/>
  <c r="J66" i="197"/>
  <c r="E65" i="197"/>
  <c r="H64" i="197"/>
  <c r="G64" i="197"/>
  <c r="F64" i="197"/>
  <c r="I63" i="197"/>
  <c r="J63" i="197"/>
  <c r="E62" i="197"/>
  <c r="H61" i="197"/>
  <c r="G61" i="197"/>
  <c r="F61" i="197"/>
  <c r="I60" i="197"/>
  <c r="J60" i="197"/>
  <c r="E59" i="197"/>
  <c r="H58" i="197"/>
  <c r="G58" i="197"/>
  <c r="F58" i="197"/>
  <c r="I57" i="197"/>
  <c r="J57" i="197"/>
  <c r="E56" i="197"/>
  <c r="H55" i="197"/>
  <c r="G55" i="197"/>
  <c r="F55" i="197"/>
  <c r="I54" i="197"/>
  <c r="J54" i="197"/>
  <c r="E53" i="197"/>
  <c r="H52" i="197"/>
  <c r="G52" i="197"/>
  <c r="F52" i="197"/>
  <c r="I51" i="197"/>
  <c r="J51" i="197"/>
  <c r="D67" i="197"/>
  <c r="B53" i="197"/>
  <c r="D70" i="197"/>
  <c r="B56" i="197"/>
  <c r="I49" i="197"/>
  <c r="J49" i="197"/>
  <c r="I48" i="197"/>
  <c r="J48" i="197"/>
  <c r="E47" i="197"/>
  <c r="H46" i="197"/>
  <c r="G46" i="197"/>
  <c r="F46" i="197"/>
  <c r="I45" i="197"/>
  <c r="J45" i="197"/>
  <c r="I42" i="197"/>
  <c r="J42" i="197"/>
  <c r="I41" i="197"/>
  <c r="J41" i="197"/>
  <c r="I39" i="197"/>
  <c r="J39" i="197"/>
  <c r="I38" i="197"/>
  <c r="J38" i="197"/>
  <c r="I30" i="197"/>
  <c r="J30" i="197"/>
  <c r="I26" i="197"/>
  <c r="J26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I2" i="197"/>
  <c r="I4" i="197" s="1"/>
  <c r="I6" i="197" s="1"/>
  <c r="I8" i="197" s="1"/>
  <c r="I10" i="197" s="1"/>
  <c r="J2" i="197"/>
  <c r="J4" i="197" s="1"/>
  <c r="J6" i="197" s="1"/>
  <c r="J8" i="197" s="1"/>
  <c r="J10" i="197" s="1"/>
  <c r="G4" i="197"/>
  <c r="G6" i="197" s="1"/>
  <c r="G8" i="197" s="1"/>
  <c r="G10" i="197" s="1"/>
  <c r="H4" i="197"/>
  <c r="H6" i="197" s="1"/>
  <c r="H8" i="197" s="1"/>
  <c r="H10" i="197" s="1"/>
  <c r="E6" i="197"/>
  <c r="D4" i="197"/>
  <c r="B6" i="197" s="1"/>
  <c r="I31" i="42"/>
  <c r="J31" i="42"/>
  <c r="I32" i="42"/>
  <c r="J32" i="42"/>
  <c r="I9" i="170"/>
  <c r="J9" i="170"/>
  <c r="D4" i="195"/>
  <c r="E6" i="195"/>
  <c r="I5" i="195"/>
  <c r="J5" i="195"/>
  <c r="I16" i="150"/>
  <c r="J16" i="150"/>
  <c r="I17" i="150"/>
  <c r="J17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G8" i="195" s="1"/>
  <c r="G10" i="195" s="1"/>
  <c r="H4" i="195"/>
  <c r="H6" i="195" s="1"/>
  <c r="H8" i="195" s="1"/>
  <c r="H10" i="195" s="1"/>
  <c r="F4" i="195"/>
  <c r="F6" i="195" s="1"/>
  <c r="F8" i="195" s="1"/>
  <c r="F10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6" i="161"/>
  <c r="J36" i="161"/>
  <c r="I37" i="161"/>
  <c r="J37" i="161"/>
  <c r="D4" i="194"/>
  <c r="B6" i="194" s="1"/>
  <c r="E6" i="194"/>
  <c r="D6" i="194" s="1"/>
  <c r="I5" i="194"/>
  <c r="J5" i="194"/>
  <c r="I25" i="46"/>
  <c r="J25" i="46"/>
  <c r="I13" i="150"/>
  <c r="J13" i="150"/>
  <c r="J15" i="150" s="1"/>
  <c r="C11" i="196"/>
  <c r="E11" i="196" s="1"/>
  <c r="E10" i="196"/>
  <c r="I2" i="196"/>
  <c r="I4" i="196" s="1"/>
  <c r="J2" i="196"/>
  <c r="J4" i="196" s="1"/>
  <c r="C14" i="195"/>
  <c r="E14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I30" i="206" l="1"/>
  <c r="J30" i="206"/>
  <c r="J31" i="206" s="1"/>
  <c r="J12" i="150"/>
  <c r="I26" i="206"/>
  <c r="J26" i="206"/>
  <c r="E18" i="206"/>
  <c r="D16" i="206"/>
  <c r="B18" i="206" s="1"/>
  <c r="I37" i="206"/>
  <c r="J37" i="206"/>
  <c r="J38" i="206" s="1"/>
  <c r="K38" i="206" s="1"/>
  <c r="H17" i="157"/>
  <c r="G17" i="157"/>
  <c r="F17" i="157"/>
  <c r="E19" i="157"/>
  <c r="H18" i="157"/>
  <c r="G18" i="157"/>
  <c r="F18" i="157"/>
  <c r="J21" i="197"/>
  <c r="J4" i="204"/>
  <c r="J5" i="204" s="1"/>
  <c r="J13" i="197"/>
  <c r="D6" i="195"/>
  <c r="B8" i="195" s="1"/>
  <c r="E8" i="195"/>
  <c r="J25" i="42"/>
  <c r="H9" i="202"/>
  <c r="G9" i="202"/>
  <c r="F9" i="202"/>
  <c r="E11" i="202"/>
  <c r="H10" i="202"/>
  <c r="G10" i="202"/>
  <c r="F10" i="202"/>
  <c r="J16" i="202"/>
  <c r="J18" i="199"/>
  <c r="J28" i="197"/>
  <c r="J32" i="197"/>
  <c r="J42" i="161"/>
  <c r="J15" i="170"/>
  <c r="J19" i="170"/>
  <c r="E15" i="199"/>
  <c r="D21" i="199" s="1"/>
  <c r="D13" i="199"/>
  <c r="B15" i="199" s="1"/>
  <c r="J25" i="199"/>
  <c r="J29" i="199"/>
  <c r="J32" i="199"/>
  <c r="J35" i="199"/>
  <c r="E18" i="198"/>
  <c r="D16" i="198"/>
  <c r="B18" i="198" s="1"/>
  <c r="I33" i="198"/>
  <c r="J33" i="198"/>
  <c r="J34" i="198" s="1"/>
  <c r="K34" i="198" s="1"/>
  <c r="J38" i="198"/>
  <c r="D55" i="198"/>
  <c r="D52" i="198"/>
  <c r="D49" i="198"/>
  <c r="D46" i="198"/>
  <c r="B44" i="198"/>
  <c r="E43" i="198"/>
  <c r="I40" i="198"/>
  <c r="J40" i="198"/>
  <c r="J41" i="198" s="1"/>
  <c r="J36" i="197"/>
  <c r="E8" i="197"/>
  <c r="D6" i="197"/>
  <c r="B8" i="197" s="1"/>
  <c r="J40" i="197"/>
  <c r="J43" i="197"/>
  <c r="I46" i="197"/>
  <c r="J46" i="197"/>
  <c r="J47" i="197" s="1"/>
  <c r="K47" i="197" s="1"/>
  <c r="J50" i="197"/>
  <c r="B71" i="197"/>
  <c r="E70" i="197"/>
  <c r="B68" i="197"/>
  <c r="E67" i="197"/>
  <c r="I52" i="197"/>
  <c r="J52" i="197"/>
  <c r="J53" i="197" s="1"/>
  <c r="I55" i="197"/>
  <c r="J55" i="197"/>
  <c r="J56" i="197" s="1"/>
  <c r="I58" i="197"/>
  <c r="J58" i="197"/>
  <c r="J59" i="197" s="1"/>
  <c r="I61" i="197"/>
  <c r="J61" i="197"/>
  <c r="J62" i="197" s="1"/>
  <c r="I64" i="197"/>
  <c r="J64" i="197"/>
  <c r="J65" i="197" s="1"/>
  <c r="J33" i="42"/>
  <c r="D13" i="195"/>
  <c r="B6" i="195"/>
  <c r="J18" i="150"/>
  <c r="J16" i="184"/>
  <c r="J12" i="184"/>
  <c r="J4" i="195"/>
  <c r="J6" i="195" s="1"/>
  <c r="J8" i="195" s="1"/>
  <c r="J10" i="195" s="1"/>
  <c r="I4" i="195"/>
  <c r="I6" i="195" s="1"/>
  <c r="I8" i="195" s="1"/>
  <c r="I10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8" i="161"/>
  <c r="D22" i="46"/>
  <c r="B24" i="46" s="1"/>
  <c r="E24" i="46"/>
  <c r="H10" i="196"/>
  <c r="G10" i="196"/>
  <c r="F10" i="196"/>
  <c r="E12" i="196"/>
  <c r="H11" i="196"/>
  <c r="G11" i="196"/>
  <c r="F11" i="196"/>
  <c r="H14" i="195"/>
  <c r="G14" i="195"/>
  <c r="F14" i="195"/>
  <c r="J22" i="46"/>
  <c r="J24" i="46" s="1"/>
  <c r="J26" i="46" s="1"/>
  <c r="I22" i="46"/>
  <c r="I24" i="46" s="1"/>
  <c r="I26" i="46" s="1"/>
  <c r="K31" i="206" l="1"/>
  <c r="J27" i="206"/>
  <c r="K27" i="206" s="1"/>
  <c r="E20" i="206"/>
  <c r="D18" i="206"/>
  <c r="B20" i="206" s="1"/>
  <c r="I18" i="157"/>
  <c r="J18" i="157"/>
  <c r="I17" i="157"/>
  <c r="J17" i="157"/>
  <c r="D8" i="195"/>
  <c r="B10" i="195" s="1"/>
  <c r="E10" i="195"/>
  <c r="D10" i="195" s="1"/>
  <c r="I10" i="202"/>
  <c r="J10" i="202"/>
  <c r="I9" i="202"/>
  <c r="J9" i="202"/>
  <c r="D15" i="199"/>
  <c r="E44" i="198"/>
  <c r="H43" i="198"/>
  <c r="G43" i="198"/>
  <c r="F43" i="198"/>
  <c r="B47" i="198"/>
  <c r="E46" i="198"/>
  <c r="B50" i="198"/>
  <c r="E49" i="198"/>
  <c r="B53" i="198"/>
  <c r="E52" i="198"/>
  <c r="B56" i="198"/>
  <c r="E55" i="198"/>
  <c r="K38" i="198"/>
  <c r="K41" i="198" s="1"/>
  <c r="E20" i="198"/>
  <c r="E22" i="198" s="1"/>
  <c r="D18" i="198"/>
  <c r="B20" i="198" s="1"/>
  <c r="E68" i="197"/>
  <c r="H67" i="197"/>
  <c r="G67" i="197"/>
  <c r="F67" i="197"/>
  <c r="E71" i="197"/>
  <c r="H70" i="197"/>
  <c r="G70" i="197"/>
  <c r="F70" i="197"/>
  <c r="K50" i="197"/>
  <c r="K53" i="197" s="1"/>
  <c r="K56" i="197" s="1"/>
  <c r="K59" i="197" s="1"/>
  <c r="K62" i="197" s="1"/>
  <c r="K65" i="197" s="1"/>
  <c r="E10" i="197"/>
  <c r="D8" i="197"/>
  <c r="B10" i="197" s="1"/>
  <c r="B15" i="195"/>
  <c r="E13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11" i="196"/>
  <c r="J11" i="196"/>
  <c r="I10" i="196"/>
  <c r="J10" i="196"/>
  <c r="I14" i="195"/>
  <c r="J14" i="195"/>
  <c r="E22" i="206" l="1"/>
  <c r="D20" i="206"/>
  <c r="J19" i="157"/>
  <c r="J20" i="157" s="1"/>
  <c r="J11" i="202"/>
  <c r="J12" i="202" s="1"/>
  <c r="D20" i="198"/>
  <c r="B28" i="198" s="1"/>
  <c r="E56" i="198"/>
  <c r="H55" i="198"/>
  <c r="G55" i="198"/>
  <c r="F55" i="198"/>
  <c r="E53" i="198"/>
  <c r="H52" i="198"/>
  <c r="G52" i="198"/>
  <c r="F52" i="198"/>
  <c r="E50" i="198"/>
  <c r="H49" i="198"/>
  <c r="G49" i="198"/>
  <c r="F49" i="198"/>
  <c r="E47" i="198"/>
  <c r="H46" i="198"/>
  <c r="G46" i="198"/>
  <c r="F46" i="198"/>
  <c r="I43" i="198"/>
  <c r="J43" i="198"/>
  <c r="J44" i="198" s="1"/>
  <c r="K44" i="198" s="1"/>
  <c r="D10" i="197"/>
  <c r="I70" i="197"/>
  <c r="J70" i="197"/>
  <c r="J71" i="197" s="1"/>
  <c r="I67" i="197"/>
  <c r="J67" i="197"/>
  <c r="J68" i="197" s="1"/>
  <c r="K68" i="197" s="1"/>
  <c r="K71" i="197" s="1"/>
  <c r="H13" i="195"/>
  <c r="G13" i="195"/>
  <c r="F13" i="195"/>
  <c r="E15" i="195"/>
  <c r="D20" i="161"/>
  <c r="E22" i="161"/>
  <c r="J12" i="196"/>
  <c r="J13" i="196" s="1"/>
  <c r="E24" i="206" l="1"/>
  <c r="D22" i="206"/>
  <c r="B24" i="206" s="1"/>
  <c r="I46" i="198"/>
  <c r="J46" i="198"/>
  <c r="J47" i="198" s="1"/>
  <c r="K47" i="198" s="1"/>
  <c r="I49" i="198"/>
  <c r="J49" i="198"/>
  <c r="J50" i="198" s="1"/>
  <c r="I52" i="198"/>
  <c r="J52" i="198"/>
  <c r="J53" i="198" s="1"/>
  <c r="I55" i="198"/>
  <c r="J55" i="198"/>
  <c r="J56" i="198" s="1"/>
  <c r="I13" i="195"/>
  <c r="J13" i="195"/>
  <c r="J15" i="195" s="1"/>
  <c r="J16" i="195" s="1"/>
  <c r="D22" i="161"/>
  <c r="E24" i="161"/>
  <c r="D24" i="206" l="1"/>
  <c r="E24" i="198"/>
  <c r="K50" i="198"/>
  <c r="K53" i="198" s="1"/>
  <c r="K56" i="198" s="1"/>
  <c r="D24" i="161"/>
  <c r="B26" i="161" s="1"/>
  <c r="E26" i="161"/>
  <c r="E28" i="161" s="1"/>
  <c r="B22" i="206" l="1"/>
  <c r="D28" i="161"/>
  <c r="B30" i="161" s="1"/>
  <c r="E30" i="161"/>
  <c r="E26" i="198"/>
  <c r="E28" i="198" s="1"/>
  <c r="D28" i="198" s="1"/>
  <c r="D26" i="161"/>
  <c r="B28" i="161" s="1"/>
  <c r="D30" i="161" l="1"/>
  <c r="B32" i="161" s="1"/>
  <c r="E32" i="161"/>
  <c r="D32" i="161" s="1"/>
  <c r="C24" i="198"/>
  <c r="C26" i="198"/>
  <c r="C28" i="198" s="1"/>
  <c r="D26" i="198"/>
  <c r="B22" i="198"/>
  <c r="D24" i="198"/>
  <c r="B26" i="198"/>
  <c r="F24" i="198"/>
  <c r="F26" i="198"/>
  <c r="F28" i="198" s="1"/>
  <c r="I24" i="198"/>
  <c r="I26" i="198"/>
  <c r="I28" i="198" s="1"/>
  <c r="J24" i="198"/>
  <c r="J26" i="198"/>
  <c r="J28" i="198" s="1"/>
  <c r="G24" i="198"/>
  <c r="G26" i="198"/>
  <c r="G28" i="198" s="1"/>
  <c r="H24" i="198"/>
  <c r="H26" i="198"/>
  <c r="H28" i="198" s="1"/>
  <c r="D22" i="198"/>
  <c r="B24" i="198"/>
</calcChain>
</file>

<file path=xl/sharedStrings.xml><?xml version="1.0" encoding="utf-8"?>
<sst xmlns="http://schemas.openxmlformats.org/spreadsheetml/2006/main" count="476" uniqueCount="37">
  <si>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</si>
  <si>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</si>
  <si>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</si>
  <si>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</si>
  <si>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</si>
  <si>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</si>
  <si>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</si>
  <si>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</si>
  <si>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</si>
  <si>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</si>
  <si>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</si>
  <si>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</si>
  <si>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</si>
  <si>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DCC</t>
  </si>
  <si>
    <t>DIF</t>
  </si>
  <si>
    <t>BAL</t>
  </si>
  <si>
    <t>DOHOME</t>
  </si>
  <si>
    <t>Div 5:1</t>
  </si>
  <si>
    <t>GVREIT</t>
  </si>
  <si>
    <t>IVL</t>
  </si>
  <si>
    <t>JASIF</t>
  </si>
  <si>
    <t>JMART</t>
  </si>
  <si>
    <t>JMT</t>
  </si>
  <si>
    <t>MCS</t>
  </si>
  <si>
    <t>balance</t>
  </si>
  <si>
    <t>NER</t>
  </si>
  <si>
    <t>ORI</t>
  </si>
  <si>
    <t>RCL</t>
  </si>
  <si>
    <t>SCC</t>
  </si>
  <si>
    <t>SCCC</t>
  </si>
  <si>
    <t>SENA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</si>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</sst>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18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  <xf numFmtId="193" fontId="8" fillId="2" borderId="0" xfId="0" applyNumberFormat="1" applyFont="1" applyFill="1"/>
    <xf numFmtId="10" fontId="8" fillId="2" borderId="0" xfId="0" applyNumberFormat="1" applyFont="1" applyFill="1"/>
    <xf numFmtId="3" fontId="8" fillId="2" borderId="0" xfId="0" applyNumberFormat="1" applyFont="1" applyFill="1"/>
    <xf numFmtId="191" fontId="8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8731-EA12-46A9-9EE8-467ABC8DD3F6}">
  <sheetPr>
    <tabColor rgb="FFC00000"/>
  </sheetPr>
  <dimension ref="A1:S61"/>
  <sheetViews>
    <sheetView topLeftCell="A17" workbookViewId="0">
      <selection activeCell="A22" sqref="A22:J22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1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1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1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1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1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1" ht="14.25">
      <c r="A22" s="96"/>
      <c r="B22" s="97">
        <f>(D21-D28)/D28</f>
        <v>-0.12767624020887736</v>
      </c>
      <c r="C22" s="98">
        <f>SUM(C20:C21)</f>
        <v>12000</v>
      </c>
      <c r="D22" s="99">
        <f>E22/C22</f>
        <v>74.5625</v>
      </c>
      <c r="E22" s="98">
        <f t="shared" ref="E22:J22" si="7">SUM(E20:E21)</f>
        <v>894750</v>
      </c>
      <c r="F22" s="98">
        <f t="shared" si="7"/>
        <v>1789.5</v>
      </c>
      <c r="G22" s="98">
        <f t="shared" si="7"/>
        <v>53.684999999999995</v>
      </c>
      <c r="H22" s="98">
        <f t="shared" si="7"/>
        <v>8.9475000000000016</v>
      </c>
      <c r="I22" s="98">
        <f t="shared" si="7"/>
        <v>129.64927499999999</v>
      </c>
      <c r="J22" s="98">
        <f t="shared" si="7"/>
        <v>896731.78177500004</v>
      </c>
    </row>
    <row r="23" spans="1:11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1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1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1" s="13" customFormat="1" ht="12.75">
      <c r="A26" s="49">
        <v>44957</v>
      </c>
      <c r="B26" s="15" t="s">
        <v>3</v>
      </c>
      <c r="C26" s="16">
        <f>C25</f>
        <v>1000</v>
      </c>
      <c r="D26" s="26">
        <v>53.75</v>
      </c>
      <c r="E26" s="17">
        <f>C26*D26</f>
        <v>53750</v>
      </c>
      <c r="F26" s="27">
        <f>E26*0.002</f>
        <v>107.5</v>
      </c>
      <c r="G26" s="26">
        <f>E26*0.000068</f>
        <v>3.6549999999999998</v>
      </c>
      <c r="H26" s="26">
        <f>E26*0.00001</f>
        <v>0.53750000000000009</v>
      </c>
      <c r="I26" s="26">
        <f>(F26+G26+H26)*0.07</f>
        <v>7.8184750000000003</v>
      </c>
      <c r="J26" s="26">
        <f>E26-F26-G26-H26-I26</f>
        <v>53630.489025000003</v>
      </c>
      <c r="K26" s="16">
        <f>C26</f>
        <v>1000</v>
      </c>
    </row>
    <row r="27" spans="1:11" s="31" customFormat="1" ht="18.75">
      <c r="A27" s="49" t="s">
        <v>4</v>
      </c>
      <c r="B27" s="7">
        <f>(D26-D25)/D25</f>
        <v>-0.12244897959183673</v>
      </c>
      <c r="C27" s="16"/>
      <c r="D27" s="17"/>
      <c r="E27" s="18">
        <f>E26-E25</f>
        <v>-7500</v>
      </c>
      <c r="F27" s="18"/>
      <c r="G27" s="18"/>
      <c r="H27" s="18"/>
      <c r="I27" s="18"/>
      <c r="J27" s="18">
        <f>J26-J25</f>
        <v>-7755.1736000000019</v>
      </c>
      <c r="K27" s="18">
        <f>J27</f>
        <v>-7755.1736000000019</v>
      </c>
    </row>
    <row r="28" spans="1:11" ht="14.25">
      <c r="A28" s="49">
        <v>44957</v>
      </c>
      <c r="B28" s="74" t="s">
        <v>2</v>
      </c>
      <c r="C28" s="51">
        <v>13000</v>
      </c>
      <c r="D28" s="52">
        <v>73.65384615384616</v>
      </c>
      <c r="E28" s="51">
        <v>957500</v>
      </c>
      <c r="F28" s="51">
        <v>1915</v>
      </c>
      <c r="G28" s="51">
        <v>57.449999999999996</v>
      </c>
      <c r="H28" s="51">
        <v>9.5750000000000011</v>
      </c>
      <c r="I28" s="51">
        <v>138.74175</v>
      </c>
      <c r="J28" s="51">
        <v>959620.76675000007</v>
      </c>
    </row>
    <row r="29" spans="1:11" ht="12.75">
      <c r="A29" s="49">
        <v>44658</v>
      </c>
      <c r="B29" s="15" t="s">
        <v>1</v>
      </c>
      <c r="C29" s="88">
        <v>1000</v>
      </c>
      <c r="D29" s="41">
        <v>62.75</v>
      </c>
      <c r="E29" s="18">
        <f>C29*D29</f>
        <v>62750</v>
      </c>
      <c r="F29" s="18">
        <f>E29*0.002</f>
        <v>125.5</v>
      </c>
      <c r="G29" s="18">
        <f>E29*0.00006</f>
        <v>3.7650000000000001</v>
      </c>
      <c r="H29" s="18">
        <f>E29*0.00001</f>
        <v>0.62750000000000006</v>
      </c>
      <c r="I29" s="18">
        <f>(F29+G29+H29)*0.07</f>
        <v>9.0924750000000003</v>
      </c>
      <c r="J29" s="18">
        <f>E29+F29+I29+G29+H29</f>
        <v>62888.984974999999</v>
      </c>
    </row>
    <row r="30" spans="1:11" s="13" customFormat="1" ht="12.75">
      <c r="A30" s="49">
        <v>44958</v>
      </c>
      <c r="B30" s="15" t="s">
        <v>3</v>
      </c>
      <c r="C30" s="16">
        <f>C29</f>
        <v>1000</v>
      </c>
      <c r="D30" s="26">
        <v>56</v>
      </c>
      <c r="E30" s="17">
        <f>C30*D30</f>
        <v>56000</v>
      </c>
      <c r="F30" s="27">
        <f>E30*0.002</f>
        <v>112</v>
      </c>
      <c r="G30" s="26">
        <f>E30*0.000068</f>
        <v>3.8079999999999998</v>
      </c>
      <c r="H30" s="26">
        <f>E30*0.00001</f>
        <v>0.56000000000000005</v>
      </c>
      <c r="I30" s="26">
        <f>(F30+G30+H30)*0.07</f>
        <v>8.145760000000001</v>
      </c>
      <c r="J30" s="26">
        <f>E30-F30-G30-H30-I30</f>
        <v>55875.486240000006</v>
      </c>
      <c r="K30" s="16">
        <f>C30</f>
        <v>1000</v>
      </c>
    </row>
    <row r="31" spans="1:11" s="31" customFormat="1" ht="18.75">
      <c r="A31" s="49" t="s">
        <v>4</v>
      </c>
      <c r="B31" s="7">
        <f>(D30-D29)/D29</f>
        <v>-0.10756972111553785</v>
      </c>
      <c r="C31" s="16"/>
      <c r="D31" s="17"/>
      <c r="E31" s="18">
        <f>E30-E29</f>
        <v>-6750</v>
      </c>
      <c r="F31" s="18"/>
      <c r="G31" s="18"/>
      <c r="H31" s="18"/>
      <c r="I31" s="18"/>
      <c r="J31" s="18">
        <f>J30-J29</f>
        <v>-7013.4987349999938</v>
      </c>
      <c r="K31" s="18">
        <f>J31</f>
        <v>-7013.4987349999938</v>
      </c>
    </row>
    <row r="32" spans="1:11" ht="14.25">
      <c r="A32" s="54"/>
      <c r="B32" s="74" t="s">
        <v>2</v>
      </c>
      <c r="C32" s="51">
        <v>12000</v>
      </c>
      <c r="D32" s="52">
        <v>74.5625</v>
      </c>
      <c r="E32" s="51">
        <v>894750</v>
      </c>
      <c r="F32" s="51">
        <v>1789.5</v>
      </c>
      <c r="G32" s="51">
        <v>53.684999999999995</v>
      </c>
      <c r="H32" s="51">
        <v>8.9475000000000016</v>
      </c>
      <c r="I32" s="51">
        <v>129.64927499999999</v>
      </c>
      <c r="J32" s="51">
        <v>896731.78177500004</v>
      </c>
    </row>
    <row r="33" spans="1:15" ht="12.75">
      <c r="A33" s="56">
        <v>44658</v>
      </c>
      <c r="B33" s="13" t="s">
        <v>1</v>
      </c>
      <c r="C33" s="91">
        <v>1000</v>
      </c>
      <c r="D33" s="46">
        <v>54.25</v>
      </c>
      <c r="E33" s="20">
        <f>C33*D33</f>
        <v>54250</v>
      </c>
      <c r="F33" s="20">
        <f>E33*0.002</f>
        <v>108.5</v>
      </c>
      <c r="G33" s="20">
        <f>E33*0.00006</f>
        <v>3.2549999999999999</v>
      </c>
      <c r="H33" s="20">
        <f>E33*0.00001</f>
        <v>0.54250000000000009</v>
      </c>
      <c r="I33" s="20">
        <f>(F33+G33+H33)*0.07</f>
        <v>7.8608250000000011</v>
      </c>
      <c r="J33" s="20">
        <f>E33+F33+I33+G33+H33</f>
        <v>54370.158325000004</v>
      </c>
    </row>
    <row r="34" spans="1:15">
      <c r="B34" s="3">
        <f>(D33-D32)/D32</f>
        <v>-0.27242246437552387</v>
      </c>
      <c r="C34" s="2">
        <f>SUM(C32:C33)</f>
        <v>13000</v>
      </c>
      <c r="D34" s="47">
        <f>E34/C34</f>
        <v>73</v>
      </c>
      <c r="E34" s="2">
        <f t="shared" ref="E34:J34" si="9">SUM(E32:E33)</f>
        <v>949000</v>
      </c>
      <c r="F34" s="2">
        <f t="shared" si="9"/>
        <v>1898</v>
      </c>
      <c r="G34" s="2">
        <f t="shared" si="9"/>
        <v>56.94</v>
      </c>
      <c r="H34" s="2">
        <f t="shared" si="9"/>
        <v>9.490000000000002</v>
      </c>
      <c r="I34" s="2">
        <f t="shared" si="9"/>
        <v>137.51009999999999</v>
      </c>
      <c r="J34" s="2">
        <f t="shared" si="9"/>
        <v>951101.94010000001</v>
      </c>
    </row>
    <row r="35" spans="1:15" ht="14.25">
      <c r="A35" s="54"/>
      <c r="B35" s="74"/>
      <c r="C35" s="51"/>
      <c r="D35" s="52"/>
      <c r="E35" s="51"/>
      <c r="F35" s="51"/>
      <c r="G35" s="51"/>
      <c r="H35" s="51"/>
      <c r="I35" s="51"/>
      <c r="J35" s="51"/>
    </row>
    <row r="36" spans="1:15" ht="12.75">
      <c r="A36" s="49">
        <v>44634</v>
      </c>
      <c r="B36" s="15" t="s">
        <v>1</v>
      </c>
      <c r="C36" s="88">
        <v>1000</v>
      </c>
      <c r="D36" s="41">
        <v>57.5</v>
      </c>
      <c r="E36" s="18">
        <f>C36*D36</f>
        <v>57500</v>
      </c>
      <c r="F36" s="18">
        <f>E36*0.002</f>
        <v>115</v>
      </c>
      <c r="G36" s="18">
        <f>E36*0.00006</f>
        <v>3.45</v>
      </c>
      <c r="H36" s="18">
        <f>E36*0.00001</f>
        <v>0.57500000000000007</v>
      </c>
      <c r="I36" s="18">
        <f>(F36+G36+H36)*0.07</f>
        <v>8.3317500000000013</v>
      </c>
      <c r="J36" s="18">
        <f>E36+F36+I36+G36+H36</f>
        <v>57627.356749999992</v>
      </c>
    </row>
    <row r="37" spans="1:15" s="13" customFormat="1" ht="12.75">
      <c r="A37" s="49">
        <v>44866</v>
      </c>
      <c r="B37" s="15" t="s">
        <v>3</v>
      </c>
      <c r="C37" s="16">
        <f>C36</f>
        <v>1000</v>
      </c>
      <c r="D37" s="26">
        <v>44.25</v>
      </c>
      <c r="E37" s="17">
        <f>C37*D37</f>
        <v>44250</v>
      </c>
      <c r="F37" s="27">
        <f>E37*0.002</f>
        <v>88.5</v>
      </c>
      <c r="G37" s="26">
        <f>E37*0.000068</f>
        <v>3.0089999999999999</v>
      </c>
      <c r="H37" s="26">
        <f>E37*0.00001</f>
        <v>0.44250000000000006</v>
      </c>
      <c r="I37" s="26">
        <f>(F37+G37+H37)*0.07</f>
        <v>6.4366050000000001</v>
      </c>
      <c r="J37" s="26">
        <f>E37-F37-G37-H37-I37</f>
        <v>44151.611895000002</v>
      </c>
      <c r="K37" s="16">
        <f>C37</f>
        <v>1000</v>
      </c>
    </row>
    <row r="38" spans="1:15" s="31" customFormat="1" ht="18.75">
      <c r="A38" s="49" t="s">
        <v>4</v>
      </c>
      <c r="B38" s="7">
        <f>(D37-D36)/D36</f>
        <v>-0.23043478260869565</v>
      </c>
      <c r="C38" s="16"/>
      <c r="D38" s="17"/>
      <c r="E38" s="18">
        <f>E37-E36</f>
        <v>-13250</v>
      </c>
      <c r="F38" s="18"/>
      <c r="G38" s="18"/>
      <c r="H38" s="18"/>
      <c r="I38" s="18"/>
      <c r="J38" s="18">
        <f>J37-J36</f>
        <v>-13475.74485499999</v>
      </c>
      <c r="K38" s="18">
        <f>J38</f>
        <v>-13475.74485499999</v>
      </c>
    </row>
    <row r="39" spans="1:15" s="31" customFormat="1" ht="18.75">
      <c r="A39" s="56"/>
      <c r="B39" s="25"/>
      <c r="C39" s="10"/>
      <c r="D39" s="11"/>
      <c r="E39" s="20"/>
      <c r="F39" s="20"/>
      <c r="G39" s="20"/>
      <c r="H39" s="20"/>
      <c r="I39" s="20"/>
      <c r="J39" s="20"/>
      <c r="K39" s="20"/>
    </row>
    <row r="40" spans="1:15" s="19" customFormat="1" ht="15">
      <c r="A40" s="56"/>
      <c r="B40" s="13"/>
      <c r="C40" s="10"/>
      <c r="D40" s="46"/>
      <c r="E40" s="20"/>
      <c r="F40" s="20"/>
      <c r="G40" s="20"/>
      <c r="H40" s="20"/>
      <c r="I40" s="20"/>
      <c r="J40" s="20"/>
      <c r="K40" s="57"/>
      <c r="L40" s="58"/>
      <c r="M40" s="58"/>
      <c r="N40" s="58"/>
      <c r="O40" s="58"/>
    </row>
    <row r="41" spans="1:15" s="13" customFormat="1" ht="12.75">
      <c r="A41" s="56"/>
      <c r="C41" s="10"/>
      <c r="D41" s="34"/>
      <c r="E41" s="11"/>
      <c r="F41" s="35"/>
      <c r="G41" s="34"/>
      <c r="H41" s="34"/>
      <c r="I41" s="34"/>
      <c r="J41" s="34"/>
      <c r="K41" s="10"/>
    </row>
    <row r="42" spans="1:15" s="31" customFormat="1" ht="18.75">
      <c r="A42" s="56"/>
      <c r="B42" s="25"/>
      <c r="C42" s="10"/>
      <c r="D42" s="11"/>
      <c r="E42" s="20"/>
      <c r="F42" s="20"/>
      <c r="G42" s="20"/>
      <c r="H42" s="20"/>
      <c r="I42" s="20"/>
      <c r="J42" s="20"/>
      <c r="K42" s="20"/>
    </row>
    <row r="43" spans="1:15" s="19" customFormat="1" ht="15">
      <c r="A43" s="56"/>
      <c r="B43" s="13"/>
      <c r="C43" s="10"/>
      <c r="D43" s="46"/>
      <c r="E43" s="20"/>
      <c r="F43" s="20"/>
      <c r="G43" s="20"/>
      <c r="H43" s="20"/>
      <c r="I43" s="20"/>
      <c r="J43" s="20"/>
      <c r="K43" s="57"/>
      <c r="L43" s="58"/>
      <c r="M43" s="58"/>
      <c r="N43" s="58"/>
      <c r="O43" s="58"/>
    </row>
    <row r="44" spans="1:15" s="13" customFormat="1" ht="12.75">
      <c r="A44" s="56"/>
      <c r="C44" s="10"/>
      <c r="D44" s="34"/>
      <c r="E44" s="11"/>
      <c r="F44" s="35"/>
      <c r="G44" s="34"/>
      <c r="H44" s="34"/>
      <c r="I44" s="34"/>
      <c r="J44" s="34"/>
      <c r="K44" s="10"/>
    </row>
    <row r="45" spans="1:15" s="31" customFormat="1" ht="18.75">
      <c r="A45" s="56"/>
      <c r="B45" s="25"/>
      <c r="C45" s="10"/>
      <c r="D45" s="11"/>
      <c r="E45" s="20"/>
      <c r="F45" s="20"/>
      <c r="G45" s="20"/>
      <c r="H45" s="20"/>
      <c r="I45" s="20"/>
      <c r="J45" s="20"/>
      <c r="K45" s="20"/>
    </row>
    <row r="46" spans="1:15" s="19" customFormat="1" ht="15">
      <c r="A46" s="56"/>
      <c r="B46" s="13"/>
      <c r="C46" s="10"/>
      <c r="D46" s="46"/>
      <c r="E46" s="20"/>
      <c r="F46" s="20"/>
      <c r="G46" s="20"/>
      <c r="H46" s="20"/>
      <c r="I46" s="20"/>
      <c r="J46" s="20"/>
      <c r="K46" s="57"/>
      <c r="L46" s="58"/>
      <c r="M46" s="58"/>
      <c r="N46" s="58"/>
      <c r="O46" s="58"/>
    </row>
    <row r="47" spans="1:15" s="13" customFormat="1" ht="12.75">
      <c r="A47" s="56"/>
      <c r="C47" s="10"/>
      <c r="D47" s="34"/>
      <c r="E47" s="11"/>
      <c r="F47" s="35"/>
      <c r="G47" s="34"/>
      <c r="H47" s="34"/>
      <c r="I47" s="34"/>
      <c r="J47" s="34"/>
      <c r="K47" s="10"/>
    </row>
    <row r="48" spans="1:15" s="31" customFormat="1" ht="18.75">
      <c r="A48" s="56"/>
      <c r="B48" s="25"/>
      <c r="C48" s="10"/>
      <c r="D48" s="11"/>
      <c r="E48" s="20"/>
      <c r="F48" s="20"/>
      <c r="G48" s="20"/>
      <c r="H48" s="20"/>
      <c r="I48" s="20"/>
      <c r="J48" s="20"/>
      <c r="K48" s="20"/>
    </row>
    <row r="49" spans="1:15" s="19" customFormat="1" ht="15">
      <c r="A49" s="56"/>
      <c r="B49" s="13"/>
      <c r="C49" s="10"/>
      <c r="D49" s="46"/>
      <c r="E49" s="20"/>
      <c r="F49" s="20"/>
      <c r="G49" s="20"/>
      <c r="H49" s="20"/>
      <c r="I49" s="20"/>
      <c r="J49" s="20"/>
      <c r="K49" s="57"/>
      <c r="L49" s="58"/>
      <c r="M49" s="58"/>
      <c r="N49" s="58"/>
      <c r="O49" s="58"/>
    </row>
    <row r="50" spans="1:15" s="13" customFormat="1" ht="12.75">
      <c r="A50" s="56"/>
      <c r="C50" s="10"/>
      <c r="D50" s="34"/>
      <c r="E50" s="11"/>
      <c r="F50" s="35"/>
      <c r="G50" s="34"/>
      <c r="H50" s="34"/>
      <c r="I50" s="34"/>
      <c r="J50" s="34"/>
      <c r="K50" s="10"/>
    </row>
    <row r="51" spans="1:15" s="31" customFormat="1" ht="18.75">
      <c r="A51" s="56"/>
      <c r="B51" s="25"/>
      <c r="C51" s="10"/>
      <c r="D51" s="11"/>
      <c r="E51" s="20"/>
      <c r="F51" s="20"/>
      <c r="G51" s="20"/>
      <c r="H51" s="20"/>
      <c r="I51" s="20"/>
      <c r="J51" s="20"/>
      <c r="K51" s="20"/>
    </row>
    <row r="52" spans="1:15" s="19" customFormat="1" ht="15">
      <c r="A52" s="56"/>
      <c r="B52" s="13"/>
      <c r="C52" s="10"/>
      <c r="D52" s="46"/>
      <c r="E52" s="20"/>
      <c r="F52" s="20"/>
      <c r="G52" s="20"/>
      <c r="H52" s="20"/>
      <c r="I52" s="20"/>
      <c r="J52" s="20"/>
      <c r="K52" s="57"/>
      <c r="L52" s="58"/>
      <c r="M52" s="58"/>
      <c r="N52" s="58"/>
      <c r="O52" s="58"/>
    </row>
    <row r="53" spans="1:15" s="13" customFormat="1" ht="12.75">
      <c r="A53" s="56"/>
      <c r="C53" s="10"/>
      <c r="D53" s="34"/>
      <c r="E53" s="11"/>
      <c r="F53" s="35"/>
      <c r="G53" s="34"/>
      <c r="H53" s="34"/>
      <c r="I53" s="34"/>
      <c r="J53" s="34"/>
      <c r="K53" s="10"/>
    </row>
    <row r="54" spans="1:15" s="31" customFormat="1" ht="18.75">
      <c r="A54" s="56"/>
      <c r="B54" s="25"/>
      <c r="C54" s="10"/>
      <c r="D54" s="11"/>
      <c r="E54" s="20"/>
      <c r="F54" s="20"/>
      <c r="G54" s="20"/>
      <c r="H54" s="20"/>
      <c r="I54" s="20"/>
      <c r="J54" s="20"/>
      <c r="K54" s="92"/>
    </row>
    <row r="55" spans="1:15" s="19" customFormat="1" ht="15">
      <c r="A55" s="56"/>
      <c r="B55" s="13"/>
      <c r="C55" s="10"/>
      <c r="D55" s="46"/>
      <c r="E55" s="20"/>
      <c r="F55" s="20"/>
      <c r="G55" s="20"/>
      <c r="H55" s="20"/>
      <c r="I55" s="20"/>
      <c r="J55" s="20"/>
      <c r="K55" s="57"/>
      <c r="L55" s="58"/>
      <c r="M55" s="58"/>
      <c r="N55" s="58"/>
      <c r="O55" s="58"/>
    </row>
    <row r="56" spans="1:15" s="13" customFormat="1" ht="12.75">
      <c r="A56" s="56"/>
      <c r="C56" s="10"/>
      <c r="D56" s="34"/>
      <c r="E56" s="11"/>
      <c r="F56" s="35"/>
      <c r="G56" s="34"/>
      <c r="H56" s="34"/>
      <c r="I56" s="34"/>
      <c r="J56" s="34"/>
    </row>
    <row r="57" spans="1:15" s="31" customFormat="1" ht="18.75">
      <c r="A57" s="56"/>
      <c r="B57" s="25"/>
      <c r="C57" s="10"/>
      <c r="D57" s="11"/>
      <c r="E57" s="20"/>
      <c r="F57" s="20"/>
      <c r="G57" s="20"/>
      <c r="H57" s="20"/>
      <c r="I57" s="20"/>
      <c r="J57" s="20"/>
      <c r="K57" s="20"/>
    </row>
    <row r="58" spans="1:15" s="19" customFormat="1" ht="15">
      <c r="A58" s="56"/>
      <c r="B58" s="13"/>
      <c r="C58" s="10"/>
      <c r="D58" s="46"/>
      <c r="E58" s="20"/>
      <c r="F58" s="20"/>
      <c r="G58" s="20"/>
      <c r="H58" s="20"/>
      <c r="I58" s="20"/>
      <c r="J58" s="20"/>
      <c r="K58" s="57"/>
      <c r="L58" s="58"/>
      <c r="M58" s="58"/>
      <c r="N58" s="58"/>
      <c r="O58" s="58"/>
    </row>
    <row r="59" spans="1:15" s="13" customFormat="1" ht="12.75">
      <c r="A59" s="56"/>
      <c r="C59" s="10"/>
      <c r="D59" s="34"/>
      <c r="E59" s="11"/>
      <c r="F59" s="35"/>
      <c r="G59" s="34"/>
      <c r="H59" s="34"/>
      <c r="I59" s="34"/>
      <c r="J59" s="34"/>
    </row>
    <row r="60" spans="1:15" s="31" customFormat="1" ht="18.75">
      <c r="A60" s="56"/>
      <c r="B60" s="25"/>
      <c r="C60" s="10"/>
      <c r="D60" s="11"/>
      <c r="E60" s="20"/>
      <c r="F60" s="20"/>
      <c r="G60" s="20"/>
      <c r="H60" s="20"/>
      <c r="I60" s="20"/>
      <c r="J60" s="20"/>
      <c r="K60" s="20"/>
    </row>
    <row r="61" spans="1:15">
      <c r="C61" s="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C1D89-5E58-4737-88C7-5DF64A1D68D5}">
  <sheetPr>
    <tabColor rgb="FFC00000"/>
  </sheetPr>
  <dimension ref="A1:S57"/>
  <sheetViews>
    <sheetView topLeftCell="A18" workbookViewId="0">
      <selection activeCell="L22" sqref="L22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0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0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0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0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0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0" ht="14.25">
      <c r="A22" s="54"/>
      <c r="B22" s="74">
        <f>(D21-D28)/D28</f>
        <v>-9.3794076163610796E-2</v>
      </c>
      <c r="C22" s="51">
        <f>SUM(C20:C21)</f>
        <v>12000</v>
      </c>
      <c r="D22" s="52">
        <f>E22/C22</f>
        <v>74.5625</v>
      </c>
      <c r="E22" s="51">
        <f t="shared" ref="E22:J22" si="7">SUM(E20:E21)</f>
        <v>894750</v>
      </c>
      <c r="F22" s="51">
        <f t="shared" si="7"/>
        <v>1789.5</v>
      </c>
      <c r="G22" s="51">
        <f t="shared" si="7"/>
        <v>53.684999999999995</v>
      </c>
      <c r="H22" s="51">
        <f t="shared" si="7"/>
        <v>8.9475000000000016</v>
      </c>
      <c r="I22" s="51">
        <f t="shared" si="7"/>
        <v>129.64927499999999</v>
      </c>
      <c r="J22" s="51">
        <f t="shared" si="7"/>
        <v>896731.78177500004</v>
      </c>
    </row>
    <row r="23" spans="1:10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0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0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0" ht="14.25">
      <c r="A26" s="54"/>
      <c r="B26" s="74">
        <f>(D25-D24)/D24</f>
        <v>-0.1684073107049609</v>
      </c>
      <c r="C26" s="51">
        <f>SUM(C24:C25)</f>
        <v>14000</v>
      </c>
      <c r="D26" s="52">
        <f>E26/C26</f>
        <v>72.767857142857139</v>
      </c>
      <c r="E26" s="51">
        <f t="shared" ref="E26:J26" si="9">SUM(E24:E25)</f>
        <v>1018750</v>
      </c>
      <c r="F26" s="51">
        <f t="shared" si="9"/>
        <v>2037.5</v>
      </c>
      <c r="G26" s="51">
        <f t="shared" si="9"/>
        <v>61.124999999999993</v>
      </c>
      <c r="H26" s="51">
        <f t="shared" si="9"/>
        <v>10.187500000000002</v>
      </c>
      <c r="I26" s="51">
        <f t="shared" si="9"/>
        <v>147.61687499999999</v>
      </c>
      <c r="J26" s="51">
        <f t="shared" si="9"/>
        <v>1021006.4293750001</v>
      </c>
    </row>
    <row r="27" spans="1:10" ht="12.75">
      <c r="A27" s="56">
        <v>44634</v>
      </c>
      <c r="B27" s="13" t="s">
        <v>1</v>
      </c>
      <c r="C27" s="91">
        <v>1000</v>
      </c>
      <c r="D27" s="46">
        <v>44.75</v>
      </c>
      <c r="E27" s="20">
        <f>C27*D27</f>
        <v>44750</v>
      </c>
      <c r="F27" s="20">
        <f>E27*0.002</f>
        <v>89.5</v>
      </c>
      <c r="G27" s="20">
        <f>E27*0.00006</f>
        <v>2.6850000000000001</v>
      </c>
      <c r="H27" s="20">
        <f>E27*0.00001</f>
        <v>0.44750000000000001</v>
      </c>
      <c r="I27" s="20">
        <f>(F27+G27+H27)*0.07</f>
        <v>6.4842750000000011</v>
      </c>
      <c r="J27" s="20">
        <f>E27+F27+I27+G27+H27</f>
        <v>44849.116775000002</v>
      </c>
    </row>
    <row r="28" spans="1:10">
      <c r="B28" s="3">
        <f>(D27-D20)/D20</f>
        <v>-0.40728476821192056</v>
      </c>
      <c r="C28" s="2">
        <f>SUM(C26:C27)</f>
        <v>15000</v>
      </c>
      <c r="D28" s="47">
        <f>E28/C28</f>
        <v>70.900000000000006</v>
      </c>
      <c r="E28" s="2">
        <f t="shared" ref="E28:J28" si="10">SUM(E26:E27)</f>
        <v>1063500</v>
      </c>
      <c r="F28" s="2">
        <f t="shared" si="10"/>
        <v>2127</v>
      </c>
      <c r="G28" s="2">
        <f t="shared" si="10"/>
        <v>63.809999999999995</v>
      </c>
      <c r="H28" s="2">
        <f t="shared" si="10"/>
        <v>10.635000000000002</v>
      </c>
      <c r="I28" s="2">
        <f t="shared" si="10"/>
        <v>154.10114999999999</v>
      </c>
      <c r="J28" s="2">
        <f t="shared" si="10"/>
        <v>1065855.5461500001</v>
      </c>
    </row>
    <row r="29" spans="1:10" ht="12.75">
      <c r="A29" s="56"/>
      <c r="B29" s="13"/>
      <c r="C29" s="91"/>
      <c r="D29" s="46"/>
      <c r="E29" s="20"/>
      <c r="F29" s="20"/>
      <c r="G29" s="20"/>
      <c r="H29" s="20"/>
      <c r="I29" s="20"/>
      <c r="J29" s="20"/>
    </row>
    <row r="30" spans="1:10">
      <c r="B30" s="3"/>
      <c r="C30" s="2"/>
      <c r="E30" s="2"/>
      <c r="F30" s="2"/>
      <c r="G30" s="2"/>
      <c r="H30" s="2"/>
      <c r="I30" s="2"/>
      <c r="J30" s="2"/>
    </row>
    <row r="31" spans="1:10" ht="14.25">
      <c r="A31" s="54"/>
      <c r="B31" s="74"/>
      <c r="C31" s="51"/>
      <c r="D31" s="52"/>
      <c r="E31" s="51"/>
      <c r="F31" s="51"/>
      <c r="G31" s="51"/>
      <c r="H31" s="51"/>
      <c r="I31" s="51"/>
      <c r="J31" s="51"/>
    </row>
    <row r="32" spans="1:10" ht="12.75">
      <c r="A32" s="49">
        <v>44634</v>
      </c>
      <c r="B32" s="15" t="s">
        <v>1</v>
      </c>
      <c r="C32" s="88">
        <v>1000</v>
      </c>
      <c r="D32" s="41">
        <v>57.5</v>
      </c>
      <c r="E32" s="18">
        <f>C32*D32</f>
        <v>57500</v>
      </c>
      <c r="F32" s="18">
        <f>E32*0.002</f>
        <v>115</v>
      </c>
      <c r="G32" s="18">
        <f>E32*0.00006</f>
        <v>3.45</v>
      </c>
      <c r="H32" s="18">
        <f>E32*0.00001</f>
        <v>0.57500000000000007</v>
      </c>
      <c r="I32" s="18">
        <f>(F32+G32+H32)*0.07</f>
        <v>8.3317500000000013</v>
      </c>
      <c r="J32" s="18">
        <f>E32+F32+I32+G32+H32</f>
        <v>57627.356749999992</v>
      </c>
    </row>
    <row r="33" spans="1:15" s="13" customFormat="1" ht="12.75">
      <c r="A33" s="49">
        <v>44866</v>
      </c>
      <c r="B33" s="15" t="s">
        <v>3</v>
      </c>
      <c r="C33" s="16">
        <f>C32</f>
        <v>1000</v>
      </c>
      <c r="D33" s="26">
        <v>44.25</v>
      </c>
      <c r="E33" s="17">
        <f>C33*D33</f>
        <v>44250</v>
      </c>
      <c r="F33" s="27">
        <f>E33*0.002</f>
        <v>88.5</v>
      </c>
      <c r="G33" s="26">
        <f>E33*0.000068</f>
        <v>3.0089999999999999</v>
      </c>
      <c r="H33" s="26">
        <f>E33*0.00001</f>
        <v>0.44250000000000006</v>
      </c>
      <c r="I33" s="26">
        <f>(F33+G33+H33)*0.07</f>
        <v>6.4366050000000001</v>
      </c>
      <c r="J33" s="26">
        <f>E33-F33-G33-H33-I33</f>
        <v>44151.611895000002</v>
      </c>
      <c r="K33" s="16">
        <f>C33</f>
        <v>1000</v>
      </c>
    </row>
    <row r="34" spans="1:15" s="31" customFormat="1" ht="18.75">
      <c r="A34" s="49" t="s">
        <v>4</v>
      </c>
      <c r="B34" s="7">
        <f>(D33-D32)/D32</f>
        <v>-0.23043478260869565</v>
      </c>
      <c r="C34" s="16"/>
      <c r="D34" s="17"/>
      <c r="E34" s="18">
        <f>E33-E32</f>
        <v>-13250</v>
      </c>
      <c r="F34" s="18"/>
      <c r="G34" s="18"/>
      <c r="H34" s="18"/>
      <c r="I34" s="18"/>
      <c r="J34" s="18">
        <f>J33-J32</f>
        <v>-13475.74485499999</v>
      </c>
      <c r="K34" s="18">
        <f>J34</f>
        <v>-13475.74485499999</v>
      </c>
    </row>
    <row r="35" spans="1:15" s="31" customFormat="1" ht="18.75">
      <c r="A35" s="56"/>
      <c r="B35" s="25"/>
      <c r="C35" s="10"/>
      <c r="D35" s="11"/>
      <c r="E35" s="20"/>
      <c r="F35" s="20"/>
      <c r="G35" s="20"/>
      <c r="H35" s="20"/>
      <c r="I35" s="20"/>
      <c r="J35" s="20"/>
      <c r="K35" s="20"/>
    </row>
    <row r="36" spans="1:15" s="19" customFormat="1" ht="15">
      <c r="A36" s="56">
        <v>44634</v>
      </c>
      <c r="B36" s="13" t="s">
        <v>1</v>
      </c>
      <c r="C36" s="10">
        <v>1000</v>
      </c>
      <c r="D36" s="46">
        <v>57.5</v>
      </c>
      <c r="E36" s="20">
        <f>C36*D36</f>
        <v>57500</v>
      </c>
      <c r="F36" s="20">
        <f>E36*0.002</f>
        <v>115</v>
      </c>
      <c r="G36" s="20">
        <f>E36*0.00006</f>
        <v>3.45</v>
      </c>
      <c r="H36" s="20">
        <f>E36*0.00001</f>
        <v>0.57500000000000007</v>
      </c>
      <c r="I36" s="20">
        <f>(F36+G36+H36)*0.07</f>
        <v>8.3317500000000013</v>
      </c>
      <c r="J36" s="20">
        <f>E36+F36+I36+G36+H36</f>
        <v>57627.356749999992</v>
      </c>
      <c r="K36" s="57"/>
      <c r="L36" s="58"/>
      <c r="M36" s="58"/>
      <c r="N36" s="58"/>
      <c r="O36" s="58"/>
    </row>
    <row r="37" spans="1:15" s="13" customFormat="1" ht="12.75">
      <c r="A37" s="56">
        <v>44524</v>
      </c>
      <c r="B37" s="13" t="s">
        <v>3</v>
      </c>
      <c r="C37" s="10">
        <f>C36</f>
        <v>1000</v>
      </c>
      <c r="D37" s="34">
        <f>D33</f>
        <v>44.25</v>
      </c>
      <c r="E37" s="11">
        <f>C37*D37</f>
        <v>44250</v>
      </c>
      <c r="F37" s="35">
        <f>E37*0.002</f>
        <v>88.5</v>
      </c>
      <c r="G37" s="34">
        <f>E37*0.000068</f>
        <v>3.0089999999999999</v>
      </c>
      <c r="H37" s="34">
        <f>E37*0.00001</f>
        <v>0.44250000000000006</v>
      </c>
      <c r="I37" s="34">
        <f>(F37+G37+H37)*0.07</f>
        <v>6.4366050000000001</v>
      </c>
      <c r="J37" s="34">
        <f>E37-F37-G37-H37-I37</f>
        <v>44151.611895000002</v>
      </c>
      <c r="K37" s="10">
        <f>C33+C37</f>
        <v>2000</v>
      </c>
    </row>
    <row r="38" spans="1:15" s="31" customFormat="1" ht="18.75">
      <c r="A38" s="56" t="s">
        <v>4</v>
      </c>
      <c r="B38" s="25">
        <f>(D37-D36)/D36</f>
        <v>-0.23043478260869565</v>
      </c>
      <c r="C38" s="10"/>
      <c r="D38" s="11"/>
      <c r="E38" s="20">
        <f>E37-E36</f>
        <v>-13250</v>
      </c>
      <c r="F38" s="20"/>
      <c r="G38" s="20"/>
      <c r="H38" s="20"/>
      <c r="I38" s="20"/>
      <c r="J38" s="20">
        <f>J37-J36</f>
        <v>-13475.74485499999</v>
      </c>
      <c r="K38" s="20">
        <f>K34+J38</f>
        <v>-26951.48970999998</v>
      </c>
    </row>
    <row r="39" spans="1:15" s="19" customFormat="1" ht="15">
      <c r="A39" s="56">
        <v>44623</v>
      </c>
      <c r="B39" s="13" t="s">
        <v>1</v>
      </c>
      <c r="C39" s="10">
        <v>1000</v>
      </c>
      <c r="D39" s="46">
        <v>58</v>
      </c>
      <c r="E39" s="20">
        <f>C39*D39</f>
        <v>58000</v>
      </c>
      <c r="F39" s="20">
        <f>E39*0.002</f>
        <v>116</v>
      </c>
      <c r="G39" s="20">
        <f>E39*0.00006</f>
        <v>3.48</v>
      </c>
      <c r="H39" s="20">
        <f>E39*0.00001</f>
        <v>0.58000000000000007</v>
      </c>
      <c r="I39" s="20">
        <f>(F39+G39+H39)*0.07</f>
        <v>8.4042000000000012</v>
      </c>
      <c r="J39" s="20">
        <f>E39+F39+I39+G39+H39</f>
        <v>58128.464200000002</v>
      </c>
      <c r="K39" s="57"/>
      <c r="L39" s="58"/>
      <c r="M39" s="58"/>
      <c r="N39" s="58"/>
      <c r="O39" s="58"/>
    </row>
    <row r="40" spans="1:15" s="13" customFormat="1" ht="12.75">
      <c r="A40" s="56">
        <v>44524</v>
      </c>
      <c r="B40" s="13" t="s">
        <v>3</v>
      </c>
      <c r="C40" s="10">
        <f>C39</f>
        <v>1000</v>
      </c>
      <c r="D40" s="34">
        <f>D37</f>
        <v>44.25</v>
      </c>
      <c r="E40" s="11">
        <f>C40*D40</f>
        <v>44250</v>
      </c>
      <c r="F40" s="35">
        <f>E40*0.002</f>
        <v>88.5</v>
      </c>
      <c r="G40" s="34">
        <f>E40*0.000068</f>
        <v>3.0089999999999999</v>
      </c>
      <c r="H40" s="34">
        <f>E40*0.00001</f>
        <v>0.44250000000000006</v>
      </c>
      <c r="I40" s="34">
        <f>(F40+G40+H40)*0.07</f>
        <v>6.4366050000000001</v>
      </c>
      <c r="J40" s="34">
        <f>E40-F40-G40-H40-I40</f>
        <v>44151.611895000002</v>
      </c>
      <c r="K40" s="10">
        <f>K37+C40</f>
        <v>3000</v>
      </c>
    </row>
    <row r="41" spans="1:15" s="31" customFormat="1" ht="18.75">
      <c r="A41" s="56" t="s">
        <v>4</v>
      </c>
      <c r="B41" s="25">
        <f>(D40-D39)/D39</f>
        <v>-0.23706896551724138</v>
      </c>
      <c r="C41" s="10"/>
      <c r="D41" s="11"/>
      <c r="E41" s="20">
        <f>E40-E39</f>
        <v>-13750</v>
      </c>
      <c r="F41" s="20"/>
      <c r="G41" s="20"/>
      <c r="H41" s="20"/>
      <c r="I41" s="20"/>
      <c r="J41" s="20">
        <f>J40-J39</f>
        <v>-13976.852305</v>
      </c>
      <c r="K41" s="20">
        <f>K38+J41</f>
        <v>-40928.34201499998</v>
      </c>
    </row>
    <row r="42" spans="1:15" s="19" customFormat="1" ht="15">
      <c r="A42" s="56">
        <v>44603</v>
      </c>
      <c r="B42" s="13" t="s">
        <v>1</v>
      </c>
      <c r="C42" s="10">
        <v>1000</v>
      </c>
      <c r="D42" s="46">
        <v>61.5</v>
      </c>
      <c r="E42" s="20">
        <f>C42*D42</f>
        <v>61500</v>
      </c>
      <c r="F42" s="20">
        <f>E42*0.002</f>
        <v>123</v>
      </c>
      <c r="G42" s="20">
        <f>E42*0.00006</f>
        <v>3.69</v>
      </c>
      <c r="H42" s="20">
        <f>E42*0.00001</f>
        <v>0.6150000000000001</v>
      </c>
      <c r="I42" s="20">
        <f>(F42+G42+H42)*0.07</f>
        <v>8.9113500000000005</v>
      </c>
      <c r="J42" s="20">
        <f>E42+F42+I42+G42+H42</f>
        <v>61636.216350000002</v>
      </c>
      <c r="K42" s="57"/>
      <c r="L42" s="58"/>
      <c r="M42" s="58"/>
      <c r="N42" s="58"/>
      <c r="O42" s="58"/>
    </row>
    <row r="43" spans="1:15" s="13" customFormat="1" ht="12.75">
      <c r="A43" s="56">
        <v>44524</v>
      </c>
      <c r="B43" s="13" t="s">
        <v>3</v>
      </c>
      <c r="C43" s="10">
        <f>C42</f>
        <v>1000</v>
      </c>
      <c r="D43" s="34">
        <f>D40</f>
        <v>44.25</v>
      </c>
      <c r="E43" s="11">
        <f>C43*D43</f>
        <v>44250</v>
      </c>
      <c r="F43" s="35">
        <f>E43*0.002</f>
        <v>88.5</v>
      </c>
      <c r="G43" s="34">
        <f>E43*0.000068</f>
        <v>3.0089999999999999</v>
      </c>
      <c r="H43" s="34">
        <f>E43*0.00001</f>
        <v>0.44250000000000006</v>
      </c>
      <c r="I43" s="34">
        <f>(F43+G43+H43)*0.07</f>
        <v>6.4366050000000001</v>
      </c>
      <c r="J43" s="34">
        <f>E43-F43-G43-H43-I43</f>
        <v>44151.611895000002</v>
      </c>
      <c r="K43" s="10">
        <f>K40+C43</f>
        <v>4000</v>
      </c>
    </row>
    <row r="44" spans="1:15" s="31" customFormat="1" ht="18.75">
      <c r="A44" s="56" t="s">
        <v>4</v>
      </c>
      <c r="B44" s="25">
        <f>(D43-D42)/D42</f>
        <v>-0.28048780487804881</v>
      </c>
      <c r="C44" s="10"/>
      <c r="D44" s="11"/>
      <c r="E44" s="20">
        <f>E43-E42</f>
        <v>-17250</v>
      </c>
      <c r="F44" s="20"/>
      <c r="G44" s="20"/>
      <c r="H44" s="20"/>
      <c r="I44" s="20"/>
      <c r="J44" s="20">
        <f>J43-J42</f>
        <v>-17484.604455000001</v>
      </c>
      <c r="K44" s="20">
        <f>K41+J44</f>
        <v>-58412.946469999981</v>
      </c>
    </row>
    <row r="45" spans="1:15" s="19" customFormat="1" ht="15">
      <c r="A45" s="56">
        <v>44601</v>
      </c>
      <c r="B45" s="13" t="s">
        <v>1</v>
      </c>
      <c r="C45" s="10">
        <v>3000</v>
      </c>
      <c r="D45" s="46">
        <v>67</v>
      </c>
      <c r="E45" s="20">
        <f>C45*D45</f>
        <v>201000</v>
      </c>
      <c r="F45" s="20">
        <f>E45*0.002</f>
        <v>402</v>
      </c>
      <c r="G45" s="20">
        <f>E45*0.00006</f>
        <v>12.06</v>
      </c>
      <c r="H45" s="20">
        <f>E45*0.00001</f>
        <v>2.0100000000000002</v>
      </c>
      <c r="I45" s="20">
        <f>(F45+G45+H45)*0.07</f>
        <v>29.124900000000004</v>
      </c>
      <c r="J45" s="20">
        <f>E45+F45+I45+G45+H45</f>
        <v>201445.1949</v>
      </c>
      <c r="K45" s="57"/>
      <c r="L45" s="58"/>
      <c r="M45" s="58"/>
      <c r="N45" s="58"/>
      <c r="O45" s="58"/>
    </row>
    <row r="46" spans="1:15" s="13" customFormat="1" ht="12.75">
      <c r="A46" s="56">
        <v>44524</v>
      </c>
      <c r="B46" s="13" t="s">
        <v>3</v>
      </c>
      <c r="C46" s="10">
        <f>C45</f>
        <v>3000</v>
      </c>
      <c r="D46" s="34">
        <f>D43</f>
        <v>44.25</v>
      </c>
      <c r="E46" s="11">
        <f>C46*D46</f>
        <v>132750</v>
      </c>
      <c r="F46" s="35">
        <f>E46*0.002</f>
        <v>265.5</v>
      </c>
      <c r="G46" s="34">
        <f>E46*0.000068</f>
        <v>9.0269999999999992</v>
      </c>
      <c r="H46" s="34">
        <f>E46*0.00001</f>
        <v>1.3275000000000001</v>
      </c>
      <c r="I46" s="34">
        <f>(F46+G46+H46)*0.07</f>
        <v>19.309815</v>
      </c>
      <c r="J46" s="34">
        <f>E46-F46-G46-H46-I46</f>
        <v>132454.835685</v>
      </c>
      <c r="K46" s="10">
        <f>K43+C46</f>
        <v>7000</v>
      </c>
    </row>
    <row r="47" spans="1:15" s="31" customFormat="1" ht="18.75">
      <c r="A47" s="56" t="s">
        <v>4</v>
      </c>
      <c r="B47" s="25">
        <f>(D46-D45)/D45</f>
        <v>-0.33955223880597013</v>
      </c>
      <c r="C47" s="10"/>
      <c r="D47" s="11"/>
      <c r="E47" s="20">
        <f>E46-E45</f>
        <v>-68250</v>
      </c>
      <c r="F47" s="20"/>
      <c r="G47" s="20"/>
      <c r="H47" s="20"/>
      <c r="I47" s="20"/>
      <c r="J47" s="20">
        <f>J46-J45</f>
        <v>-68990.359215000004</v>
      </c>
      <c r="K47" s="20">
        <f>K44+J47</f>
        <v>-127403.30568499998</v>
      </c>
    </row>
    <row r="48" spans="1:15" s="19" customFormat="1" ht="15">
      <c r="A48" s="56">
        <v>44579</v>
      </c>
      <c r="B48" s="13" t="s">
        <v>1</v>
      </c>
      <c r="C48" s="10">
        <v>2000</v>
      </c>
      <c r="D48" s="46">
        <v>81</v>
      </c>
      <c r="E48" s="20">
        <f>C48*D48</f>
        <v>162000</v>
      </c>
      <c r="F48" s="20">
        <f>E48*0.002</f>
        <v>324</v>
      </c>
      <c r="G48" s="20">
        <f>E48*0.00006</f>
        <v>9.7200000000000006</v>
      </c>
      <c r="H48" s="20">
        <f>E48*0.00001</f>
        <v>1.62</v>
      </c>
      <c r="I48" s="20">
        <f>(F48+G48+H48)*0.07</f>
        <v>23.473800000000004</v>
      </c>
      <c r="J48" s="20">
        <f>E48+F48+I48+G48+H48</f>
        <v>162358.8138</v>
      </c>
      <c r="K48" s="57"/>
      <c r="L48" s="58"/>
      <c r="M48" s="58"/>
      <c r="N48" s="58"/>
      <c r="O48" s="58"/>
    </row>
    <row r="49" spans="1:15" s="13" customFormat="1" ht="12.75">
      <c r="A49" s="56">
        <v>44524</v>
      </c>
      <c r="B49" s="13" t="s">
        <v>3</v>
      </c>
      <c r="C49" s="10">
        <f>C48</f>
        <v>2000</v>
      </c>
      <c r="D49" s="34">
        <f>D43</f>
        <v>44.25</v>
      </c>
      <c r="E49" s="11">
        <f>C49*D49</f>
        <v>88500</v>
      </c>
      <c r="F49" s="35">
        <f>E49*0.002</f>
        <v>177</v>
      </c>
      <c r="G49" s="34">
        <f>E49*0.000068</f>
        <v>6.0179999999999998</v>
      </c>
      <c r="H49" s="34">
        <f>E49*0.00001</f>
        <v>0.88500000000000012</v>
      </c>
      <c r="I49" s="34">
        <f>(F49+G49+H49)*0.07</f>
        <v>12.87321</v>
      </c>
      <c r="J49" s="34">
        <f>E49-F49-G49-H49-I49</f>
        <v>88303.223790000004</v>
      </c>
      <c r="K49" s="10">
        <f>K46+C49</f>
        <v>9000</v>
      </c>
    </row>
    <row r="50" spans="1:15" s="31" customFormat="1" ht="18.75">
      <c r="A50" s="56" t="s">
        <v>4</v>
      </c>
      <c r="B50" s="25">
        <f>(D49-D48)/D48</f>
        <v>-0.45370370370370372</v>
      </c>
      <c r="C50" s="10"/>
      <c r="D50" s="11"/>
      <c r="E50" s="20">
        <f>E49-E48</f>
        <v>-73500</v>
      </c>
      <c r="F50" s="20"/>
      <c r="G50" s="20"/>
      <c r="H50" s="20"/>
      <c r="I50" s="20"/>
      <c r="J50" s="20">
        <f>J49-J48</f>
        <v>-74055.59001</v>
      </c>
      <c r="K50" s="92">
        <f>K47+J50</f>
        <v>-201458.89569499998</v>
      </c>
    </row>
    <row r="51" spans="1:15" s="19" customFormat="1" ht="15">
      <c r="A51" s="56">
        <v>44544</v>
      </c>
      <c r="B51" s="13" t="s">
        <v>1</v>
      </c>
      <c r="C51" s="10">
        <v>2000</v>
      </c>
      <c r="D51" s="46">
        <v>87</v>
      </c>
      <c r="E51" s="20">
        <f>C51*D51</f>
        <v>174000</v>
      </c>
      <c r="F51" s="20">
        <f>E51*0.002</f>
        <v>348</v>
      </c>
      <c r="G51" s="20">
        <f>E51*0.00006</f>
        <v>10.44</v>
      </c>
      <c r="H51" s="20">
        <f>E51*0.00001</f>
        <v>1.7400000000000002</v>
      </c>
      <c r="I51" s="20">
        <f>(F51+G51+H51)*0.07</f>
        <v>25.212600000000002</v>
      </c>
      <c r="J51" s="20">
        <f>E51+F51+I51+G51+H51</f>
        <v>174385.39259999999</v>
      </c>
      <c r="K51" s="57"/>
      <c r="L51" s="58"/>
      <c r="M51" s="58"/>
      <c r="N51" s="58"/>
      <c r="O51" s="58"/>
    </row>
    <row r="52" spans="1:15" s="13" customFormat="1" ht="12.75">
      <c r="A52" s="56">
        <v>44524</v>
      </c>
      <c r="B52" s="13" t="s">
        <v>3</v>
      </c>
      <c r="C52" s="10">
        <f>C51</f>
        <v>2000</v>
      </c>
      <c r="D52" s="34">
        <f>D43</f>
        <v>44.25</v>
      </c>
      <c r="E52" s="11">
        <f>C52*D52</f>
        <v>88500</v>
      </c>
      <c r="F52" s="35">
        <f>E52*0.002</f>
        <v>177</v>
      </c>
      <c r="G52" s="34">
        <f>E52*0.000068</f>
        <v>6.0179999999999998</v>
      </c>
      <c r="H52" s="34">
        <f>E52*0.00001</f>
        <v>0.88500000000000012</v>
      </c>
      <c r="I52" s="34">
        <f>(F52+G52+H52)*0.07</f>
        <v>12.87321</v>
      </c>
      <c r="J52" s="34">
        <f>E52-F52-G52-H52-I52</f>
        <v>88303.223790000004</v>
      </c>
    </row>
    <row r="53" spans="1:15" s="31" customFormat="1" ht="18.75">
      <c r="A53" s="56" t="s">
        <v>4</v>
      </c>
      <c r="B53" s="25">
        <f>(D52-D51)/D51</f>
        <v>-0.49137931034482757</v>
      </c>
      <c r="C53" s="10"/>
      <c r="D53" s="11"/>
      <c r="E53" s="20">
        <f>E52-E51</f>
        <v>-85500</v>
      </c>
      <c r="F53" s="20"/>
      <c r="G53" s="20"/>
      <c r="H53" s="20"/>
      <c r="I53" s="20"/>
      <c r="J53" s="20">
        <f>J52-J51</f>
        <v>-86082.168809999988</v>
      </c>
      <c r="K53" s="20">
        <f>K50+J53</f>
        <v>-287541.06450499996</v>
      </c>
    </row>
    <row r="54" spans="1:15" s="19" customFormat="1" ht="15">
      <c r="A54" s="56">
        <v>44476</v>
      </c>
      <c r="B54" s="13" t="s">
        <v>1</v>
      </c>
      <c r="C54" s="10">
        <v>2000</v>
      </c>
      <c r="D54" s="46">
        <v>87</v>
      </c>
      <c r="E54" s="20">
        <f>C54*D54</f>
        <v>174000</v>
      </c>
      <c r="F54" s="20">
        <f>E54*0.002</f>
        <v>348</v>
      </c>
      <c r="G54" s="20">
        <f>E54*0.00006</f>
        <v>10.44</v>
      </c>
      <c r="H54" s="20">
        <f>E54*0.00001</f>
        <v>1.7400000000000002</v>
      </c>
      <c r="I54" s="20">
        <f>(F54+G54+H54)*0.07</f>
        <v>25.212600000000002</v>
      </c>
      <c r="J54" s="20">
        <f>E54+F54+I54+G54+H54</f>
        <v>174385.39259999999</v>
      </c>
      <c r="K54" s="57"/>
      <c r="L54" s="58"/>
      <c r="M54" s="58"/>
      <c r="N54" s="58"/>
      <c r="O54" s="58"/>
    </row>
    <row r="55" spans="1:15" s="13" customFormat="1" ht="12.75">
      <c r="A55" s="56">
        <v>44524</v>
      </c>
      <c r="B55" s="13" t="s">
        <v>3</v>
      </c>
      <c r="C55" s="10">
        <f>C54</f>
        <v>2000</v>
      </c>
      <c r="D55" s="34">
        <f>D43</f>
        <v>44.25</v>
      </c>
      <c r="E55" s="11">
        <f>C55*D55</f>
        <v>88500</v>
      </c>
      <c r="F55" s="35">
        <f>E55*0.002</f>
        <v>177</v>
      </c>
      <c r="G55" s="34">
        <f>E55*0.000068</f>
        <v>6.0179999999999998</v>
      </c>
      <c r="H55" s="34">
        <f>E55*0.00001</f>
        <v>0.88500000000000012</v>
      </c>
      <c r="I55" s="34">
        <f>(F55+G55+H55)*0.07</f>
        <v>12.87321</v>
      </c>
      <c r="J55" s="34">
        <f>E55-F55-G55-H55-I55</f>
        <v>88303.223790000004</v>
      </c>
    </row>
    <row r="56" spans="1:15" s="31" customFormat="1" ht="18.75">
      <c r="A56" s="56" t="s">
        <v>4</v>
      </c>
      <c r="B56" s="25">
        <f>(D55-D54)/D54</f>
        <v>-0.49137931034482757</v>
      </c>
      <c r="C56" s="10"/>
      <c r="D56" s="11"/>
      <c r="E56" s="20">
        <f>E55-E54</f>
        <v>-85500</v>
      </c>
      <c r="F56" s="20"/>
      <c r="G56" s="20"/>
      <c r="H56" s="20"/>
      <c r="I56" s="20"/>
      <c r="J56" s="20">
        <f>J55-J54</f>
        <v>-86082.168809999988</v>
      </c>
      <c r="K56" s="20">
        <f>K53+J56</f>
        <v>-373623.23331499996</v>
      </c>
    </row>
    <row r="57" spans="1:15">
      <c r="C57" s="2">
        <f>C36+C39+C42+C45+C48+C51+C54</f>
        <v>12000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50"/>
  <sheetViews>
    <sheetView topLeftCell="A20" workbookViewId="0">
      <selection activeCell="D28" sqref="D28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5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5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5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5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5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5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5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5" s="13" customFormat="1" ht="12.75">
      <c r="A24" s="49">
        <v>44943</v>
      </c>
      <c r="B24" s="15" t="s">
        <v>3</v>
      </c>
      <c r="C24" s="16">
        <f>C23</f>
        <v>3000</v>
      </c>
      <c r="D24" s="26">
        <v>50.75</v>
      </c>
      <c r="E24" s="17">
        <f>C24*D24</f>
        <v>152250</v>
      </c>
      <c r="F24" s="27">
        <f>E24*0.002</f>
        <v>304.5</v>
      </c>
      <c r="G24" s="26">
        <f>E24*0.000068</f>
        <v>10.353</v>
      </c>
      <c r="H24" s="26">
        <f>E24*0.00001</f>
        <v>1.5225000000000002</v>
      </c>
      <c r="I24" s="26">
        <f>(F24+G24+H24)*0.07</f>
        <v>22.146285000000002</v>
      </c>
      <c r="J24" s="26">
        <f>E24-F24-G24-H24-I24</f>
        <v>151911.47821500001</v>
      </c>
    </row>
    <row r="25" spans="1:15" s="31" customFormat="1" ht="18.75">
      <c r="A25" s="49" t="s">
        <v>4</v>
      </c>
      <c r="B25" s="7">
        <f>(D24-D23)/D23</f>
        <v>-6.4516129032258063E-2</v>
      </c>
      <c r="C25" s="16"/>
      <c r="D25" s="17"/>
      <c r="E25" s="18">
        <f>E24-E23</f>
        <v>-10500</v>
      </c>
      <c r="F25" s="18"/>
      <c r="G25" s="18"/>
      <c r="H25" s="18"/>
      <c r="I25" s="18"/>
      <c r="J25" s="18">
        <f>J24-J23</f>
        <v>-11198.996760000009</v>
      </c>
      <c r="K25" s="12"/>
    </row>
    <row r="26" spans="1:15" s="21" customFormat="1" ht="12.75">
      <c r="A26" s="49">
        <v>44943</v>
      </c>
      <c r="B26" s="7" t="s">
        <v>6</v>
      </c>
      <c r="C26" s="5">
        <v>6000</v>
      </c>
      <c r="D26" s="71">
        <v>64.75</v>
      </c>
      <c r="E26" s="5">
        <v>388500</v>
      </c>
      <c r="F26" s="5">
        <v>777</v>
      </c>
      <c r="G26" s="5">
        <v>25.659599999999998</v>
      </c>
      <c r="H26" s="5">
        <v>3.8850000000000002</v>
      </c>
      <c r="I26" s="5">
        <v>56.458122000000003</v>
      </c>
      <c r="J26" s="5">
        <v>389363.002722</v>
      </c>
      <c r="L26" s="25"/>
    </row>
    <row r="27" spans="1:15" s="19" customFormat="1" ht="15">
      <c r="A27" s="56">
        <v>44543</v>
      </c>
      <c r="B27" s="13" t="s">
        <v>1</v>
      </c>
      <c r="C27" s="10">
        <v>3000</v>
      </c>
      <c r="D27" s="46">
        <v>48.25</v>
      </c>
      <c r="E27" s="20">
        <f>C27*D27</f>
        <v>144750</v>
      </c>
      <c r="F27" s="20">
        <f>E27*0.002</f>
        <v>289.5</v>
      </c>
      <c r="G27" s="20">
        <f>E27*0.00006</f>
        <v>8.6850000000000005</v>
      </c>
      <c r="H27" s="20">
        <f>E27*0.00001</f>
        <v>1.4475</v>
      </c>
      <c r="I27" s="20">
        <f>(F27+G27+H27)*0.07</f>
        <v>20.974275000000002</v>
      </c>
      <c r="J27" s="20">
        <f>E27+F27+I27+G27+H27</f>
        <v>145070.60677499999</v>
      </c>
      <c r="K27" s="57"/>
      <c r="L27" s="58"/>
      <c r="M27" s="58"/>
      <c r="N27" s="58"/>
      <c r="O27" s="58"/>
    </row>
    <row r="28" spans="1:15" ht="12.75">
      <c r="B28" s="3">
        <f>(D27-D26)/D26</f>
        <v>-0.25482625482625482</v>
      </c>
      <c r="C28" s="2">
        <f>SUM(C26:C27)</f>
        <v>9000</v>
      </c>
      <c r="D28" s="47">
        <f>E28/C28</f>
        <v>59.25</v>
      </c>
      <c r="E28" s="2">
        <f t="shared" ref="E28:J28" si="11">SUM(E26:E27)</f>
        <v>533250</v>
      </c>
      <c r="F28" s="2">
        <f t="shared" si="11"/>
        <v>1066.5</v>
      </c>
      <c r="G28" s="2">
        <f t="shared" si="11"/>
        <v>34.3446</v>
      </c>
      <c r="H28" s="2">
        <f t="shared" si="11"/>
        <v>5.3325000000000005</v>
      </c>
      <c r="I28" s="2">
        <f t="shared" si="11"/>
        <v>77.432397000000009</v>
      </c>
      <c r="J28" s="2">
        <f t="shared" si="11"/>
        <v>534433.609497</v>
      </c>
      <c r="K28" s="57"/>
      <c r="L28" s="58"/>
      <c r="M28" s="58"/>
      <c r="N28" s="59"/>
      <c r="O28" s="59"/>
    </row>
    <row r="29" spans="1:15" s="21" customFormat="1" ht="12.75">
      <c r="A29" s="90"/>
      <c r="B29" s="7"/>
      <c r="C29" s="5"/>
      <c r="D29" s="71"/>
      <c r="E29" s="5"/>
      <c r="F29" s="5"/>
      <c r="G29" s="5"/>
      <c r="H29" s="5"/>
      <c r="I29" s="5"/>
      <c r="J29" s="5"/>
      <c r="L29" s="25"/>
    </row>
    <row r="30" spans="1:15" s="21" customFormat="1" ht="12.75">
      <c r="A30" s="90"/>
      <c r="B30" s="7"/>
      <c r="C30" s="5"/>
      <c r="D30" s="71"/>
      <c r="E30" s="5"/>
      <c r="F30" s="5"/>
      <c r="G30" s="5"/>
      <c r="H30" s="5"/>
      <c r="I30" s="5"/>
      <c r="J30" s="5"/>
      <c r="L30" s="25"/>
    </row>
    <row r="31" spans="1:15" s="13" customFormat="1">
      <c r="A31" s="49">
        <v>44623</v>
      </c>
      <c r="B31" s="15" t="s">
        <v>1</v>
      </c>
      <c r="C31" s="16">
        <v>3000</v>
      </c>
      <c r="D31" s="69">
        <v>51.25</v>
      </c>
      <c r="E31" s="18">
        <f>C31*D31</f>
        <v>153750</v>
      </c>
      <c r="F31" s="18">
        <f>E31*0.002</f>
        <v>307.5</v>
      </c>
      <c r="G31" s="18">
        <f>E31*0.00006</f>
        <v>9.2249999999999996</v>
      </c>
      <c r="H31" s="18">
        <f>E31*0.00001</f>
        <v>1.5375000000000001</v>
      </c>
      <c r="I31" s="18">
        <f>(F31+G31+H31)*0.07</f>
        <v>22.278375000000004</v>
      </c>
      <c r="J31" s="18">
        <f>E31+F31+I31+G31+H31</f>
        <v>154090.54087500001</v>
      </c>
      <c r="K31" s="11"/>
      <c r="L31" s="12"/>
    </row>
    <row r="32" spans="1:15" s="13" customFormat="1" ht="12.75">
      <c r="A32" s="49">
        <v>44865</v>
      </c>
      <c r="B32" s="15" t="s">
        <v>3</v>
      </c>
      <c r="C32" s="16">
        <f>C31</f>
        <v>3000</v>
      </c>
      <c r="D32" s="26">
        <v>43.5</v>
      </c>
      <c r="E32" s="17">
        <f>C32*D32</f>
        <v>130500</v>
      </c>
      <c r="F32" s="27">
        <f>E32*0.002</f>
        <v>261</v>
      </c>
      <c r="G32" s="26">
        <f>E32*0.000068</f>
        <v>8.8740000000000006</v>
      </c>
      <c r="H32" s="26">
        <f>E32*0.00001</f>
        <v>1.3050000000000002</v>
      </c>
      <c r="I32" s="26">
        <f>(F32+G32+H32)*0.07</f>
        <v>18.982530000000004</v>
      </c>
      <c r="J32" s="26">
        <f>E32-F32-G32-H32-I32</f>
        <v>130209.83847000002</v>
      </c>
    </row>
    <row r="33" spans="1:15" s="31" customFormat="1" ht="18.75">
      <c r="A33" s="49" t="s">
        <v>4</v>
      </c>
      <c r="B33" s="7">
        <f>(D32-D31)/D31</f>
        <v>-0.15121951219512195</v>
      </c>
      <c r="C33" s="16"/>
      <c r="D33" s="17"/>
      <c r="E33" s="18">
        <f>E32-E31</f>
        <v>-23250</v>
      </c>
      <c r="F33" s="18"/>
      <c r="G33" s="18"/>
      <c r="H33" s="18"/>
      <c r="I33" s="18"/>
      <c r="J33" s="18">
        <f>J32-J31</f>
        <v>-23880.702404999989</v>
      </c>
      <c r="K33" s="12"/>
    </row>
    <row r="34" spans="1:15">
      <c r="A34" s="50" t="s">
        <v>7</v>
      </c>
    </row>
    <row r="35" spans="1:15">
      <c r="A35" s="50">
        <v>44620</v>
      </c>
    </row>
    <row r="36" spans="1:15" s="19" customFormat="1" ht="16.5">
      <c r="A36" s="56">
        <v>44619</v>
      </c>
      <c r="B36" s="13" t="s">
        <v>1</v>
      </c>
      <c r="C36" s="16">
        <v>3000</v>
      </c>
      <c r="D36" s="46">
        <v>54.25</v>
      </c>
      <c r="E36" s="20">
        <f>C36*D36</f>
        <v>162750</v>
      </c>
      <c r="F36" s="20">
        <f>E36*0.002</f>
        <v>325.5</v>
      </c>
      <c r="G36" s="20">
        <f>E36*0.00006</f>
        <v>9.7650000000000006</v>
      </c>
      <c r="H36" s="20">
        <f>E36*0.00001</f>
        <v>1.6275000000000002</v>
      </c>
      <c r="I36" s="20">
        <f>(F36+G36+H36)*0.07</f>
        <v>23.582475000000002</v>
      </c>
      <c r="J36" s="20">
        <f>E36+F36+I36+G36+H36</f>
        <v>163110.47497500002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3000</v>
      </c>
      <c r="D37" s="26">
        <v>58</v>
      </c>
      <c r="E37" s="11">
        <f>C37*D37</f>
        <v>174000</v>
      </c>
      <c r="F37" s="35">
        <f>E37*0.002</f>
        <v>348</v>
      </c>
      <c r="G37" s="34">
        <f>E37*0.000068</f>
        <v>11.832000000000001</v>
      </c>
      <c r="H37" s="34">
        <f>E37*0.00001</f>
        <v>1.7400000000000002</v>
      </c>
      <c r="I37" s="34">
        <f>(F37+G37+H37)*0.07</f>
        <v>25.310040000000004</v>
      </c>
      <c r="J37" s="34">
        <f>E37-F37-G37-H37-I37</f>
        <v>173613.11796</v>
      </c>
    </row>
    <row r="38" spans="1:15" s="31" customFormat="1" ht="18.75">
      <c r="A38" s="56" t="s">
        <v>4</v>
      </c>
      <c r="B38" s="25">
        <f>(D37-D36)/D36</f>
        <v>6.9124423963133647E-2</v>
      </c>
      <c r="C38" s="10"/>
      <c r="D38" s="11"/>
      <c r="E38" s="20">
        <f>E37-E36</f>
        <v>11250</v>
      </c>
      <c r="F38" s="20"/>
      <c r="G38" s="20"/>
      <c r="H38" s="20"/>
      <c r="I38" s="20"/>
      <c r="J38" s="18">
        <f>J37-J36</f>
        <v>10502.642984999984</v>
      </c>
      <c r="K38" s="12"/>
    </row>
    <row r="39" spans="1:15" s="19" customFormat="1" ht="16.5">
      <c r="A39" s="49">
        <v>44578</v>
      </c>
      <c r="B39" s="13" t="s">
        <v>1</v>
      </c>
      <c r="C39" s="16">
        <v>1600</v>
      </c>
      <c r="D39" s="46">
        <v>59.25</v>
      </c>
      <c r="E39" s="20">
        <f>C39*D39</f>
        <v>94800</v>
      </c>
      <c r="F39" s="20">
        <f>E39*0.002</f>
        <v>189.6</v>
      </c>
      <c r="G39" s="20">
        <f>E39*0.00006</f>
        <v>5.6879999999999997</v>
      </c>
      <c r="H39" s="20">
        <f>E39*0.00001</f>
        <v>0.94800000000000006</v>
      </c>
      <c r="I39" s="20">
        <f>(F39+G39+H39)*0.07</f>
        <v>13.736520000000001</v>
      </c>
      <c r="J39" s="20">
        <f>E39+F39+I39+G39+H39</f>
        <v>95009.97252000001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1600</v>
      </c>
      <c r="D40" s="26">
        <v>58</v>
      </c>
      <c r="E40" s="11">
        <f>C40*D40</f>
        <v>92800</v>
      </c>
      <c r="F40" s="35">
        <f>E40*0.002</f>
        <v>185.6</v>
      </c>
      <c r="G40" s="34">
        <f>E40*0.000068</f>
        <v>6.3103999999999996</v>
      </c>
      <c r="H40" s="34">
        <f>E40*0.00001</f>
        <v>0.92800000000000005</v>
      </c>
      <c r="I40" s="34">
        <f>(F40+G40+H40)*0.07</f>
        <v>13.498688</v>
      </c>
      <c r="J40" s="34">
        <f>E40-F40-G40-H40-I40</f>
        <v>92593.662911999985</v>
      </c>
    </row>
    <row r="41" spans="1:15" s="31" customFormat="1" ht="18.75">
      <c r="A41" s="56" t="s">
        <v>4</v>
      </c>
      <c r="B41" s="25">
        <f>(D40-D39)/D39</f>
        <v>-2.1097046413502109E-2</v>
      </c>
      <c r="C41" s="10"/>
      <c r="D41" s="11"/>
      <c r="E41" s="20">
        <f>E40-E39</f>
        <v>-2000</v>
      </c>
      <c r="F41" s="20"/>
      <c r="G41" s="20"/>
      <c r="H41" s="20"/>
      <c r="I41" s="20"/>
      <c r="J41" s="18">
        <f>J40-J39</f>
        <v>-2416.309608000025</v>
      </c>
      <c r="K41" s="20">
        <f>J38+J41</f>
        <v>8086.333376999959</v>
      </c>
    </row>
    <row r="42" spans="1:15" s="19" customFormat="1" ht="16.5">
      <c r="A42" s="56">
        <v>44295</v>
      </c>
      <c r="B42" s="13" t="s">
        <v>1</v>
      </c>
      <c r="C42" s="16">
        <v>1000</v>
      </c>
      <c r="D42" s="46">
        <v>66.75</v>
      </c>
      <c r="E42" s="20">
        <f>C42*D42</f>
        <v>66750</v>
      </c>
      <c r="F42" s="20">
        <f>E42*0.002</f>
        <v>133.5</v>
      </c>
      <c r="G42" s="20">
        <f>E42*0.00006</f>
        <v>4.0049999999999999</v>
      </c>
      <c r="H42" s="20">
        <f>E42*0.00001</f>
        <v>0.66750000000000009</v>
      </c>
      <c r="I42" s="20">
        <f>(F42+G42+H42)*0.07</f>
        <v>9.6720749999999995</v>
      </c>
      <c r="J42" s="20">
        <f>E42+F42+I42+G42+H42</f>
        <v>66897.844574999996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1000</v>
      </c>
      <c r="D43" s="34">
        <f>D40</f>
        <v>58</v>
      </c>
      <c r="E43" s="11">
        <f>C43*D43</f>
        <v>58000</v>
      </c>
      <c r="F43" s="35">
        <f>E43*0.002</f>
        <v>116</v>
      </c>
      <c r="G43" s="34">
        <f>E43*0.000068</f>
        <v>3.944</v>
      </c>
      <c r="H43" s="34">
        <f>E43*0.00001</f>
        <v>0.58000000000000007</v>
      </c>
      <c r="I43" s="34">
        <f>(F43+G43+H43)*0.07</f>
        <v>8.4366800000000008</v>
      </c>
      <c r="J43" s="34">
        <f>E43-F43-G43-H43-I43</f>
        <v>57871.039319999996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-8750</v>
      </c>
      <c r="F44" s="20"/>
      <c r="G44" s="20"/>
      <c r="H44" s="20"/>
      <c r="I44" s="20"/>
      <c r="J44" s="18">
        <f>J43-J42</f>
        <v>-9026.8052549999993</v>
      </c>
      <c r="K44" s="20">
        <f>K41+J44</f>
        <v>-940.47187800004031</v>
      </c>
    </row>
    <row r="45" spans="1:15" s="19" customFormat="1" ht="16.5">
      <c r="A45" s="56">
        <v>44274</v>
      </c>
      <c r="B45" s="13" t="s">
        <v>1</v>
      </c>
      <c r="C45" s="16">
        <v>2000</v>
      </c>
      <c r="D45" s="46">
        <v>66.75</v>
      </c>
      <c r="E45" s="20">
        <f>C45*D45</f>
        <v>133500</v>
      </c>
      <c r="F45" s="20">
        <f>E45*0.002</f>
        <v>267</v>
      </c>
      <c r="G45" s="20">
        <f>E45*0.00006</f>
        <v>8.01</v>
      </c>
      <c r="H45" s="20">
        <f>E45*0.00001</f>
        <v>1.3350000000000002</v>
      </c>
      <c r="I45" s="20">
        <f>(F45+G45+H45)*0.07</f>
        <v>19.344149999999999</v>
      </c>
      <c r="J45" s="20">
        <f>E45+F45+I45+G45+H45</f>
        <v>133795.68914999999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2000</v>
      </c>
      <c r="D46" s="34">
        <f>D40</f>
        <v>58</v>
      </c>
      <c r="E46" s="11">
        <f>C46*D46</f>
        <v>116000</v>
      </c>
      <c r="F46" s="35">
        <f>E46*0.002</f>
        <v>232</v>
      </c>
      <c r="G46" s="34">
        <f>E46*0.000068</f>
        <v>7.8879999999999999</v>
      </c>
      <c r="H46" s="34">
        <f>E46*0.00001</f>
        <v>1.1600000000000001</v>
      </c>
      <c r="I46" s="34">
        <f>(F46+G46+H46)*0.07</f>
        <v>16.873360000000002</v>
      </c>
      <c r="J46" s="34">
        <f>E46-F46-G46-H46-I46</f>
        <v>115742.07863999999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-17500</v>
      </c>
      <c r="F47" s="20"/>
      <c r="G47" s="20"/>
      <c r="H47" s="20"/>
      <c r="I47" s="20"/>
      <c r="J47" s="18">
        <f>J46-J45</f>
        <v>-18053.610509999999</v>
      </c>
      <c r="K47" s="20">
        <f>K44+J47</f>
        <v>-18994.082388000039</v>
      </c>
    </row>
    <row r="48" spans="1:15" s="19" customFormat="1" ht="16.5">
      <c r="A48" s="56">
        <v>44272</v>
      </c>
      <c r="B48" s="13" t="s">
        <v>1</v>
      </c>
      <c r="C48" s="16">
        <v>1400</v>
      </c>
      <c r="D48" s="46">
        <v>66.75</v>
      </c>
      <c r="E48" s="20">
        <f>C48*D48</f>
        <v>93450</v>
      </c>
      <c r="F48" s="20">
        <f>E48*0.002</f>
        <v>186.9</v>
      </c>
      <c r="G48" s="20">
        <f>E48*0.00006</f>
        <v>5.6070000000000002</v>
      </c>
      <c r="H48" s="20">
        <f>E48*0.00001</f>
        <v>0.93450000000000011</v>
      </c>
      <c r="I48" s="20">
        <f>(F48+G48+H48)*0.07</f>
        <v>13.540905000000002</v>
      </c>
      <c r="J48" s="20">
        <f>E48+F48+I48+G48+H48</f>
        <v>93656.982405000002</v>
      </c>
      <c r="K48" s="57"/>
      <c r="L48" s="58"/>
      <c r="M48" s="58"/>
      <c r="N48" s="58"/>
      <c r="O48" s="58"/>
    </row>
    <row r="49" spans="1:11" s="13" customFormat="1">
      <c r="A49" s="56">
        <v>44524</v>
      </c>
      <c r="B49" s="13" t="s">
        <v>3</v>
      </c>
      <c r="C49" s="10">
        <f>C48</f>
        <v>1400</v>
      </c>
      <c r="D49" s="34">
        <f>D40</f>
        <v>58</v>
      </c>
      <c r="E49" s="11">
        <f>C49*D49</f>
        <v>81200</v>
      </c>
      <c r="F49" s="35">
        <f>E49*0.002</f>
        <v>162.4</v>
      </c>
      <c r="G49" s="34">
        <f>E49*0.000068</f>
        <v>5.5216000000000003</v>
      </c>
      <c r="H49" s="34">
        <f>E49*0.00001</f>
        <v>0.81200000000000006</v>
      </c>
      <c r="I49" s="34">
        <f>(F49+G49+H49)*0.07</f>
        <v>11.811352000000003</v>
      </c>
      <c r="J49" s="34">
        <f>E49-F49-G49-H49-I49</f>
        <v>81019.455048000003</v>
      </c>
    </row>
    <row r="50" spans="1:11" s="31" customFormat="1" ht="18.75">
      <c r="A50" s="56" t="s">
        <v>4</v>
      </c>
      <c r="B50" s="25">
        <f>(D49-D48)/D48</f>
        <v>-0.13108614232209737</v>
      </c>
      <c r="C50" s="10"/>
      <c r="D50" s="11"/>
      <c r="E50" s="20">
        <f>E49-E48</f>
        <v>-12250</v>
      </c>
      <c r="F50" s="20"/>
      <c r="G50" s="20"/>
      <c r="H50" s="20"/>
      <c r="I50" s="20"/>
      <c r="J50" s="18">
        <f>J49-J48</f>
        <v>-12637.527356999999</v>
      </c>
      <c r="K50" s="20">
        <f>K47+J50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71"/>
  <sheetViews>
    <sheetView topLeftCell="A21" workbookViewId="0">
      <selection activeCell="A22" sqref="A22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>
      <c r="A12" s="49">
        <v>44945</v>
      </c>
      <c r="B12" s="15" t="s">
        <v>3</v>
      </c>
      <c r="C12" s="16">
        <f>C11</f>
        <v>2500</v>
      </c>
      <c r="D12" s="26">
        <v>21.2</v>
      </c>
      <c r="E12" s="17">
        <f>C12*D12</f>
        <v>53000</v>
      </c>
      <c r="F12" s="27">
        <f>E12*0.002</f>
        <v>106</v>
      </c>
      <c r="G12" s="26">
        <f>E12*0.000068</f>
        <v>3.6040000000000001</v>
      </c>
      <c r="H12" s="26">
        <f>E12*0.00001</f>
        <v>0.53</v>
      </c>
      <c r="I12" s="26">
        <f>(F12+G12+H12)*0.07</f>
        <v>7.7093800000000003</v>
      </c>
      <c r="J12" s="26">
        <f>E12-F12-G12-H12-I12</f>
        <v>52882.156620000002</v>
      </c>
    </row>
    <row r="13" spans="1:15" s="1" customFormat="1">
      <c r="A13" s="49" t="s">
        <v>4</v>
      </c>
      <c r="B13" s="15"/>
      <c r="C13" s="16"/>
      <c r="D13" s="17"/>
      <c r="E13" s="18">
        <f>E12-E11</f>
        <v>-28875</v>
      </c>
      <c r="F13" s="18"/>
      <c r="G13" s="18"/>
      <c r="H13" s="18"/>
      <c r="I13" s="18"/>
      <c r="J13" s="18">
        <f>J12-J11</f>
        <v>-29174.188317500004</v>
      </c>
    </row>
    <row r="14" spans="1:15" s="1" customFormat="1" ht="14.25">
      <c r="A14" s="50"/>
      <c r="B14" s="74" t="s">
        <v>2</v>
      </c>
      <c r="C14" s="51">
        <v>12500</v>
      </c>
      <c r="D14" s="52">
        <v>37.25</v>
      </c>
      <c r="E14" s="51">
        <v>465625</v>
      </c>
      <c r="F14" s="51">
        <v>931.25</v>
      </c>
      <c r="G14" s="51">
        <v>27.937500000000004</v>
      </c>
      <c r="H14" s="51">
        <v>4.65625</v>
      </c>
      <c r="I14" s="51">
        <v>67.469062500000007</v>
      </c>
      <c r="J14" s="51">
        <v>466656.31281250005</v>
      </c>
      <c r="K14" s="57"/>
      <c r="L14" s="58"/>
      <c r="M14" s="58"/>
      <c r="N14" s="59"/>
      <c r="O14" s="59"/>
    </row>
    <row r="15" spans="1:15" s="1" customFormat="1" ht="14.25">
      <c r="A15" s="50">
        <v>44462</v>
      </c>
      <c r="B15" s="74" t="s">
        <v>1</v>
      </c>
      <c r="C15" s="51">
        <v>2500</v>
      </c>
      <c r="D15" s="52">
        <v>33.25</v>
      </c>
      <c r="E15" s="51">
        <v>83125</v>
      </c>
      <c r="F15" s="51">
        <v>166.25</v>
      </c>
      <c r="G15" s="51">
        <v>4.9874999999999998</v>
      </c>
      <c r="H15" s="51">
        <v>0.83125000000000004</v>
      </c>
      <c r="I15" s="51">
        <v>12.044812500000003</v>
      </c>
      <c r="J15" s="51">
        <v>83309.113562500002</v>
      </c>
      <c r="K15" s="57"/>
      <c r="L15" s="58"/>
      <c r="M15" s="58"/>
      <c r="N15" s="59"/>
      <c r="O15" s="59"/>
    </row>
    <row r="16" spans="1:15" s="1" customFormat="1">
      <c r="A16" s="49">
        <v>44951</v>
      </c>
      <c r="B16" s="15" t="s">
        <v>3</v>
      </c>
      <c r="C16" s="16">
        <v>2500</v>
      </c>
      <c r="D16" s="26">
        <v>21.4</v>
      </c>
      <c r="E16" s="17">
        <f>C16*D16</f>
        <v>53500</v>
      </c>
      <c r="F16" s="27">
        <f>E16*0.002</f>
        <v>107</v>
      </c>
      <c r="G16" s="26">
        <f>E16*0.000068</f>
        <v>3.6379999999999999</v>
      </c>
      <c r="H16" s="26">
        <f>E16*0.00001</f>
        <v>0.53500000000000003</v>
      </c>
      <c r="I16" s="26">
        <f>(F16+G16+H16)*0.07</f>
        <v>7.7821100000000012</v>
      </c>
      <c r="J16" s="26">
        <f>E16-F16-G16-H16-I16</f>
        <v>53381.044889999997</v>
      </c>
    </row>
    <row r="17" spans="1:15" s="1" customFormat="1">
      <c r="A17" s="49" t="s">
        <v>4</v>
      </c>
      <c r="B17" s="15"/>
      <c r="C17" s="16"/>
      <c r="D17" s="17"/>
      <c r="E17" s="18">
        <f>E16-E15</f>
        <v>-29625</v>
      </c>
      <c r="F17" s="18"/>
      <c r="G17" s="18"/>
      <c r="H17" s="18"/>
      <c r="I17" s="18"/>
      <c r="J17" s="18">
        <f>J16-J15</f>
        <v>-29928.068672500005</v>
      </c>
    </row>
    <row r="18" spans="1:15" s="1" customFormat="1" ht="14.25">
      <c r="A18" s="50"/>
      <c r="B18" s="74" t="s">
        <v>2</v>
      </c>
      <c r="C18" s="51">
        <v>10000</v>
      </c>
      <c r="D18" s="52">
        <v>38.25</v>
      </c>
      <c r="E18" s="51">
        <v>382500</v>
      </c>
      <c r="F18" s="51">
        <v>765</v>
      </c>
      <c r="G18" s="51">
        <v>22.950000000000003</v>
      </c>
      <c r="H18" s="51">
        <v>3.8250000000000002</v>
      </c>
      <c r="I18" s="51">
        <v>55.424250000000001</v>
      </c>
      <c r="J18" s="51">
        <v>383347.19925000006</v>
      </c>
      <c r="K18" s="57"/>
      <c r="L18" s="58"/>
      <c r="M18" s="58"/>
      <c r="N18" s="59"/>
      <c r="O18" s="59"/>
    </row>
    <row r="19" spans="1:15" s="19" customFormat="1" ht="15">
      <c r="A19" s="49">
        <v>44452</v>
      </c>
      <c r="B19" s="15" t="s">
        <v>1</v>
      </c>
      <c r="C19" s="16">
        <v>2500</v>
      </c>
      <c r="D19" s="41">
        <v>35.25</v>
      </c>
      <c r="E19" s="18">
        <f>C19*D19</f>
        <v>88125</v>
      </c>
      <c r="F19" s="18">
        <f>E19*0.002</f>
        <v>176.25</v>
      </c>
      <c r="G19" s="18">
        <f>E19*0.00006</f>
        <v>5.2875000000000005</v>
      </c>
      <c r="H19" s="18">
        <f>E19*0.00001</f>
        <v>0.88125000000000009</v>
      </c>
      <c r="I19" s="18">
        <f>(F19+G19+H19)*0.07</f>
        <v>12.7693125</v>
      </c>
      <c r="J19" s="18">
        <f>E19+F19+I19+G19+H19</f>
        <v>88320.188062500005</v>
      </c>
      <c r="K19" s="57"/>
      <c r="L19" s="58"/>
      <c r="M19" s="58"/>
      <c r="N19" s="58"/>
      <c r="O19" s="58"/>
    </row>
    <row r="20" spans="1:15" s="1" customFormat="1">
      <c r="A20" s="49">
        <v>44951</v>
      </c>
      <c r="B20" s="15" t="s">
        <v>3</v>
      </c>
      <c r="C20" s="16">
        <v>2500</v>
      </c>
      <c r="D20" s="26">
        <v>21.9</v>
      </c>
      <c r="E20" s="17">
        <f>C20*D20</f>
        <v>54750</v>
      </c>
      <c r="F20" s="27">
        <f>E20*0.002</f>
        <v>109.5</v>
      </c>
      <c r="G20" s="26">
        <f>E20*0.000068</f>
        <v>3.7229999999999999</v>
      </c>
      <c r="H20" s="26">
        <f>E20*0.00001</f>
        <v>0.5475000000000001</v>
      </c>
      <c r="I20" s="26">
        <f>(F20+G20+H20)*0.07</f>
        <v>7.9639350000000002</v>
      </c>
      <c r="J20" s="26">
        <f>E20-F20-G20-H20-I20</f>
        <v>54628.265565000002</v>
      </c>
    </row>
    <row r="21" spans="1:15" s="1" customFormat="1">
      <c r="A21" s="49" t="s">
        <v>4</v>
      </c>
      <c r="B21" s="15"/>
      <c r="C21" s="16"/>
      <c r="D21" s="17"/>
      <c r="E21" s="18">
        <f>E20-E19</f>
        <v>-33375</v>
      </c>
      <c r="F21" s="18"/>
      <c r="G21" s="18"/>
      <c r="H21" s="18"/>
      <c r="I21" s="18"/>
      <c r="J21" s="18">
        <f>J20-J19</f>
        <v>-33691.922497500003</v>
      </c>
    </row>
    <row r="22" spans="1:15" s="1" customFormat="1" ht="14.25">
      <c r="A22" s="49">
        <v>44951</v>
      </c>
      <c r="B22" s="74" t="s">
        <v>2</v>
      </c>
      <c r="C22" s="51">
        <v>7500</v>
      </c>
      <c r="D22" s="52">
        <v>39.25</v>
      </c>
      <c r="E22" s="51">
        <v>294375</v>
      </c>
      <c r="F22" s="51">
        <v>588.75</v>
      </c>
      <c r="G22" s="51">
        <v>17.662500000000001</v>
      </c>
      <c r="H22" s="51">
        <v>2.9437500000000001</v>
      </c>
      <c r="I22" s="51">
        <v>42.654937500000003</v>
      </c>
      <c r="J22" s="51">
        <v>295027.01118750003</v>
      </c>
      <c r="K22" s="57"/>
      <c r="L22" s="58"/>
      <c r="M22" s="58"/>
      <c r="N22" s="59"/>
      <c r="O22" s="59"/>
    </row>
    <row r="23" spans="1:15" s="1" customFormat="1">
      <c r="A23" s="50"/>
      <c r="B23" s="3"/>
      <c r="C23" s="2"/>
      <c r="D23" s="47"/>
      <c r="E23" s="2"/>
      <c r="F23" s="2"/>
      <c r="G23" s="2"/>
      <c r="H23" s="2"/>
      <c r="I23" s="2"/>
      <c r="J23" s="2"/>
      <c r="K23" s="57"/>
      <c r="L23" s="58"/>
      <c r="M23" s="58"/>
      <c r="N23" s="59"/>
      <c r="O23" s="59"/>
    </row>
    <row r="24" spans="1:15" s="1" customFormat="1">
      <c r="A24" s="50"/>
      <c r="B24" s="3"/>
      <c r="C24" s="2"/>
      <c r="D24" s="47"/>
      <c r="E24" s="2"/>
      <c r="F24" s="2"/>
      <c r="G24" s="2"/>
      <c r="H24" s="2"/>
      <c r="I24" s="2"/>
      <c r="J24" s="2"/>
      <c r="K24" s="57"/>
      <c r="L24" s="58"/>
      <c r="M24" s="58"/>
      <c r="N24" s="59"/>
      <c r="O24" s="59"/>
    </row>
    <row r="25" spans="1:15" s="1" customFormat="1">
      <c r="A25" s="50"/>
      <c r="B25" s="3"/>
      <c r="C25" s="2"/>
      <c r="D25" s="47"/>
      <c r="E25" s="2"/>
      <c r="F25" s="2"/>
      <c r="G25" s="2"/>
      <c r="H25" s="2"/>
      <c r="I25" s="2"/>
      <c r="J25" s="2"/>
      <c r="K25" s="57"/>
      <c r="L25" s="58"/>
      <c r="M25" s="58"/>
      <c r="N25" s="59"/>
      <c r="O25" s="59"/>
    </row>
    <row r="26" spans="1:15" s="19" customFormat="1" ht="15">
      <c r="A26" s="49">
        <v>44543</v>
      </c>
      <c r="B26" s="15" t="s">
        <v>1</v>
      </c>
      <c r="C26" s="16">
        <v>2500</v>
      </c>
      <c r="D26" s="41">
        <v>29.5</v>
      </c>
      <c r="E26" s="18">
        <f>C26*D26</f>
        <v>73750</v>
      </c>
      <c r="F26" s="18">
        <f>E26*0.002</f>
        <v>147.5</v>
      </c>
      <c r="G26" s="18">
        <f>E26*0.00006</f>
        <v>4.4249999999999998</v>
      </c>
      <c r="H26" s="18">
        <f>E26*0.00001</f>
        <v>0.73750000000000004</v>
      </c>
      <c r="I26" s="18">
        <f>(F26+G26+H26)*0.07</f>
        <v>10.686375000000002</v>
      </c>
      <c r="J26" s="18">
        <f>E26+F26+I26+G26+H26</f>
        <v>73913.348875000011</v>
      </c>
      <c r="K26" s="57"/>
      <c r="L26" s="58"/>
      <c r="M26" s="58"/>
      <c r="N26" s="58"/>
      <c r="O26" s="58"/>
    </row>
    <row r="27" spans="1:15" s="1" customFormat="1">
      <c r="A27" s="49">
        <v>44923</v>
      </c>
      <c r="B27" s="15" t="s">
        <v>3</v>
      </c>
      <c r="C27" s="16">
        <f>C26</f>
        <v>2500</v>
      </c>
      <c r="D27" s="26">
        <v>20.3</v>
      </c>
      <c r="E27" s="17">
        <f>C27*D27</f>
        <v>50750</v>
      </c>
      <c r="F27" s="27">
        <f>E27*0.002</f>
        <v>101.5</v>
      </c>
      <c r="G27" s="26">
        <f>E27*0.000068</f>
        <v>3.4510000000000001</v>
      </c>
      <c r="H27" s="26">
        <f>E27*0.00001</f>
        <v>0.50750000000000006</v>
      </c>
      <c r="I27" s="26">
        <f>(F27+G27+H27)*0.07</f>
        <v>7.3820949999999996</v>
      </c>
      <c r="J27" s="26">
        <f>E27-F27-G27-H27-I27</f>
        <v>50637.159404999999</v>
      </c>
    </row>
    <row r="28" spans="1:15" s="1" customFormat="1">
      <c r="A28" s="49" t="s">
        <v>4</v>
      </c>
      <c r="B28" s="15"/>
      <c r="C28" s="16"/>
      <c r="D28" s="17"/>
      <c r="E28" s="18">
        <f>E27-E26</f>
        <v>-23000</v>
      </c>
      <c r="F28" s="18"/>
      <c r="G28" s="18"/>
      <c r="H28" s="18"/>
      <c r="I28" s="18"/>
      <c r="J28" s="18">
        <f>J27-J26</f>
        <v>-23276.189470000012</v>
      </c>
    </row>
    <row r="29" spans="1:15" s="1" customFormat="1" ht="14.25">
      <c r="A29" s="54"/>
      <c r="B29" s="74"/>
      <c r="C29" s="51"/>
      <c r="D29" s="52"/>
      <c r="E29" s="51"/>
      <c r="F29" s="51"/>
      <c r="G29" s="51"/>
      <c r="H29" s="51"/>
      <c r="I29" s="51"/>
      <c r="J29" s="51"/>
      <c r="K29" s="57"/>
      <c r="L29" s="58"/>
      <c r="M29" s="58"/>
      <c r="N29" s="59"/>
      <c r="O29" s="59"/>
    </row>
    <row r="30" spans="1:15" s="19" customFormat="1" ht="15">
      <c r="A30" s="49">
        <v>44550</v>
      </c>
      <c r="B30" s="15" t="s">
        <v>1</v>
      </c>
      <c r="C30" s="16">
        <v>2500</v>
      </c>
      <c r="D30" s="41">
        <v>29.5</v>
      </c>
      <c r="E30" s="18">
        <f>C30*D30</f>
        <v>73750</v>
      </c>
      <c r="F30" s="18">
        <f>E30*0.002</f>
        <v>147.5</v>
      </c>
      <c r="G30" s="18">
        <f>E30*0.00006</f>
        <v>4.4249999999999998</v>
      </c>
      <c r="H30" s="18">
        <f>E30*0.00001</f>
        <v>0.73750000000000004</v>
      </c>
      <c r="I30" s="18">
        <f>(F30+G30+H30)*0.07</f>
        <v>10.686375000000002</v>
      </c>
      <c r="J30" s="18">
        <f>E30+F30+I30+G30+H30</f>
        <v>73913.348875000011</v>
      </c>
      <c r="K30" s="57"/>
      <c r="L30" s="58"/>
      <c r="M30" s="58"/>
      <c r="N30" s="58"/>
      <c r="O30" s="58"/>
    </row>
    <row r="31" spans="1:15" s="1" customFormat="1">
      <c r="A31" s="49">
        <v>44922</v>
      </c>
      <c r="B31" s="15" t="s">
        <v>3</v>
      </c>
      <c r="C31" s="16">
        <f>C30</f>
        <v>2500</v>
      </c>
      <c r="D31" s="26">
        <v>19.7</v>
      </c>
      <c r="E31" s="17">
        <f>C31*D31</f>
        <v>49250</v>
      </c>
      <c r="F31" s="27">
        <f>E31*0.002</f>
        <v>98.5</v>
      </c>
      <c r="G31" s="26">
        <f>E31*0.000068</f>
        <v>3.3489999999999998</v>
      </c>
      <c r="H31" s="26">
        <f>E31*0.00001</f>
        <v>0.49250000000000005</v>
      </c>
      <c r="I31" s="26">
        <f>(F31+G31+H31)*0.07</f>
        <v>7.1639050000000015</v>
      </c>
      <c r="J31" s="26">
        <f>E31-F31-G31-H31-I31</f>
        <v>49140.494594999996</v>
      </c>
    </row>
    <row r="32" spans="1:15" s="1" customFormat="1">
      <c r="A32" s="49" t="s">
        <v>4</v>
      </c>
      <c r="B32" s="15"/>
      <c r="C32" s="16"/>
      <c r="D32" s="17"/>
      <c r="E32" s="18">
        <f>E31-E30</f>
        <v>-24500</v>
      </c>
      <c r="F32" s="18"/>
      <c r="G32" s="18"/>
      <c r="H32" s="18"/>
      <c r="I32" s="18"/>
      <c r="J32" s="18">
        <f>J31-J30</f>
        <v>-24772.854280000014</v>
      </c>
    </row>
    <row r="33" spans="1:15" s="1" customFormat="1">
      <c r="A33" s="50"/>
      <c r="B33" s="3"/>
      <c r="C33" s="2"/>
      <c r="D33" s="47"/>
      <c r="E33" s="2"/>
      <c r="F33" s="2"/>
      <c r="G33" s="2"/>
      <c r="H33" s="2"/>
      <c r="I33" s="2"/>
      <c r="J33" s="2"/>
      <c r="K33" s="57"/>
      <c r="L33" s="58"/>
      <c r="M33" s="58"/>
      <c r="N33" s="59"/>
      <c r="O33" s="59"/>
    </row>
    <row r="34" spans="1:15" s="19" customFormat="1" ht="15">
      <c r="A34" s="49">
        <v>44624</v>
      </c>
      <c r="B34" s="15" t="s">
        <v>1</v>
      </c>
      <c r="C34" s="16">
        <v>2500</v>
      </c>
      <c r="D34" s="41">
        <v>25.75</v>
      </c>
      <c r="E34" s="18">
        <f>C34*D34</f>
        <v>64375</v>
      </c>
      <c r="F34" s="18">
        <f>E34*0.002</f>
        <v>128.75</v>
      </c>
      <c r="G34" s="18">
        <f>E34*0.00006</f>
        <v>3.8625000000000003</v>
      </c>
      <c r="H34" s="18">
        <f>E34*0.00001</f>
        <v>0.64375000000000004</v>
      </c>
      <c r="I34" s="18">
        <f>(F34+G34+H34)*0.07</f>
        <v>9.3279375000000027</v>
      </c>
      <c r="J34" s="18">
        <f>E34+F34+I34+G34+H34</f>
        <v>64517.584187500004</v>
      </c>
      <c r="K34" s="57"/>
      <c r="L34" s="58"/>
      <c r="M34" s="58"/>
      <c r="N34" s="58"/>
      <c r="O34" s="58"/>
    </row>
    <row r="35" spans="1:15" s="1" customFormat="1">
      <c r="A35" s="49">
        <v>44866</v>
      </c>
      <c r="B35" s="15" t="s">
        <v>3</v>
      </c>
      <c r="C35" s="16">
        <f>C34</f>
        <v>2500</v>
      </c>
      <c r="D35" s="26">
        <v>19.2</v>
      </c>
      <c r="E35" s="17">
        <f>C35*D35</f>
        <v>48000</v>
      </c>
      <c r="F35" s="27">
        <f>E35*0.002</f>
        <v>96</v>
      </c>
      <c r="G35" s="26">
        <f>E35*0.000068</f>
        <v>3.2639999999999998</v>
      </c>
      <c r="H35" s="26">
        <f>E35*0.00001</f>
        <v>0.48000000000000004</v>
      </c>
      <c r="I35" s="26">
        <f>(F35+G35+H35)*0.07</f>
        <v>6.9820800000000007</v>
      </c>
      <c r="J35" s="26">
        <f>E35-F35-G35-H35-I35</f>
        <v>47893.273919999992</v>
      </c>
    </row>
    <row r="36" spans="1:15" s="1" customFormat="1">
      <c r="A36" s="49" t="s">
        <v>4</v>
      </c>
      <c r="B36" s="15"/>
      <c r="C36" s="16"/>
      <c r="D36" s="17"/>
      <c r="E36" s="18">
        <f>E35-E34</f>
        <v>-16375</v>
      </c>
      <c r="F36" s="18"/>
      <c r="G36" s="18"/>
      <c r="H36" s="18"/>
      <c r="I36" s="18"/>
      <c r="J36" s="18">
        <f>J35-J34</f>
        <v>-16624.310267500012</v>
      </c>
    </row>
    <row r="37" spans="1:15" s="1" customFormat="1">
      <c r="A37" s="56"/>
      <c r="B37" s="13"/>
      <c r="C37" s="10"/>
      <c r="D37" s="11"/>
      <c r="E37" s="20"/>
      <c r="F37" s="20"/>
      <c r="G37" s="20"/>
      <c r="H37" s="20"/>
      <c r="I37" s="20"/>
      <c r="J37" s="20"/>
    </row>
    <row r="38" spans="1:15" s="1" customFormat="1">
      <c r="A38" s="56">
        <v>44627</v>
      </c>
      <c r="B38" s="13" t="s">
        <v>1</v>
      </c>
      <c r="C38" s="10">
        <v>2500</v>
      </c>
      <c r="D38" s="46">
        <v>25.75</v>
      </c>
      <c r="E38" s="20">
        <f>C38*D38</f>
        <v>64375</v>
      </c>
      <c r="F38" s="20">
        <f>E38*0.002</f>
        <v>128.75</v>
      </c>
      <c r="G38" s="20">
        <f>E38*0.00006</f>
        <v>3.8625000000000003</v>
      </c>
      <c r="H38" s="20">
        <f>E38*0.00001</f>
        <v>0.64375000000000004</v>
      </c>
      <c r="I38" s="20">
        <f>(F38+G38+H38)*0.07</f>
        <v>9.3279375000000027</v>
      </c>
      <c r="J38" s="20">
        <f>E38+F38+I38+G38+H38</f>
        <v>64517.584187500004</v>
      </c>
    </row>
    <row r="39" spans="1:15" s="1" customFormat="1">
      <c r="A39" s="56">
        <v>44634</v>
      </c>
      <c r="B39" s="13" t="s">
        <v>3</v>
      </c>
      <c r="C39" s="10">
        <f>C38</f>
        <v>2500</v>
      </c>
      <c r="D39" s="34">
        <v>20.100000000000001</v>
      </c>
      <c r="E39" s="11">
        <f>C39*D39</f>
        <v>50250</v>
      </c>
      <c r="F39" s="35">
        <f>E39*0.002</f>
        <v>100.5</v>
      </c>
      <c r="G39" s="34">
        <f>E39*0.000068</f>
        <v>3.4169999999999998</v>
      </c>
      <c r="H39" s="34">
        <f>E39*0.00001</f>
        <v>0.50250000000000006</v>
      </c>
      <c r="I39" s="34">
        <f>(F39+G39+H39)*0.07</f>
        <v>7.3093650000000006</v>
      </c>
      <c r="J39" s="34">
        <f>E39-F39-G39-H39-I39</f>
        <v>50138.271134999995</v>
      </c>
    </row>
    <row r="40" spans="1:15" s="1" customFormat="1">
      <c r="A40" s="56" t="s">
        <v>4</v>
      </c>
      <c r="B40" s="13"/>
      <c r="C40" s="10"/>
      <c r="D40" s="11"/>
      <c r="E40" s="20">
        <f>E39-E38</f>
        <v>-14125</v>
      </c>
      <c r="F40" s="20"/>
      <c r="G40" s="20"/>
      <c r="H40" s="20"/>
      <c r="I40" s="20"/>
      <c r="J40" s="20">
        <f>J39-J38</f>
        <v>-14379.313052500009</v>
      </c>
    </row>
    <row r="41" spans="1:15" s="1" customFormat="1">
      <c r="A41" s="56">
        <v>44627</v>
      </c>
      <c r="B41" s="13" t="s">
        <v>1</v>
      </c>
      <c r="C41" s="10">
        <v>2500</v>
      </c>
      <c r="D41" s="46">
        <v>19</v>
      </c>
      <c r="E41" s="20">
        <f>C41*D41</f>
        <v>47500</v>
      </c>
      <c r="F41" s="20">
        <f>E41*0.002</f>
        <v>95</v>
      </c>
      <c r="G41" s="20">
        <f>E41*0.00006</f>
        <v>2.85</v>
      </c>
      <c r="H41" s="20">
        <f>E41*0.00001</f>
        <v>0.47500000000000003</v>
      </c>
      <c r="I41" s="20">
        <f>(F41+G41+H41)*0.07</f>
        <v>6.8827499999999997</v>
      </c>
      <c r="J41" s="20">
        <f>E41+F41+I41+G41+H41</f>
        <v>47605.207749999994</v>
      </c>
    </row>
    <row r="42" spans="1:15" s="1" customFormat="1">
      <c r="A42" s="56">
        <v>44634</v>
      </c>
      <c r="B42" s="13" t="s">
        <v>3</v>
      </c>
      <c r="C42" s="10">
        <f>C41</f>
        <v>2500</v>
      </c>
      <c r="D42" s="34">
        <v>20.100000000000001</v>
      </c>
      <c r="E42" s="11">
        <f>C42*D42</f>
        <v>50250</v>
      </c>
      <c r="F42" s="35">
        <f>E42*0.002</f>
        <v>100.5</v>
      </c>
      <c r="G42" s="34">
        <f>E42*0.000068</f>
        <v>3.4169999999999998</v>
      </c>
      <c r="H42" s="34">
        <f>E42*0.00001</f>
        <v>0.50250000000000006</v>
      </c>
      <c r="I42" s="34">
        <f>(F42+G42+H42)*0.07</f>
        <v>7.3093650000000006</v>
      </c>
      <c r="J42" s="34">
        <f>E42-F42-G42-H42-I42</f>
        <v>50138.271134999995</v>
      </c>
    </row>
    <row r="43" spans="1:15" s="1" customFormat="1">
      <c r="A43" s="56" t="s">
        <v>4</v>
      </c>
      <c r="B43" s="12">
        <f>(D42-D41)/D41</f>
        <v>5.7894736842105339E-2</v>
      </c>
      <c r="C43" s="10"/>
      <c r="D43" s="11"/>
      <c r="E43" s="20">
        <f>E42-E41</f>
        <v>2750</v>
      </c>
      <c r="F43" s="20"/>
      <c r="G43" s="20"/>
      <c r="H43" s="20"/>
      <c r="I43" s="20"/>
      <c r="J43" s="20">
        <f>J42-J41</f>
        <v>2533.0633850000013</v>
      </c>
    </row>
    <row r="44" spans="1:15" s="1" customFormat="1" ht="12">
      <c r="A44" s="50"/>
      <c r="D44" s="47"/>
      <c r="J44" s="53"/>
    </row>
    <row r="45" spans="1:15" s="19" customFormat="1" ht="15">
      <c r="A45" s="56">
        <v>44624</v>
      </c>
      <c r="B45" s="13" t="s">
        <v>1</v>
      </c>
      <c r="C45" s="16">
        <v>2500</v>
      </c>
      <c r="D45" s="46">
        <v>25.75</v>
      </c>
      <c r="E45" s="20">
        <f>C45*D45</f>
        <v>64375</v>
      </c>
      <c r="F45" s="20">
        <f>E45*0.002</f>
        <v>128.75</v>
      </c>
      <c r="G45" s="20">
        <f>E45*0.00006</f>
        <v>3.8625000000000003</v>
      </c>
      <c r="H45" s="20">
        <f>E45*0.00001</f>
        <v>0.64375000000000004</v>
      </c>
      <c r="I45" s="20">
        <f>(F45+G45+H45)*0.07</f>
        <v>9.3279375000000027</v>
      </c>
      <c r="J45" s="20">
        <f>E45+F45+I45+G45+H45</f>
        <v>64517.584187500004</v>
      </c>
      <c r="K45" s="57"/>
      <c r="L45" s="58"/>
      <c r="M45" s="58"/>
      <c r="N45" s="58"/>
      <c r="O45" s="58"/>
    </row>
    <row r="46" spans="1:15" s="13" customFormat="1">
      <c r="A46" s="56" t="e">
        <f>#REF!</f>
        <v>#REF!</v>
      </c>
      <c r="B46" s="13" t="s">
        <v>3</v>
      </c>
      <c r="C46" s="10">
        <f>C45</f>
        <v>2500</v>
      </c>
      <c r="D46" s="26">
        <v>29.5</v>
      </c>
      <c r="E46" s="11">
        <f>C46*D46</f>
        <v>73750</v>
      </c>
      <c r="F46" s="35">
        <f>E46*0.002</f>
        <v>147.5</v>
      </c>
      <c r="G46" s="34">
        <f>E46*0.000068</f>
        <v>5.0149999999999997</v>
      </c>
      <c r="H46" s="34">
        <f>E46*0.00001</f>
        <v>0.73750000000000004</v>
      </c>
      <c r="I46" s="34">
        <f>(F46+G46+H46)*0.07</f>
        <v>10.727675000000001</v>
      </c>
      <c r="J46" s="34">
        <f>E46-F46-G46-H46-I46</f>
        <v>73586.019824999996</v>
      </c>
      <c r="K46" s="10">
        <f>C46</f>
        <v>2500</v>
      </c>
    </row>
    <row r="47" spans="1:15" s="31" customFormat="1" ht="18.75">
      <c r="A47" s="56" t="s">
        <v>4</v>
      </c>
      <c r="B47" s="25">
        <f>(D46-D45)/D45</f>
        <v>0.14563106796116504</v>
      </c>
      <c r="C47" s="10"/>
      <c r="D47" s="11"/>
      <c r="E47" s="20">
        <f>E46-E45</f>
        <v>9375</v>
      </c>
      <c r="F47" s="20"/>
      <c r="G47" s="20"/>
      <c r="H47" s="20"/>
      <c r="I47" s="20"/>
      <c r="J47" s="20">
        <f>J46-J45</f>
        <v>9068.4356374999916</v>
      </c>
      <c r="K47" s="20">
        <f>J47</f>
        <v>9068.4356374999916</v>
      </c>
    </row>
    <row r="48" spans="1:15" s="19" customFormat="1" ht="15">
      <c r="A48" s="49">
        <v>44550</v>
      </c>
      <c r="B48" s="13" t="s">
        <v>1</v>
      </c>
      <c r="C48" s="16">
        <v>2500</v>
      </c>
      <c r="D48" s="46">
        <v>29.5</v>
      </c>
      <c r="E48" s="20">
        <f>C48*D48</f>
        <v>73750</v>
      </c>
      <c r="F48" s="20">
        <f>E48*0.002</f>
        <v>147.5</v>
      </c>
      <c r="G48" s="20">
        <f>E48*0.00006</f>
        <v>4.4249999999999998</v>
      </c>
      <c r="H48" s="20">
        <f>E48*0.00001</f>
        <v>0.73750000000000004</v>
      </c>
      <c r="I48" s="20">
        <f>(F48+G48+H48)*0.07</f>
        <v>10.686375000000002</v>
      </c>
      <c r="J48" s="20">
        <f>E48+F48+I48+G48+H48</f>
        <v>73913.348875000011</v>
      </c>
      <c r="K48" s="57"/>
      <c r="L48" s="58"/>
      <c r="M48" s="58"/>
      <c r="N48" s="58"/>
      <c r="O48" s="58"/>
    </row>
    <row r="49" spans="1:15" s="13" customFormat="1">
      <c r="A49" s="56" t="e">
        <f>A46</f>
        <v>#REF!</v>
      </c>
      <c r="B49" s="13" t="s">
        <v>3</v>
      </c>
      <c r="C49" s="10">
        <f>C48</f>
        <v>2500</v>
      </c>
      <c r="D49" s="34">
        <f>D46</f>
        <v>29.5</v>
      </c>
      <c r="E49" s="11">
        <f>C49*D49</f>
        <v>73750</v>
      </c>
      <c r="F49" s="35">
        <f>E49*0.002</f>
        <v>147.5</v>
      </c>
      <c r="G49" s="34">
        <f>E49*0.000068</f>
        <v>5.0149999999999997</v>
      </c>
      <c r="H49" s="34">
        <f>E49*0.00001</f>
        <v>0.73750000000000004</v>
      </c>
      <c r="I49" s="34">
        <f>(F49+G49+H49)*0.07</f>
        <v>10.727675000000001</v>
      </c>
      <c r="J49" s="34">
        <f>E49-F49-G49-H49-I49</f>
        <v>73586.019824999996</v>
      </c>
      <c r="K49" s="10">
        <f>K46+C49</f>
        <v>5000</v>
      </c>
    </row>
    <row r="50" spans="1:15" s="31" customFormat="1" ht="18.75">
      <c r="A50" s="56" t="s">
        <v>4</v>
      </c>
      <c r="B50" s="25">
        <f>(D49-D48)/D48</f>
        <v>0</v>
      </c>
      <c r="C50" s="10"/>
      <c r="D50" s="11"/>
      <c r="E50" s="20">
        <f>E49-E48</f>
        <v>0</v>
      </c>
      <c r="F50" s="20"/>
      <c r="G50" s="20"/>
      <c r="H50" s="20"/>
      <c r="I50" s="20"/>
      <c r="J50" s="20">
        <f>J49-J48</f>
        <v>-327.32905000001483</v>
      </c>
      <c r="K50" s="20">
        <f>K47+J50</f>
        <v>8741.1065874999767</v>
      </c>
    </row>
    <row r="51" spans="1:15" s="19" customFormat="1" ht="15">
      <c r="A51" s="56">
        <v>44543</v>
      </c>
      <c r="B51" s="13" t="s">
        <v>1</v>
      </c>
      <c r="C51" s="16">
        <v>2500</v>
      </c>
      <c r="D51" s="46">
        <v>29.5</v>
      </c>
      <c r="E51" s="20">
        <f>C51*D51</f>
        <v>73750</v>
      </c>
      <c r="F51" s="20">
        <f>E51*0.002</f>
        <v>147.5</v>
      </c>
      <c r="G51" s="20">
        <f>E51*0.00006</f>
        <v>4.4249999999999998</v>
      </c>
      <c r="H51" s="20">
        <f>E51*0.00001</f>
        <v>0.73750000000000004</v>
      </c>
      <c r="I51" s="20">
        <f>(F51+G51+H51)*0.07</f>
        <v>10.686375000000002</v>
      </c>
      <c r="J51" s="20">
        <f>E51+F51+I51+G51+H51</f>
        <v>73913.348875000011</v>
      </c>
      <c r="K51" s="57"/>
      <c r="L51" s="58"/>
      <c r="M51" s="58"/>
      <c r="N51" s="58"/>
      <c r="O51" s="58"/>
    </row>
    <row r="52" spans="1:15" s="13" customFormat="1">
      <c r="A52" s="56" t="e">
        <f>A49</f>
        <v>#REF!</v>
      </c>
      <c r="B52" s="13" t="s">
        <v>3</v>
      </c>
      <c r="C52" s="10">
        <f>C51</f>
        <v>2500</v>
      </c>
      <c r="D52" s="34">
        <f>D49</f>
        <v>29.5</v>
      </c>
      <c r="E52" s="11">
        <f>C52*D52</f>
        <v>73750</v>
      </c>
      <c r="F52" s="35">
        <f>E52*0.002</f>
        <v>147.5</v>
      </c>
      <c r="G52" s="34">
        <f>E52*0.000068</f>
        <v>5.0149999999999997</v>
      </c>
      <c r="H52" s="34">
        <f>E52*0.00001</f>
        <v>0.73750000000000004</v>
      </c>
      <c r="I52" s="34">
        <f>(F52+G52+H52)*0.07</f>
        <v>10.727675000000001</v>
      </c>
      <c r="J52" s="34">
        <f>E52-F52-G52-H52-I52</f>
        <v>73586.019824999996</v>
      </c>
      <c r="K52" s="10">
        <f>K49+C52</f>
        <v>7500</v>
      </c>
    </row>
    <row r="53" spans="1:15" s="31" customFormat="1" ht="18.75">
      <c r="A53" s="56" t="s">
        <v>4</v>
      </c>
      <c r="B53" s="25">
        <f>(D52-D51)/D51</f>
        <v>0</v>
      </c>
      <c r="C53" s="10"/>
      <c r="D53" s="11"/>
      <c r="E53" s="20">
        <f>E52-E51</f>
        <v>0</v>
      </c>
      <c r="F53" s="20"/>
      <c r="G53" s="20"/>
      <c r="H53" s="20"/>
      <c r="I53" s="20"/>
      <c r="J53" s="20">
        <f>J52-J51</f>
        <v>-327.32905000001483</v>
      </c>
      <c r="K53" s="20">
        <f>K50+J53</f>
        <v>8413.7775374999619</v>
      </c>
    </row>
    <row r="54" spans="1:15" s="19" customFormat="1" ht="15">
      <c r="A54" s="56">
        <v>44496</v>
      </c>
      <c r="B54" s="13" t="s">
        <v>1</v>
      </c>
      <c r="C54" s="16">
        <v>2500</v>
      </c>
      <c r="D54" s="46">
        <v>32.75</v>
      </c>
      <c r="E54" s="20">
        <f>C54*D54</f>
        <v>81875</v>
      </c>
      <c r="F54" s="20">
        <f>E54*0.002</f>
        <v>163.75</v>
      </c>
      <c r="G54" s="20">
        <f>E54*0.00006</f>
        <v>4.9125000000000005</v>
      </c>
      <c r="H54" s="20">
        <f>E54*0.00001</f>
        <v>0.81875000000000009</v>
      </c>
      <c r="I54" s="20">
        <f>(F54+G54+H54)*0.07</f>
        <v>11.863687500000001</v>
      </c>
      <c r="J54" s="20">
        <f>E54+F54+I54+G54+H54</f>
        <v>82056.344937500005</v>
      </c>
      <c r="K54" s="57"/>
      <c r="L54" s="58"/>
      <c r="M54" s="58"/>
      <c r="N54" s="58"/>
      <c r="O54" s="58"/>
    </row>
    <row r="55" spans="1:15" s="13" customFormat="1">
      <c r="A55" s="56" t="e">
        <f>A52</f>
        <v>#REF!</v>
      </c>
      <c r="B55" s="13" t="s">
        <v>3</v>
      </c>
      <c r="C55" s="10">
        <f>C54</f>
        <v>2500</v>
      </c>
      <c r="D55" s="34">
        <f>D49</f>
        <v>29.5</v>
      </c>
      <c r="E55" s="11">
        <f>C55*D55</f>
        <v>73750</v>
      </c>
      <c r="F55" s="35">
        <f>E55*0.002</f>
        <v>147.5</v>
      </c>
      <c r="G55" s="34">
        <f>E55*0.000068</f>
        <v>5.0149999999999997</v>
      </c>
      <c r="H55" s="34">
        <f>E55*0.00001</f>
        <v>0.73750000000000004</v>
      </c>
      <c r="I55" s="34">
        <f>(F55+G55+H55)*0.07</f>
        <v>10.727675000000001</v>
      </c>
      <c r="J55" s="34">
        <f>E55-F55-G55-H55-I55</f>
        <v>73586.019824999996</v>
      </c>
      <c r="K55" s="10">
        <f>K52+C55</f>
        <v>10000</v>
      </c>
    </row>
    <row r="56" spans="1:15" s="31" customFormat="1" ht="18.75">
      <c r="A56" s="56" t="s">
        <v>4</v>
      </c>
      <c r="B56" s="25">
        <f>(D55-D54)/D54</f>
        <v>-9.9236641221374045E-2</v>
      </c>
      <c r="C56" s="10"/>
      <c r="D56" s="11"/>
      <c r="E56" s="20">
        <f>E55-E54</f>
        <v>-8125</v>
      </c>
      <c r="F56" s="20"/>
      <c r="G56" s="20"/>
      <c r="H56" s="20"/>
      <c r="I56" s="20"/>
      <c r="J56" s="20">
        <f>J55-J54</f>
        <v>-8470.3251125000097</v>
      </c>
      <c r="K56" s="20">
        <f>K53+J56</f>
        <v>-56.5475750000478</v>
      </c>
    </row>
    <row r="57" spans="1:15" s="19" customFormat="1" ht="15">
      <c r="A57" s="56">
        <v>44462</v>
      </c>
      <c r="B57" s="13" t="s">
        <v>1</v>
      </c>
      <c r="C57" s="16">
        <v>2500</v>
      </c>
      <c r="D57" s="46">
        <v>33.25</v>
      </c>
      <c r="E57" s="20">
        <f>C57*D57</f>
        <v>83125</v>
      </c>
      <c r="F57" s="20">
        <f>E57*0.002</f>
        <v>166.25</v>
      </c>
      <c r="G57" s="20">
        <f>E57*0.00006</f>
        <v>4.9874999999999998</v>
      </c>
      <c r="H57" s="20">
        <f>E57*0.00001</f>
        <v>0.83125000000000004</v>
      </c>
      <c r="I57" s="20">
        <f>(F57+G57+H57)*0.07</f>
        <v>12.044812500000003</v>
      </c>
      <c r="J57" s="20">
        <f>E57+F57+I57+G57+H57</f>
        <v>83309.113562500002</v>
      </c>
      <c r="K57" s="57"/>
      <c r="L57" s="58"/>
      <c r="M57" s="58"/>
      <c r="N57" s="58"/>
      <c r="O57" s="58"/>
    </row>
    <row r="58" spans="1:15" s="13" customFormat="1">
      <c r="A58" s="56" t="e">
        <f>A55</f>
        <v>#REF!</v>
      </c>
      <c r="B58" s="13" t="s">
        <v>3</v>
      </c>
      <c r="C58" s="10">
        <f>C57</f>
        <v>2500</v>
      </c>
      <c r="D58" s="34">
        <f>D49</f>
        <v>29.5</v>
      </c>
      <c r="E58" s="11">
        <f>C58*D58</f>
        <v>73750</v>
      </c>
      <c r="F58" s="35">
        <f>E58*0.002</f>
        <v>147.5</v>
      </c>
      <c r="G58" s="34">
        <f>E58*0.000068</f>
        <v>5.0149999999999997</v>
      </c>
      <c r="H58" s="34">
        <f>E58*0.00001</f>
        <v>0.73750000000000004</v>
      </c>
      <c r="I58" s="34">
        <f>(F58+G58+H58)*0.07</f>
        <v>10.727675000000001</v>
      </c>
      <c r="J58" s="34">
        <f>E58-F58-G58-H58-I58</f>
        <v>73586.019824999996</v>
      </c>
      <c r="K58" s="10">
        <f>K55+C58</f>
        <v>12500</v>
      </c>
    </row>
    <row r="59" spans="1:15" s="31" customFormat="1" ht="18.75">
      <c r="A59" s="56" t="s">
        <v>4</v>
      </c>
      <c r="B59" s="25">
        <f>(D58-D57)/D57</f>
        <v>-0.11278195488721804</v>
      </c>
      <c r="C59" s="10"/>
      <c r="D59" s="11"/>
      <c r="E59" s="20">
        <f>E58-E57</f>
        <v>-9375</v>
      </c>
      <c r="F59" s="20"/>
      <c r="G59" s="20"/>
      <c r="H59" s="20"/>
      <c r="I59" s="20"/>
      <c r="J59" s="20">
        <f>J58-J57</f>
        <v>-9723.0937375000067</v>
      </c>
      <c r="K59" s="20">
        <f>K56+J59</f>
        <v>-9779.6413125000545</v>
      </c>
    </row>
    <row r="60" spans="1:15" s="19" customFormat="1" ht="15">
      <c r="A60" s="56">
        <v>44452</v>
      </c>
      <c r="B60" s="13" t="s">
        <v>1</v>
      </c>
      <c r="C60" s="16">
        <v>2500</v>
      </c>
      <c r="D60" s="46">
        <v>35.25</v>
      </c>
      <c r="E60" s="20">
        <f>C60*D60</f>
        <v>88125</v>
      </c>
      <c r="F60" s="20">
        <f>E60*0.002</f>
        <v>176.25</v>
      </c>
      <c r="G60" s="20">
        <f>E60*0.00006</f>
        <v>5.2875000000000005</v>
      </c>
      <c r="H60" s="20">
        <f>E60*0.00001</f>
        <v>0.88125000000000009</v>
      </c>
      <c r="I60" s="20">
        <f>(F60+G60+H60)*0.07</f>
        <v>12.7693125</v>
      </c>
      <c r="J60" s="20">
        <f>E60+F60+I60+G60+H60</f>
        <v>88320.188062500005</v>
      </c>
      <c r="K60" s="57"/>
      <c r="L60" s="58"/>
      <c r="M60" s="58"/>
      <c r="N60" s="58"/>
      <c r="O60" s="58"/>
    </row>
    <row r="61" spans="1:15" s="13" customFormat="1">
      <c r="A61" s="56" t="e">
        <f>A58</f>
        <v>#REF!</v>
      </c>
      <c r="B61" s="13" t="s">
        <v>3</v>
      </c>
      <c r="C61" s="10">
        <f>C60</f>
        <v>2500</v>
      </c>
      <c r="D61" s="34">
        <f>D49</f>
        <v>29.5</v>
      </c>
      <c r="E61" s="11">
        <f>C61*D61</f>
        <v>73750</v>
      </c>
      <c r="F61" s="35">
        <f>E61*0.002</f>
        <v>147.5</v>
      </c>
      <c r="G61" s="34">
        <f>E61*0.000068</f>
        <v>5.0149999999999997</v>
      </c>
      <c r="H61" s="34">
        <f>E61*0.00001</f>
        <v>0.73750000000000004</v>
      </c>
      <c r="I61" s="34">
        <f>(F61+G61+H61)*0.07</f>
        <v>10.727675000000001</v>
      </c>
      <c r="J61" s="34">
        <f>E61-F61-G61-H61-I61</f>
        <v>73586.019824999996</v>
      </c>
      <c r="K61" s="91">
        <f>K58+C61</f>
        <v>15000</v>
      </c>
    </row>
    <row r="62" spans="1:15" s="31" customFormat="1" ht="18.75">
      <c r="A62" s="56" t="s">
        <v>4</v>
      </c>
      <c r="B62" s="25">
        <f>(D61-D60)/D60</f>
        <v>-0.16312056737588654</v>
      </c>
      <c r="C62" s="10"/>
      <c r="D62" s="11"/>
      <c r="E62" s="20">
        <f>E61-E60</f>
        <v>-14375</v>
      </c>
      <c r="F62" s="20"/>
      <c r="G62" s="20"/>
      <c r="H62" s="20"/>
      <c r="I62" s="20"/>
      <c r="J62" s="20">
        <f>J61-J60</f>
        <v>-14734.168237500009</v>
      </c>
      <c r="K62" s="20">
        <f>K59+J62</f>
        <v>-24513.809550000064</v>
      </c>
    </row>
    <row r="63" spans="1:15" s="19" customFormat="1" ht="15">
      <c r="A63" s="56">
        <v>44398</v>
      </c>
      <c r="B63" s="13" t="s">
        <v>1</v>
      </c>
      <c r="C63" s="16">
        <v>2500</v>
      </c>
      <c r="D63" s="46">
        <v>37.75</v>
      </c>
      <c r="E63" s="20">
        <f>C63*D63</f>
        <v>94375</v>
      </c>
      <c r="F63" s="20">
        <f>E63*0.002</f>
        <v>188.75</v>
      </c>
      <c r="G63" s="20">
        <f>E63*0.00006</f>
        <v>5.6625000000000005</v>
      </c>
      <c r="H63" s="20">
        <f>E63*0.00001</f>
        <v>0.94375000000000009</v>
      </c>
      <c r="I63" s="20">
        <f>(F63+G63+H63)*0.07</f>
        <v>13.6749375</v>
      </c>
      <c r="J63" s="20">
        <f>E63+F63+I63+G63+H63</f>
        <v>94584.031187500019</v>
      </c>
      <c r="K63" s="57"/>
      <c r="L63" s="58"/>
      <c r="M63" s="58"/>
      <c r="N63" s="58"/>
      <c r="O63" s="58"/>
    </row>
    <row r="64" spans="1:15" s="13" customFormat="1">
      <c r="A64" s="56" t="e">
        <f>A61</f>
        <v>#REF!</v>
      </c>
      <c r="B64" s="13" t="s">
        <v>3</v>
      </c>
      <c r="C64" s="10">
        <f>C63</f>
        <v>2500</v>
      </c>
      <c r="D64" s="34">
        <f>D49</f>
        <v>29.5</v>
      </c>
      <c r="E64" s="11">
        <f>C64*D64</f>
        <v>73750</v>
      </c>
      <c r="F64" s="35">
        <f>E64*0.002</f>
        <v>147.5</v>
      </c>
      <c r="G64" s="34">
        <f>E64*0.000068</f>
        <v>5.0149999999999997</v>
      </c>
      <c r="H64" s="34">
        <f>E64*0.00001</f>
        <v>0.73750000000000004</v>
      </c>
      <c r="I64" s="34">
        <f>(F64+G64+H64)*0.07</f>
        <v>10.727675000000001</v>
      </c>
      <c r="J64" s="34">
        <f>E64-F64-G64-H64-I64</f>
        <v>73586.019824999996</v>
      </c>
      <c r="K64" s="10">
        <f>K61+C64</f>
        <v>17500</v>
      </c>
    </row>
    <row r="65" spans="1:15" s="31" customFormat="1" ht="18.75">
      <c r="A65" s="56" t="s">
        <v>4</v>
      </c>
      <c r="B65" s="25">
        <f>(D64-D63)/D63</f>
        <v>-0.2185430463576159</v>
      </c>
      <c r="C65" s="10"/>
      <c r="D65" s="11"/>
      <c r="E65" s="20">
        <f>E64-E63</f>
        <v>-20625</v>
      </c>
      <c r="F65" s="20"/>
      <c r="G65" s="20"/>
      <c r="H65" s="20"/>
      <c r="I65" s="20"/>
      <c r="J65" s="20">
        <f>J64-J63</f>
        <v>-20998.011362500023</v>
      </c>
      <c r="K65" s="20">
        <f>K62+J65</f>
        <v>-45511.820912500087</v>
      </c>
    </row>
    <row r="66" spans="1:15" s="19" customFormat="1" ht="15">
      <c r="A66" s="56">
        <v>44368</v>
      </c>
      <c r="B66" s="13" t="s">
        <v>1</v>
      </c>
      <c r="C66" s="16">
        <v>2500</v>
      </c>
      <c r="D66" s="46">
        <v>40</v>
      </c>
      <c r="E66" s="20">
        <f>C66*D66</f>
        <v>100000</v>
      </c>
      <c r="F66" s="20">
        <f>E66*0.002</f>
        <v>200</v>
      </c>
      <c r="G66" s="20">
        <f>E66*0.00006</f>
        <v>6</v>
      </c>
      <c r="H66" s="20">
        <f>E66*0.00001</f>
        <v>1</v>
      </c>
      <c r="I66" s="20">
        <f>(F66+G66+H66)*0.07</f>
        <v>14.490000000000002</v>
      </c>
      <c r="J66" s="20">
        <f>E66+F66+I66+G66+H66</f>
        <v>100221.49</v>
      </c>
      <c r="K66" s="57"/>
      <c r="L66" s="58"/>
      <c r="M66" s="58"/>
      <c r="N66" s="58"/>
      <c r="O66" s="58"/>
    </row>
    <row r="67" spans="1:15" s="13" customFormat="1">
      <c r="A67" s="56" t="e">
        <f>A64</f>
        <v>#REF!</v>
      </c>
      <c r="B67" s="13" t="s">
        <v>3</v>
      </c>
      <c r="C67" s="10">
        <f>C66</f>
        <v>2500</v>
      </c>
      <c r="D67" s="34">
        <f>D52</f>
        <v>29.5</v>
      </c>
      <c r="E67" s="11">
        <f>C67*D67</f>
        <v>73750</v>
      </c>
      <c r="F67" s="35">
        <f>E67*0.002</f>
        <v>147.5</v>
      </c>
      <c r="G67" s="34">
        <f>E67*0.000068</f>
        <v>5.0149999999999997</v>
      </c>
      <c r="H67" s="34">
        <f>E67*0.00001</f>
        <v>0.73750000000000004</v>
      </c>
      <c r="I67" s="34">
        <f>(F67+G67+H67)*0.07</f>
        <v>10.727675000000001</v>
      </c>
      <c r="J67" s="34">
        <f>E67-F67-G67-H67-I67</f>
        <v>73586.019824999996</v>
      </c>
      <c r="K67" s="10">
        <f>K64+C67</f>
        <v>20000</v>
      </c>
    </row>
    <row r="68" spans="1:15" s="31" customFormat="1" ht="18.75">
      <c r="A68" s="56" t="s">
        <v>4</v>
      </c>
      <c r="B68" s="25">
        <f>(D67-D66)/D66</f>
        <v>-0.26250000000000001</v>
      </c>
      <c r="C68" s="10"/>
      <c r="D68" s="11"/>
      <c r="E68" s="20">
        <f>E67-E66</f>
        <v>-26250</v>
      </c>
      <c r="F68" s="20"/>
      <c r="G68" s="20"/>
      <c r="H68" s="20"/>
      <c r="I68" s="20"/>
      <c r="J68" s="20">
        <f>J67-J66</f>
        <v>-26635.470175000009</v>
      </c>
      <c r="K68" s="20">
        <f>K65+J68</f>
        <v>-72147.291087500096</v>
      </c>
    </row>
    <row r="69" spans="1:15" s="19" customFormat="1" ht="15">
      <c r="A69" s="56">
        <v>44368</v>
      </c>
      <c r="B69" s="13" t="s">
        <v>1</v>
      </c>
      <c r="C69" s="16">
        <v>2500</v>
      </c>
      <c r="D69" s="46">
        <v>40</v>
      </c>
      <c r="E69" s="20">
        <f>C69*D69</f>
        <v>100000</v>
      </c>
      <c r="F69" s="20">
        <f>E69*0.002</f>
        <v>200</v>
      </c>
      <c r="G69" s="20">
        <f>E69*0.00006</f>
        <v>6</v>
      </c>
      <c r="H69" s="20">
        <f>E69*0.00001</f>
        <v>1</v>
      </c>
      <c r="I69" s="20">
        <f>(F69+G69+H69)*0.07</f>
        <v>14.490000000000002</v>
      </c>
      <c r="J69" s="20">
        <f>E69+F69+I69+G69+H69</f>
        <v>100221.49</v>
      </c>
      <c r="K69" s="57"/>
      <c r="L69" s="58"/>
      <c r="M69" s="58"/>
      <c r="N69" s="58"/>
      <c r="O69" s="58"/>
    </row>
    <row r="70" spans="1:15" s="13" customFormat="1">
      <c r="A70" s="56" t="e">
        <f>A67</f>
        <v>#REF!</v>
      </c>
      <c r="B70" s="13" t="s">
        <v>3</v>
      </c>
      <c r="C70" s="10">
        <f>C69</f>
        <v>2500</v>
      </c>
      <c r="D70" s="34">
        <f>D55</f>
        <v>29.5</v>
      </c>
      <c r="E70" s="11">
        <f>C70*D70</f>
        <v>73750</v>
      </c>
      <c r="F70" s="35">
        <f>E70*0.002</f>
        <v>147.5</v>
      </c>
      <c r="G70" s="34">
        <f>E70*0.000068</f>
        <v>5.0149999999999997</v>
      </c>
      <c r="H70" s="34">
        <f>E70*0.00001</f>
        <v>0.73750000000000004</v>
      </c>
      <c r="I70" s="34">
        <f>(F70+G70+H70)*0.07</f>
        <v>10.727675000000001</v>
      </c>
      <c r="J70" s="34">
        <f>E70-F70-G70-H70-I70</f>
        <v>73586.019824999996</v>
      </c>
      <c r="K70" s="10">
        <f>K67+C70</f>
        <v>22500</v>
      </c>
    </row>
    <row r="71" spans="1:15" s="31" customFormat="1" ht="18.75">
      <c r="A71" s="56" t="s">
        <v>4</v>
      </c>
      <c r="B71" s="25">
        <f>(D70-D69)/D69</f>
        <v>-0.26250000000000001</v>
      </c>
      <c r="C71" s="10"/>
      <c r="D71" s="11"/>
      <c r="E71" s="20">
        <f>E70-E69</f>
        <v>-26250</v>
      </c>
      <c r="F71" s="20"/>
      <c r="G71" s="20"/>
      <c r="H71" s="20"/>
      <c r="I71" s="20"/>
      <c r="J71" s="20">
        <f>J70-J69</f>
        <v>-26635.470175000009</v>
      </c>
      <c r="K71" s="20">
        <f>K68+J71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A3" sqref="A3:XF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6"/>
  <sheetViews>
    <sheetView workbookViewId="0">
      <selection activeCell="D6" sqref="D6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39">
        <v>44957</v>
      </c>
      <c r="B3" s="15" t="s">
        <v>1</v>
      </c>
      <c r="C3" s="16">
        <v>6000</v>
      </c>
      <c r="D3" s="17">
        <v>11.4</v>
      </c>
      <c r="E3" s="18">
        <f>C3*D3</f>
        <v>68400</v>
      </c>
      <c r="F3" s="18">
        <f>E3*0.002</f>
        <v>136.80000000000001</v>
      </c>
      <c r="G3" s="18">
        <f>E3*0.00006</f>
        <v>4.1040000000000001</v>
      </c>
      <c r="H3" s="18">
        <f>E3*0.00001</f>
        <v>0.68400000000000005</v>
      </c>
      <c r="I3" s="18">
        <f>(F3+G3+H3)*0.07</f>
        <v>9.9111600000000024</v>
      </c>
      <c r="J3" s="18">
        <f>E3+F3+I3+G3+H3</f>
        <v>68551.499160000007</v>
      </c>
      <c r="K3" s="32"/>
      <c r="L3" s="11"/>
      <c r="M3" s="12"/>
    </row>
    <row r="4" spans="1:14" s="63" customFormat="1" ht="21.75">
      <c r="A4" s="49"/>
      <c r="B4" s="75">
        <f>(D3-D2)/D2</f>
        <v>-7.3170731707317097E-2</v>
      </c>
      <c r="C4" s="16">
        <f>SUM(C2:C3)</f>
        <v>18000</v>
      </c>
      <c r="D4" s="40">
        <f>E4/C4</f>
        <v>12</v>
      </c>
      <c r="E4" s="16">
        <f t="shared" ref="E4:J4" si="0">SUM(E2:E3)</f>
        <v>216000</v>
      </c>
      <c r="F4" s="16">
        <f t="shared" si="0"/>
        <v>432</v>
      </c>
      <c r="G4" s="16">
        <f t="shared" si="0"/>
        <v>12.96</v>
      </c>
      <c r="H4" s="16">
        <f t="shared" si="0"/>
        <v>2.16</v>
      </c>
      <c r="I4" s="16">
        <f t="shared" si="0"/>
        <v>31.298400000000004</v>
      </c>
      <c r="J4" s="16">
        <f t="shared" si="0"/>
        <v>216478.41840000002</v>
      </c>
      <c r="K4" s="11"/>
      <c r="L4" s="13"/>
      <c r="M4" s="62"/>
      <c r="N4" s="62"/>
    </row>
    <row r="5" spans="1:14" s="13" customFormat="1">
      <c r="A5" s="67">
        <v>44957</v>
      </c>
      <c r="B5" s="13" t="s">
        <v>1</v>
      </c>
      <c r="C5" s="10">
        <v>6000</v>
      </c>
      <c r="D5" s="11">
        <v>10.8</v>
      </c>
      <c r="E5" s="20">
        <f>C5*D5</f>
        <v>64800.000000000007</v>
      </c>
      <c r="F5" s="20">
        <f>E5*0.002</f>
        <v>129.60000000000002</v>
      </c>
      <c r="G5" s="20">
        <f>E5*0.00006</f>
        <v>3.8880000000000003</v>
      </c>
      <c r="H5" s="20">
        <f>E5*0.00001</f>
        <v>0.64800000000000013</v>
      </c>
      <c r="I5" s="20">
        <f>(F5+G5+H5)*0.07</f>
        <v>9.3895200000000028</v>
      </c>
      <c r="J5" s="20">
        <f>E5+F5+I5+G5+H5</f>
        <v>64943.525520000003</v>
      </c>
      <c r="K5" s="32"/>
      <c r="L5" s="11"/>
      <c r="M5" s="12"/>
    </row>
    <row r="6" spans="1:14" s="63" customFormat="1" ht="21.75">
      <c r="A6" s="56"/>
      <c r="B6" s="76">
        <f>(D5-D4)/D4</f>
        <v>-9.9999999999999936E-2</v>
      </c>
      <c r="C6" s="10">
        <f>SUM(C4:C5)</f>
        <v>24000</v>
      </c>
      <c r="D6" s="64">
        <f>E6/C6</f>
        <v>11.7</v>
      </c>
      <c r="E6" s="10">
        <f t="shared" ref="E6:J6" si="1">SUM(E4:E5)</f>
        <v>280800</v>
      </c>
      <c r="F6" s="10">
        <f t="shared" si="1"/>
        <v>561.6</v>
      </c>
      <c r="G6" s="10">
        <f t="shared" si="1"/>
        <v>16.848000000000003</v>
      </c>
      <c r="H6" s="10">
        <f t="shared" si="1"/>
        <v>2.8080000000000003</v>
      </c>
      <c r="I6" s="10">
        <f t="shared" si="1"/>
        <v>40.687920000000005</v>
      </c>
      <c r="J6" s="10">
        <f t="shared" si="1"/>
        <v>281421.94392000005</v>
      </c>
      <c r="K6" s="11"/>
      <c r="L6" s="13"/>
      <c r="M6" s="62"/>
      <c r="N6" s="62"/>
    </row>
    <row r="8" spans="1:14" s="63" customFormat="1" ht="21.75">
      <c r="A8" s="56">
        <v>44630</v>
      </c>
      <c r="C8" s="10">
        <f>C2</f>
        <v>12000</v>
      </c>
      <c r="D8" s="64">
        <v>0.2</v>
      </c>
      <c r="E8" s="60">
        <v>0</v>
      </c>
      <c r="F8" s="32">
        <v>0</v>
      </c>
      <c r="G8" s="60">
        <v>0</v>
      </c>
      <c r="H8" s="11">
        <f>G8-E8</f>
        <v>0</v>
      </c>
      <c r="I8" s="12">
        <v>0</v>
      </c>
      <c r="J8" s="61">
        <f>C8*D8</f>
        <v>2400</v>
      </c>
      <c r="K8" s="11"/>
      <c r="L8" s="13"/>
      <c r="M8" s="62"/>
      <c r="N8" s="62"/>
    </row>
    <row r="9" spans="1:14" s="1" customFormat="1">
      <c r="A9" s="56">
        <v>44627</v>
      </c>
      <c r="B9" s="13" t="s">
        <v>1</v>
      </c>
      <c r="C9" s="10">
        <f>C8</f>
        <v>12000</v>
      </c>
      <c r="D9" s="46">
        <f>D2</f>
        <v>12.3</v>
      </c>
      <c r="E9" s="20">
        <f>C9*D9</f>
        <v>147600</v>
      </c>
      <c r="F9" s="20">
        <f>E9*0.002</f>
        <v>295.2</v>
      </c>
      <c r="G9" s="20">
        <f>E9*0.00006</f>
        <v>8.8559999999999999</v>
      </c>
      <c r="H9" s="20">
        <f>E9*0.00001</f>
        <v>1.4760000000000002</v>
      </c>
      <c r="I9" s="20">
        <f>(F9+G9+H9)*0.07</f>
        <v>21.387240000000002</v>
      </c>
      <c r="J9" s="20">
        <f>E9+F9+I9+G9+H9</f>
        <v>147926.91924000002</v>
      </c>
    </row>
    <row r="10" spans="1:14" s="1" customFormat="1">
      <c r="A10" s="56">
        <v>44277</v>
      </c>
      <c r="B10" s="13" t="s">
        <v>3</v>
      </c>
      <c r="C10" s="10">
        <f>C9</f>
        <v>12000</v>
      </c>
      <c r="D10" s="34">
        <v>13</v>
      </c>
      <c r="E10" s="11">
        <f>C10*D10</f>
        <v>156000</v>
      </c>
      <c r="F10" s="35">
        <f>E10*0.002</f>
        <v>312</v>
      </c>
      <c r="G10" s="34">
        <f>E10*0.000068</f>
        <v>10.608000000000001</v>
      </c>
      <c r="H10" s="34">
        <f>E10*0.00001</f>
        <v>1.56</v>
      </c>
      <c r="I10" s="34">
        <f>(F10+G10+H10)*0.07</f>
        <v>22.691760000000002</v>
      </c>
      <c r="J10" s="34">
        <f>E10-F10-G10-H10-I10</f>
        <v>155653.14024000001</v>
      </c>
    </row>
    <row r="11" spans="1:14" s="1" customFormat="1">
      <c r="A11" s="56" t="s">
        <v>4</v>
      </c>
      <c r="B11" s="12">
        <f>(D10-D9)/D9</f>
        <v>5.6910569105690999E-2</v>
      </c>
      <c r="C11" s="10"/>
      <c r="D11" s="11"/>
      <c r="E11" s="20">
        <f>E10-E9</f>
        <v>8400</v>
      </c>
      <c r="F11" s="20"/>
      <c r="G11" s="20"/>
      <c r="H11" s="20"/>
      <c r="I11" s="20"/>
      <c r="J11" s="20">
        <f>J10-J9</f>
        <v>7726.2209999999905</v>
      </c>
    </row>
    <row r="12" spans="1:14" s="1" customFormat="1" ht="12">
      <c r="A12" s="50"/>
      <c r="D12" s="47"/>
      <c r="J12" s="53">
        <f>J8+J11</f>
        <v>10126.22099999999</v>
      </c>
    </row>
    <row r="14" spans="1:14" s="1" customFormat="1">
      <c r="A14" s="56">
        <v>44627</v>
      </c>
      <c r="B14" s="13" t="s">
        <v>1</v>
      </c>
      <c r="C14" s="10">
        <v>30000</v>
      </c>
      <c r="D14" s="46">
        <v>3.8</v>
      </c>
      <c r="E14" s="20">
        <f>C14*D14</f>
        <v>114000</v>
      </c>
      <c r="F14" s="20">
        <f>E14*0.002</f>
        <v>228</v>
      </c>
      <c r="G14" s="20">
        <f>E14*0.00006</f>
        <v>6.84</v>
      </c>
      <c r="H14" s="20">
        <f>E14*0.00001</f>
        <v>1.1400000000000001</v>
      </c>
      <c r="I14" s="20">
        <f>(F14+G14+H14)*0.07</f>
        <v>16.518599999999999</v>
      </c>
      <c r="J14" s="20">
        <f>E14+F14+I14+G14+H14</f>
        <v>114252.49859999999</v>
      </c>
    </row>
    <row r="15" spans="1:14" s="1" customFormat="1">
      <c r="A15" s="56">
        <v>44633</v>
      </c>
      <c r="B15" s="13" t="s">
        <v>3</v>
      </c>
      <c r="C15" s="10">
        <f>C14</f>
        <v>30000</v>
      </c>
      <c r="D15" s="34">
        <v>4.0199999999999996</v>
      </c>
      <c r="E15" s="11">
        <f>C15*D15</f>
        <v>120599.99999999999</v>
      </c>
      <c r="F15" s="35">
        <f>E15*0.002</f>
        <v>241.2</v>
      </c>
      <c r="G15" s="34">
        <f>E15*0.000068</f>
        <v>8.2007999999999992</v>
      </c>
      <c r="H15" s="34">
        <f>E15*0.00001</f>
        <v>1.206</v>
      </c>
      <c r="I15" s="34">
        <f>(F15+G15+H15)*0.07</f>
        <v>17.542476000000001</v>
      </c>
      <c r="J15" s="34">
        <f>E15-F15-G15-H15-I15</f>
        <v>120331.85072399997</v>
      </c>
    </row>
    <row r="16" spans="1:14" s="1" customFormat="1">
      <c r="A16" s="56" t="s">
        <v>4</v>
      </c>
      <c r="B16" s="13"/>
      <c r="C16" s="10"/>
      <c r="D16" s="11"/>
      <c r="E16" s="20">
        <f>E15-E14</f>
        <v>6599.9999999999854</v>
      </c>
      <c r="F16" s="20"/>
      <c r="G16" s="20"/>
      <c r="H16" s="20"/>
      <c r="I16" s="20"/>
      <c r="J16" s="20">
        <f>J15-J14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20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19" customFormat="1" ht="15">
      <c r="A10" s="56">
        <v>44680</v>
      </c>
      <c r="B10" s="13" t="s">
        <v>1</v>
      </c>
      <c r="C10" s="10">
        <v>3000</v>
      </c>
      <c r="D10" s="46">
        <v>21.3</v>
      </c>
      <c r="E10" s="20">
        <f>C10*D10</f>
        <v>63900</v>
      </c>
      <c r="F10" s="20">
        <f>E10*0.002</f>
        <v>127.8</v>
      </c>
      <c r="G10" s="20">
        <f>E10*0.00006</f>
        <v>3.8340000000000001</v>
      </c>
      <c r="H10" s="20">
        <f>E10*0.00001</f>
        <v>0.63900000000000001</v>
      </c>
      <c r="I10" s="20">
        <f>(F10+G10+H10)*0.07</f>
        <v>9.2591099999999997</v>
      </c>
      <c r="J10" s="20">
        <f>E10+F10+I10+G10+H10</f>
        <v>64041.532110000007</v>
      </c>
    </row>
    <row r="11" spans="1:13" s="13" customFormat="1" ht="12.75">
      <c r="A11" s="56">
        <v>44809</v>
      </c>
      <c r="B11" s="13" t="s">
        <v>3</v>
      </c>
      <c r="C11" s="10">
        <f>C10</f>
        <v>3000</v>
      </c>
      <c r="D11" s="34">
        <v>22.5</v>
      </c>
      <c r="E11" s="11">
        <f>C11*D11</f>
        <v>67500</v>
      </c>
      <c r="F11" s="35">
        <f>E11*0.002</f>
        <v>135</v>
      </c>
      <c r="G11" s="34">
        <f>E11*0.000068</f>
        <v>4.59</v>
      </c>
      <c r="H11" s="34">
        <f>E11*0.00001</f>
        <v>0.67500000000000004</v>
      </c>
      <c r="I11" s="34">
        <f>(F11+G11+H11)*0.07</f>
        <v>9.8185500000000019</v>
      </c>
      <c r="J11" s="34">
        <f>E11-F11-G11-H11-I11</f>
        <v>67349.916450000004</v>
      </c>
    </row>
    <row r="12" spans="1:13" s="31" customFormat="1" ht="18.75">
      <c r="A12" s="9">
        <f>DAYS360(A10,A11)</f>
        <v>126</v>
      </c>
      <c r="B12" s="12">
        <f>(D11-D10)/D10</f>
        <v>5.6338028169014051E-2</v>
      </c>
      <c r="C12" s="10"/>
      <c r="D12" s="11"/>
      <c r="E12" s="20">
        <f>E11-E10</f>
        <v>3600</v>
      </c>
      <c r="F12" s="20"/>
      <c r="G12" s="20"/>
      <c r="H12" s="20"/>
      <c r="I12" s="20"/>
      <c r="J12" s="20">
        <f>J11-J10</f>
        <v>3308.3843399999969</v>
      </c>
      <c r="K12" s="32"/>
      <c r="L12" s="12"/>
      <c r="M12" s="12"/>
    </row>
    <row r="13" spans="1:13" s="21" customFormat="1" ht="12.75">
      <c r="A13" s="49">
        <v>44706</v>
      </c>
      <c r="B13" s="15" t="s">
        <v>1</v>
      </c>
      <c r="C13" s="16">
        <v>3000</v>
      </c>
      <c r="D13" s="41">
        <v>18.5</v>
      </c>
      <c r="E13" s="18">
        <f>C13*D13</f>
        <v>55500</v>
      </c>
      <c r="F13" s="18">
        <f>E13*0.002</f>
        <v>111</v>
      </c>
      <c r="G13" s="18">
        <f>E13*0.00006</f>
        <v>3.33</v>
      </c>
      <c r="H13" s="18">
        <f>E13*0.00001</f>
        <v>0.55500000000000005</v>
      </c>
      <c r="I13" s="18">
        <f>(F13+G13+H13)*0.07</f>
        <v>8.0419500000000017</v>
      </c>
      <c r="J13" s="18">
        <f>E13+F13+I13+G13+H13</f>
        <v>55622.926950000001</v>
      </c>
      <c r="L13" s="25"/>
    </row>
    <row r="14" spans="1:13" s="13" customFormat="1" ht="12.75">
      <c r="A14" s="49">
        <v>44809</v>
      </c>
      <c r="B14" s="15" t="s">
        <v>3</v>
      </c>
      <c r="C14" s="16">
        <f>C13</f>
        <v>3000</v>
      </c>
      <c r="D14" s="26">
        <v>19</v>
      </c>
      <c r="E14" s="17">
        <f>C14*D14</f>
        <v>57000</v>
      </c>
      <c r="F14" s="27">
        <f>E14*0.002</f>
        <v>114</v>
      </c>
      <c r="G14" s="26">
        <f>E14*0.000068</f>
        <v>3.8759999999999999</v>
      </c>
      <c r="H14" s="26">
        <f>E14*0.00001</f>
        <v>0.57000000000000006</v>
      </c>
      <c r="I14" s="26">
        <f>(F14+G14+H14)*0.07</f>
        <v>8.2912200000000009</v>
      </c>
      <c r="J14" s="26">
        <f>E14-F14-G14-H14-I14</f>
        <v>56873.262780000005</v>
      </c>
    </row>
    <row r="15" spans="1:13" s="31" customFormat="1" ht="18.75">
      <c r="A15" s="28">
        <f>DAYS360(A13,A14)</f>
        <v>100</v>
      </c>
      <c r="B15" s="30">
        <f>(D14-D13)/D13</f>
        <v>2.7027027027027029E-2</v>
      </c>
      <c r="C15" s="16"/>
      <c r="D15" s="17"/>
      <c r="E15" s="18">
        <f>E14-E13</f>
        <v>1500</v>
      </c>
      <c r="F15" s="18"/>
      <c r="G15" s="18"/>
      <c r="H15" s="18"/>
      <c r="I15" s="18"/>
      <c r="J15" s="18">
        <f>J14-J13</f>
        <v>1250.3358300000036</v>
      </c>
      <c r="K15" s="32"/>
      <c r="L15" s="12"/>
      <c r="M15" s="12"/>
    </row>
    <row r="16" spans="1:13" s="19" customFormat="1" ht="16.5">
      <c r="A16" s="49">
        <v>44537</v>
      </c>
      <c r="B16" s="15" t="s">
        <v>1</v>
      </c>
      <c r="C16" s="16">
        <v>3000</v>
      </c>
      <c r="D16" s="41">
        <v>20.5</v>
      </c>
      <c r="E16" s="18">
        <f>C16*D16</f>
        <v>61500</v>
      </c>
      <c r="F16" s="18">
        <f>E16*0.002</f>
        <v>123</v>
      </c>
      <c r="G16" s="18">
        <f>E16*0.00006</f>
        <v>3.69</v>
      </c>
      <c r="H16" s="18">
        <f>E16*0.00001</f>
        <v>0.6150000000000001</v>
      </c>
      <c r="I16" s="18">
        <f>(F16+G16+H16)*0.07</f>
        <v>8.9113500000000005</v>
      </c>
      <c r="J16" s="18">
        <f>E16+F16+I16+G16+H16</f>
        <v>61636.216350000002</v>
      </c>
    </row>
    <row r="17" spans="1:13" s="13" customFormat="1" ht="12.75">
      <c r="A17" s="49">
        <v>44860</v>
      </c>
      <c r="B17" s="15" t="s">
        <v>3</v>
      </c>
      <c r="C17" s="16">
        <f>C16</f>
        <v>3000</v>
      </c>
      <c r="D17" s="26">
        <v>18.399999999999999</v>
      </c>
      <c r="E17" s="17">
        <f>C17*D17</f>
        <v>55199.999999999993</v>
      </c>
      <c r="F17" s="27">
        <f>E17*0.002</f>
        <v>110.39999999999999</v>
      </c>
      <c r="G17" s="26">
        <f>E17*0.000068</f>
        <v>3.7535999999999996</v>
      </c>
      <c r="H17" s="26">
        <f>E17*0.00001</f>
        <v>0.55199999999999994</v>
      </c>
      <c r="I17" s="26">
        <f>(F17+G17+H17)*0.07</f>
        <v>8.0293920000000014</v>
      </c>
      <c r="J17" s="26">
        <f>E17-F17-G17-H17-I17</f>
        <v>55077.265007999995</v>
      </c>
    </row>
    <row r="18" spans="1:13" s="31" customFormat="1" ht="18.75">
      <c r="A18" s="28">
        <f>DAYS360(A16,A17)</f>
        <v>319</v>
      </c>
      <c r="B18" s="30">
        <f>(D17-D16)/D16</f>
        <v>-0.10243902439024397</v>
      </c>
      <c r="C18" s="16"/>
      <c r="D18" s="17"/>
      <c r="E18" s="18">
        <f>E17-E16</f>
        <v>-6300.0000000000073</v>
      </c>
      <c r="F18" s="18"/>
      <c r="G18" s="18"/>
      <c r="H18" s="18"/>
      <c r="I18" s="18"/>
      <c r="J18" s="18">
        <f>J17-J16</f>
        <v>-6558.9513420000076</v>
      </c>
      <c r="K18" s="32"/>
      <c r="L18" s="12"/>
      <c r="M18" s="12"/>
    </row>
    <row r="19" spans="1:13" ht="12"/>
    <row r="20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tabSelected="1"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82">
        <v>44950</v>
      </c>
      <c r="B7" s="83" t="s">
        <v>1</v>
      </c>
      <c r="C7" s="84">
        <v>10000</v>
      </c>
      <c r="D7" s="85">
        <v>19.5</v>
      </c>
      <c r="E7" s="86">
        <f>C7*D7</f>
        <v>195000</v>
      </c>
      <c r="F7" s="86">
        <f>E7*0.002</f>
        <v>390</v>
      </c>
      <c r="G7" s="86">
        <f>E7*0.000068</f>
        <v>13.26</v>
      </c>
      <c r="H7" s="86">
        <f>E7*0.00001</f>
        <v>1.9500000000000002</v>
      </c>
      <c r="I7" s="86">
        <f>(F7+G7+H7)*0.07</f>
        <v>28.364700000000003</v>
      </c>
      <c r="J7" s="86">
        <f>E7+F7+I7+G7+H7</f>
        <v>195433.57470000003</v>
      </c>
    </row>
    <row r="8" spans="1:14" s="63" customFormat="1" ht="21.75">
      <c r="A8" s="82"/>
      <c r="B8" s="87">
        <f>(D7-D6)/D6</f>
        <v>3.1746031746031821E-2</v>
      </c>
      <c r="C8" s="84">
        <f>SUM(C6:C7)</f>
        <v>30000</v>
      </c>
      <c r="D8" s="85">
        <f>E8/C8</f>
        <v>19.100000000000001</v>
      </c>
      <c r="E8" s="84">
        <f t="shared" ref="E8:J8" si="2">SUM(E6:E7)</f>
        <v>573000</v>
      </c>
      <c r="F8" s="84">
        <f t="shared" si="2"/>
        <v>1146</v>
      </c>
      <c r="G8" s="84">
        <f t="shared" si="2"/>
        <v>38.188000000000002</v>
      </c>
      <c r="H8" s="84">
        <f t="shared" si="2"/>
        <v>5.73</v>
      </c>
      <c r="I8" s="84">
        <f t="shared" si="2"/>
        <v>83.294260000000008</v>
      </c>
      <c r="J8" s="84">
        <f t="shared" si="2"/>
        <v>574273.21226000006</v>
      </c>
      <c r="K8" s="11"/>
      <c r="L8" s="13"/>
      <c r="M8" s="62"/>
      <c r="N8" s="62"/>
    </row>
    <row r="9" spans="1:14" ht="12.75">
      <c r="A9" s="82">
        <v>44964</v>
      </c>
      <c r="B9" s="83" t="s">
        <v>1</v>
      </c>
      <c r="C9" s="84">
        <v>10000</v>
      </c>
      <c r="D9" s="85">
        <v>18.3</v>
      </c>
      <c r="E9" s="86">
        <f>C9*D9</f>
        <v>183000</v>
      </c>
      <c r="F9" s="86">
        <f>E9*0.002</f>
        <v>366</v>
      </c>
      <c r="G9" s="86">
        <f>E9*0.000068</f>
        <v>12.443999999999999</v>
      </c>
      <c r="H9" s="86">
        <f>E9*0.00001</f>
        <v>1.83</v>
      </c>
      <c r="I9" s="86">
        <f>(F9+G9+H9)*0.07</f>
        <v>26.619180000000004</v>
      </c>
      <c r="J9" s="86">
        <f>E9+F9+I9+G9+H9</f>
        <v>183406.89317999998</v>
      </c>
    </row>
    <row r="10" spans="1:14" ht="12.75">
      <c r="A10" s="82"/>
      <c r="B10" s="87">
        <f>(D9-D8)/D8</f>
        <v>-4.1884816753926739E-2</v>
      </c>
      <c r="C10" s="84">
        <f>SUM(C8:C9)</f>
        <v>40000</v>
      </c>
      <c r="D10" s="85">
        <f>E10/C10</f>
        <v>18.899999999999999</v>
      </c>
      <c r="E10" s="84">
        <f t="shared" ref="E10:J10" si="3">SUM(E8:E9)</f>
        <v>756000</v>
      </c>
      <c r="F10" s="84">
        <f t="shared" si="3"/>
        <v>1512</v>
      </c>
      <c r="G10" s="84">
        <f t="shared" si="3"/>
        <v>50.632000000000005</v>
      </c>
      <c r="H10" s="84">
        <f t="shared" si="3"/>
        <v>7.5600000000000005</v>
      </c>
      <c r="I10" s="84">
        <f t="shared" si="3"/>
        <v>109.91344000000001</v>
      </c>
      <c r="J10" s="84">
        <f t="shared" si="3"/>
        <v>757680.10544000007</v>
      </c>
    </row>
    <row r="11" spans="1:14" ht="12.75">
      <c r="A11" s="77">
        <v>44964</v>
      </c>
      <c r="B11" s="78" t="s">
        <v>1</v>
      </c>
      <c r="C11" s="79">
        <v>10000</v>
      </c>
      <c r="D11" s="80">
        <v>17.899999999999999</v>
      </c>
      <c r="E11" s="94">
        <f>C11*D11</f>
        <v>179000</v>
      </c>
      <c r="F11" s="94">
        <f>E11*0.002</f>
        <v>358</v>
      </c>
      <c r="G11" s="94">
        <f>E11*0.000068</f>
        <v>12.172000000000001</v>
      </c>
      <c r="H11" s="94">
        <f>E11*0.00001</f>
        <v>1.79</v>
      </c>
      <c r="I11" s="94">
        <f>(F11+G11+H11)*0.07</f>
        <v>26.037340000000004</v>
      </c>
      <c r="J11" s="94">
        <f>E11+F11+I11+G11+H11</f>
        <v>179397.99934000001</v>
      </c>
    </row>
    <row r="12" spans="1:14" ht="12.75">
      <c r="A12" s="77"/>
      <c r="B12" s="81">
        <f>(D11-D10)/D10</f>
        <v>-5.2910052910052914E-2</v>
      </c>
      <c r="C12" s="79">
        <f>SUM(C10:C11)</f>
        <v>50000</v>
      </c>
      <c r="D12" s="80">
        <f>E12/C12</f>
        <v>18.7</v>
      </c>
      <c r="E12" s="79">
        <f t="shared" ref="E12:J12" si="4">SUM(E10:E11)</f>
        <v>935000</v>
      </c>
      <c r="F12" s="79">
        <f t="shared" si="4"/>
        <v>1870</v>
      </c>
      <c r="G12" s="79">
        <f t="shared" si="4"/>
        <v>62.804000000000002</v>
      </c>
      <c r="H12" s="79">
        <f t="shared" si="4"/>
        <v>9.3500000000000014</v>
      </c>
      <c r="I12" s="79">
        <f t="shared" si="4"/>
        <v>135.95078000000001</v>
      </c>
      <c r="J12" s="79">
        <f t="shared" si="4"/>
        <v>937078.10478000005</v>
      </c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EDEB-1A70-4EC2-83C3-E7387031DF06}">
  <dimension ref="A1:N16"/>
  <sheetViews>
    <sheetView workbookViewId="0">
      <selection activeCell="A6" sqref="A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13</v>
      </c>
    </row>
    <row r="2" spans="1:14" s="19" customFormat="1" ht="16.5">
      <c r="A2" s="49">
        <v>44686</v>
      </c>
      <c r="B2" s="15" t="s">
        <v>1</v>
      </c>
      <c r="C2" s="16">
        <v>30000</v>
      </c>
      <c r="D2" s="41">
        <v>2.98</v>
      </c>
      <c r="E2" s="18">
        <f>C2*D2</f>
        <v>89400</v>
      </c>
      <c r="F2" s="18">
        <f>E2*0.002</f>
        <v>178.8</v>
      </c>
      <c r="G2" s="18">
        <f>E2*0.00006</f>
        <v>5.3639999999999999</v>
      </c>
      <c r="H2" s="18">
        <f>E2*0.00001</f>
        <v>0.89400000000000013</v>
      </c>
      <c r="I2" s="18">
        <f>(F2+G2+H2)*0.07</f>
        <v>12.954060000000002</v>
      </c>
      <c r="J2" s="18">
        <f>E2+F2+I2+G2+H2</f>
        <v>89598.012060000008</v>
      </c>
    </row>
    <row r="3" spans="1:14" s="78" customFormat="1">
      <c r="A3" s="82">
        <v>44690</v>
      </c>
      <c r="B3" s="83" t="s">
        <v>1</v>
      </c>
      <c r="C3" s="84">
        <v>30000</v>
      </c>
      <c r="D3" s="85">
        <v>2.94</v>
      </c>
      <c r="E3" s="86">
        <f>C3*D3</f>
        <v>88200</v>
      </c>
      <c r="F3" s="86">
        <f>E3*0.002</f>
        <v>176.4</v>
      </c>
      <c r="G3" s="86">
        <f>E3*0.000068</f>
        <v>5.9976000000000003</v>
      </c>
      <c r="H3" s="86">
        <f>E3*0.00001</f>
        <v>0.88200000000000012</v>
      </c>
      <c r="I3" s="86">
        <f>(F3+G3+H3)*0.07</f>
        <v>12.829572000000002</v>
      </c>
      <c r="J3" s="86">
        <f>E3+F3+I3+G3+H3</f>
        <v>88396.109171999997</v>
      </c>
    </row>
    <row r="4" spans="1:14" s="78" customFormat="1">
      <c r="A4" s="82"/>
      <c r="B4" s="87">
        <f>(D3-D2)/D2</f>
        <v>-1.3422818791946321E-2</v>
      </c>
      <c r="C4" s="84">
        <f>SUM(C2:C3)</f>
        <v>60000</v>
      </c>
      <c r="D4" s="85">
        <f>E4/C4</f>
        <v>2.96</v>
      </c>
      <c r="E4" s="84">
        <f t="shared" ref="E4:J4" si="0">SUM(E2:E3)</f>
        <v>177600</v>
      </c>
      <c r="F4" s="84">
        <f t="shared" si="0"/>
        <v>355.20000000000005</v>
      </c>
      <c r="G4" s="84">
        <f t="shared" si="0"/>
        <v>11.361599999999999</v>
      </c>
      <c r="H4" s="84">
        <f t="shared" si="0"/>
        <v>1.7760000000000002</v>
      </c>
      <c r="I4" s="84">
        <f t="shared" si="0"/>
        <v>25.783632000000004</v>
      </c>
      <c r="J4" s="84">
        <f t="shared" si="0"/>
        <v>177994.121232</v>
      </c>
      <c r="K4" s="81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44680</v>
      </c>
      <c r="C6" s="10">
        <f>C4</f>
        <v>60000</v>
      </c>
      <c r="D6" s="64">
        <v>5.5E-2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3300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60000</v>
      </c>
      <c r="D7" s="46">
        <f>D4</f>
        <v>2.96</v>
      </c>
      <c r="E7" s="20">
        <f>C7*D7</f>
        <v>177600</v>
      </c>
      <c r="F7" s="20">
        <f>E7*0.002</f>
        <v>355.2</v>
      </c>
      <c r="G7" s="20">
        <f>E7*0.00006</f>
        <v>10.656000000000001</v>
      </c>
      <c r="H7" s="20">
        <f>E7*0.00001</f>
        <v>1.7760000000000002</v>
      </c>
      <c r="I7" s="20">
        <f>(F7+G7+H7)*0.07</f>
        <v>25.734240000000003</v>
      </c>
      <c r="J7" s="20">
        <f>E7+F7+I7+G7+H7</f>
        <v>177993.36624</v>
      </c>
    </row>
    <row r="8" spans="1:14">
      <c r="A8" s="56">
        <v>44277</v>
      </c>
      <c r="B8" s="13" t="s">
        <v>3</v>
      </c>
      <c r="C8" s="10">
        <f>C7</f>
        <v>60000</v>
      </c>
      <c r="D8" s="34">
        <f>D7+0.02</f>
        <v>2.98</v>
      </c>
      <c r="E8" s="11">
        <f>C8*D8</f>
        <v>178800</v>
      </c>
      <c r="F8" s="35">
        <f>E8*0.002</f>
        <v>357.6</v>
      </c>
      <c r="G8" s="34">
        <f>E8*0.000068</f>
        <v>12.1584</v>
      </c>
      <c r="H8" s="34">
        <f>E8*0.00001</f>
        <v>1.7880000000000003</v>
      </c>
      <c r="I8" s="34">
        <f>(F8+G8+H8)*0.07</f>
        <v>26.008248000000005</v>
      </c>
      <c r="J8" s="34">
        <f>E8-F8-G8-H8-I8</f>
        <v>178402.44535200001</v>
      </c>
    </row>
    <row r="9" spans="1:14">
      <c r="A9" s="56" t="s">
        <v>4</v>
      </c>
      <c r="B9" s="13"/>
      <c r="C9" s="10"/>
      <c r="D9" s="11"/>
      <c r="E9" s="20">
        <f>E8-E7</f>
        <v>1200</v>
      </c>
      <c r="F9" s="20"/>
      <c r="G9" s="20"/>
      <c r="H9" s="20"/>
      <c r="I9" s="20"/>
      <c r="J9" s="20">
        <f>J8-J7</f>
        <v>409.07911200000672</v>
      </c>
    </row>
    <row r="10" spans="1:14">
      <c r="J10" s="53">
        <f>J6+J9</f>
        <v>3709.0791120000067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32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14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15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16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17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5"/>
  <sheetViews>
    <sheetView workbookViewId="0">
      <selection activeCell="A7" sqref="A7:J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14">
        <v>44943</v>
      </c>
      <c r="B5" s="15" t="s">
        <v>1</v>
      </c>
      <c r="C5" s="16">
        <v>10000</v>
      </c>
      <c r="D5" s="17">
        <v>8.9</v>
      </c>
      <c r="E5" s="18">
        <f>C5*D5</f>
        <v>89000</v>
      </c>
      <c r="F5" s="18">
        <f>E5*0.002</f>
        <v>178</v>
      </c>
      <c r="G5" s="18">
        <f>E5*0.000068</f>
        <v>6.0519999999999996</v>
      </c>
      <c r="H5" s="18">
        <f>E5*0.00001</f>
        <v>0.89000000000000012</v>
      </c>
      <c r="I5" s="18">
        <f>(F5+G5+H5)*0.07</f>
        <v>12.94594</v>
      </c>
      <c r="J5" s="18">
        <f>E5+F5+I5+G5+H5</f>
        <v>89197.887940000001</v>
      </c>
    </row>
    <row r="6" spans="1:14" s="21" customFormat="1" ht="12.75">
      <c r="A6" s="42"/>
      <c r="B6" s="7">
        <f>(D5-D4)/D4</f>
        <v>0</v>
      </c>
      <c r="C6" s="5">
        <f>SUM(C4:C5)</f>
        <v>30000</v>
      </c>
      <c r="D6" s="66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4"/>
      <c r="L6" s="25"/>
    </row>
    <row r="7" spans="1:14" s="21" customFormat="1" ht="12.75">
      <c r="A7" s="14">
        <v>44944</v>
      </c>
      <c r="B7" s="15" t="s">
        <v>1</v>
      </c>
      <c r="C7" s="16">
        <v>10000</v>
      </c>
      <c r="D7" s="17">
        <v>8.9</v>
      </c>
      <c r="E7" s="18">
        <f>C7*D7</f>
        <v>89000</v>
      </c>
      <c r="F7" s="18">
        <f>E7*0.002</f>
        <v>178</v>
      </c>
      <c r="G7" s="18">
        <f>E7*0.000068</f>
        <v>6.0519999999999996</v>
      </c>
      <c r="H7" s="18">
        <f>E7*0.00001</f>
        <v>0.89000000000000012</v>
      </c>
      <c r="I7" s="18">
        <f>(F7+G7+H7)*0.07</f>
        <v>12.94594</v>
      </c>
      <c r="J7" s="18">
        <f>E7+F7+I7+G7+H7</f>
        <v>89197.887940000001</v>
      </c>
    </row>
    <row r="8" spans="1:14" s="21" customFormat="1" ht="12.75">
      <c r="A8" s="42"/>
      <c r="B8" s="7">
        <f>(D7-D6)/D6</f>
        <v>0</v>
      </c>
      <c r="C8" s="5">
        <f>SUM(C6:C7)</f>
        <v>40000</v>
      </c>
      <c r="D8" s="66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4"/>
      <c r="L8" s="25"/>
    </row>
    <row r="9" spans="1:14" s="21" customFormat="1" ht="12.75">
      <c r="A9" s="8">
        <v>44944</v>
      </c>
      <c r="B9" s="13" t="s">
        <v>1</v>
      </c>
      <c r="C9" s="10">
        <v>10000</v>
      </c>
      <c r="D9" s="11">
        <v>8.4</v>
      </c>
      <c r="E9" s="20">
        <f>C9*D9</f>
        <v>84000</v>
      </c>
      <c r="F9" s="20">
        <f>E9*0.002</f>
        <v>168</v>
      </c>
      <c r="G9" s="20">
        <f>E9*0.000068</f>
        <v>5.7119999999999997</v>
      </c>
      <c r="H9" s="20">
        <f>E9*0.00001</f>
        <v>0.84000000000000008</v>
      </c>
      <c r="I9" s="20">
        <f>(F9+G9+H9)*0.07</f>
        <v>12.218640000000001</v>
      </c>
      <c r="J9" s="20">
        <f>E9+F9+I9+G9+H9</f>
        <v>84186.770640000002</v>
      </c>
    </row>
    <row r="10" spans="1:14" s="21" customFormat="1" ht="12.75">
      <c r="A10" s="44"/>
      <c r="B10" s="25">
        <f>(D9-D8)/D8</f>
        <v>-5.6179775280898875E-2</v>
      </c>
      <c r="C10" s="22">
        <f>SUM(C8:C9)</f>
        <v>50000</v>
      </c>
      <c r="D10" s="65">
        <f>E10/C10</f>
        <v>8.8000000000000007</v>
      </c>
      <c r="E10" s="22">
        <f t="shared" ref="E10:J10" si="3">SUM(E8:E9)</f>
        <v>440000</v>
      </c>
      <c r="F10" s="22">
        <f t="shared" si="3"/>
        <v>880</v>
      </c>
      <c r="G10" s="22">
        <f t="shared" si="3"/>
        <v>29.187999999999999</v>
      </c>
      <c r="H10" s="22">
        <f t="shared" si="3"/>
        <v>4.4000000000000004</v>
      </c>
      <c r="I10" s="22">
        <f t="shared" si="3"/>
        <v>63.951160000000002</v>
      </c>
      <c r="J10" s="22">
        <f t="shared" si="3"/>
        <v>440977.53915999999</v>
      </c>
      <c r="K10" s="24"/>
      <c r="L10" s="25"/>
    </row>
    <row r="11" spans="1:14" s="21" customFormat="1" ht="12.75">
      <c r="A11" s="44"/>
      <c r="B11" s="25"/>
      <c r="C11" s="22"/>
      <c r="D11" s="65"/>
      <c r="E11" s="22"/>
      <c r="F11" s="22"/>
      <c r="G11" s="22"/>
      <c r="H11" s="22"/>
      <c r="I11" s="22"/>
      <c r="J11" s="22"/>
      <c r="K11" s="24"/>
      <c r="L11" s="25"/>
    </row>
    <row r="12" spans="1:14" s="63" customFormat="1" ht="21.75">
      <c r="A12" s="56">
        <v>44799</v>
      </c>
      <c r="C12" s="10">
        <f>C4</f>
        <v>20000</v>
      </c>
      <c r="D12" s="64">
        <v>0.19109999999999999</v>
      </c>
      <c r="E12" s="60">
        <v>0</v>
      </c>
      <c r="F12" s="32">
        <v>0</v>
      </c>
      <c r="G12" s="60">
        <v>0</v>
      </c>
      <c r="H12" s="11">
        <f>G12-E12</f>
        <v>0</v>
      </c>
      <c r="I12" s="12">
        <v>0</v>
      </c>
      <c r="J12" s="61">
        <f>C12*D12*0.9</f>
        <v>3439.8</v>
      </c>
      <c r="K12" s="11"/>
      <c r="L12" s="13"/>
      <c r="M12" s="62"/>
      <c r="N12" s="62"/>
    </row>
    <row r="13" spans="1:14">
      <c r="A13" s="56">
        <v>44242</v>
      </c>
      <c r="B13" s="13" t="s">
        <v>1</v>
      </c>
      <c r="C13" s="10">
        <f>C4</f>
        <v>20000</v>
      </c>
      <c r="D13" s="46">
        <f>D4</f>
        <v>8.9</v>
      </c>
      <c r="E13" s="20">
        <f>C13*D13</f>
        <v>178000</v>
      </c>
      <c r="F13" s="20">
        <f>E13*0.002</f>
        <v>356</v>
      </c>
      <c r="G13" s="20">
        <f>E13*0.00006</f>
        <v>10.68</v>
      </c>
      <c r="H13" s="20">
        <f>E13*0.00001</f>
        <v>1.7800000000000002</v>
      </c>
      <c r="I13" s="20">
        <f>(F13+G13+H13)*0.07</f>
        <v>25.792200000000001</v>
      </c>
      <c r="J13" s="20">
        <f>E13+F13+I13+G13+H13</f>
        <v>178394.25219999999</v>
      </c>
    </row>
    <row r="14" spans="1:14">
      <c r="A14" s="56">
        <v>44277</v>
      </c>
      <c r="B14" s="13" t="s">
        <v>3</v>
      </c>
      <c r="C14" s="10">
        <f>C13</f>
        <v>20000</v>
      </c>
      <c r="D14" s="34">
        <v>8.9499999999999993</v>
      </c>
      <c r="E14" s="11">
        <f>C14*D14</f>
        <v>179000</v>
      </c>
      <c r="F14" s="35">
        <f>E14*0.002</f>
        <v>358</v>
      </c>
      <c r="G14" s="34">
        <f>E14*0.000068</f>
        <v>12.172000000000001</v>
      </c>
      <c r="H14" s="34">
        <f>E14*0.00001</f>
        <v>1.79</v>
      </c>
      <c r="I14" s="34">
        <f>(F14+G14+H14)*0.07</f>
        <v>26.037340000000004</v>
      </c>
      <c r="J14" s="34">
        <f>E14-F14-G14-H14-I14</f>
        <v>178602.00065999999</v>
      </c>
    </row>
    <row r="15" spans="1:14" ht="12.75">
      <c r="A15" s="56" t="s">
        <v>4</v>
      </c>
      <c r="B15" s="25">
        <f>(D14-D13)/D13</f>
        <v>5.6179775280897678E-3</v>
      </c>
      <c r="C15" s="10"/>
      <c r="D15" s="11"/>
      <c r="E15" s="20">
        <f>E14-E13</f>
        <v>1000</v>
      </c>
      <c r="F15" s="20"/>
      <c r="G15" s="20"/>
      <c r="H15" s="20"/>
      <c r="I15" s="20"/>
      <c r="J15" s="20">
        <f>J14-J13</f>
        <v>207.74846000000252</v>
      </c>
    </row>
    <row r="16" spans="1:14">
      <c r="J16" s="53">
        <f>J12+J15</f>
        <v>3647.5484600000027</v>
      </c>
    </row>
    <row r="17" spans="1:13" s="78" customFormat="1">
      <c r="A17" s="82"/>
      <c r="B17" s="83"/>
      <c r="C17" s="84"/>
      <c r="D17" s="85"/>
      <c r="E17" s="86"/>
      <c r="F17" s="86"/>
      <c r="G17" s="86"/>
      <c r="H17" s="86"/>
      <c r="I17" s="86"/>
      <c r="J17" s="86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s="21" customFormat="1">
      <c r="A20" s="49"/>
      <c r="B20" s="15"/>
      <c r="C20" s="16"/>
      <c r="D20" s="17"/>
      <c r="E20" s="18"/>
      <c r="F20" s="18"/>
      <c r="G20" s="18"/>
      <c r="H20" s="18"/>
      <c r="I20" s="18"/>
      <c r="J20" s="18"/>
      <c r="L20" s="25"/>
    </row>
    <row r="21" spans="1:13" s="13" customFormat="1">
      <c r="A21" s="49"/>
      <c r="B21" s="15"/>
      <c r="C21" s="16"/>
      <c r="D21" s="26"/>
      <c r="E21" s="17"/>
      <c r="F21" s="27"/>
      <c r="G21" s="26"/>
      <c r="H21" s="26"/>
      <c r="I21" s="26"/>
      <c r="J21" s="26"/>
    </row>
    <row r="22" spans="1:13" s="31" customFormat="1" ht="18.75">
      <c r="A22" s="28"/>
      <c r="B22" s="30"/>
      <c r="C22" s="16"/>
      <c r="D22" s="17"/>
      <c r="E22" s="18"/>
      <c r="F22" s="18"/>
      <c r="G22" s="18"/>
      <c r="H22" s="18"/>
      <c r="I22" s="18"/>
      <c r="J22" s="18"/>
      <c r="K22" s="32"/>
      <c r="L22" s="12"/>
      <c r="M22" s="12"/>
    </row>
    <row r="23" spans="1:13" ht="12"/>
    <row r="24" spans="1:13" ht="12"/>
    <row r="25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2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19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 ht="12.75">
      <c r="A3" s="39">
        <v>44952</v>
      </c>
      <c r="B3" s="15" t="s">
        <v>1</v>
      </c>
      <c r="C3" s="16">
        <v>2400</v>
      </c>
      <c r="D3" s="17">
        <v>40</v>
      </c>
      <c r="E3" s="18">
        <f>C3*D3</f>
        <v>96000</v>
      </c>
      <c r="F3" s="18">
        <f>E3*0.002</f>
        <v>192</v>
      </c>
      <c r="G3" s="18">
        <f>E3*0.00006</f>
        <v>5.76</v>
      </c>
      <c r="H3" s="18">
        <f>E3*0.00001</f>
        <v>0.96000000000000008</v>
      </c>
      <c r="I3" s="18">
        <f>(F3+G3+H3)*0.07</f>
        <v>13.910400000000001</v>
      </c>
      <c r="J3" s="18">
        <f>E3+F3+I3+G3+H3</f>
        <v>96212.630399999995</v>
      </c>
      <c r="K3" s="32"/>
      <c r="L3" s="11"/>
      <c r="M3" s="12"/>
    </row>
    <row r="4" spans="1:14" s="63" customFormat="1" ht="21.75">
      <c r="A4" s="49"/>
      <c r="B4" s="75">
        <f>(D3-D2)/D2</f>
        <v>-9.0909090909090912E-2</v>
      </c>
      <c r="C4" s="16">
        <f>SUM(C2:C3)</f>
        <v>4800</v>
      </c>
      <c r="D4" s="40">
        <f>E4/C4</f>
        <v>42</v>
      </c>
      <c r="E4" s="16">
        <f>SUM(E2:E3)</f>
        <v>201600</v>
      </c>
      <c r="F4" s="16">
        <f>SUM(F2:F3)</f>
        <v>403.20000000000005</v>
      </c>
      <c r="G4" s="16">
        <f>SUM(G2:G3)</f>
        <v>12.096</v>
      </c>
      <c r="H4" s="16">
        <f>SUM(H2:H3)</f>
        <v>2.016</v>
      </c>
      <c r="I4" s="16">
        <f>SUM(I2:I3)</f>
        <v>29.211840000000006</v>
      </c>
      <c r="J4" s="16">
        <f>SUM(J2:J3)</f>
        <v>202046.52383999998</v>
      </c>
      <c r="K4" s="11"/>
      <c r="L4" s="13"/>
      <c r="M4" s="62"/>
      <c r="N4" s="62"/>
    </row>
    <row r="5" spans="1:14" s="13" customFormat="1" ht="12.75">
      <c r="A5" s="67">
        <v>44952</v>
      </c>
      <c r="B5" s="13" t="s">
        <v>1</v>
      </c>
      <c r="C5" s="10">
        <v>2400</v>
      </c>
      <c r="D5" s="11">
        <v>36</v>
      </c>
      <c r="E5" s="20">
        <f>C5*D5</f>
        <v>86400</v>
      </c>
      <c r="F5" s="20">
        <f>E5*0.002</f>
        <v>172.8</v>
      </c>
      <c r="G5" s="20">
        <f>E5*0.00006</f>
        <v>5.1840000000000002</v>
      </c>
      <c r="H5" s="20">
        <f>E5*0.00001</f>
        <v>0.8640000000000001</v>
      </c>
      <c r="I5" s="20">
        <f>(F5+G5+H5)*0.07</f>
        <v>12.519360000000002</v>
      </c>
      <c r="J5" s="20">
        <f>E5+F5+I5+G5+H5</f>
        <v>86591.367360000004</v>
      </c>
      <c r="K5" s="32"/>
      <c r="L5" s="11"/>
      <c r="M5" s="12"/>
    </row>
    <row r="6" spans="1:14" s="63" customFormat="1" ht="21.75">
      <c r="A6" s="56"/>
      <c r="B6" s="76">
        <f>(D5-D4)/D4</f>
        <v>-0.14285714285714285</v>
      </c>
      <c r="C6" s="10">
        <f>SUM(C4:C5)</f>
        <v>7200</v>
      </c>
      <c r="D6" s="64">
        <f>E6/C6</f>
        <v>40</v>
      </c>
      <c r="E6" s="10">
        <f>SUM(E4:E5)</f>
        <v>288000</v>
      </c>
      <c r="F6" s="10">
        <f>SUM(F4:F5)</f>
        <v>576</v>
      </c>
      <c r="G6" s="10">
        <f>SUM(G4:G5)</f>
        <v>17.28</v>
      </c>
      <c r="H6" s="10">
        <f>SUM(H4:H5)</f>
        <v>2.88</v>
      </c>
      <c r="I6" s="10">
        <f>SUM(I4:I5)</f>
        <v>41.731200000000008</v>
      </c>
      <c r="J6" s="10">
        <f>SUM(J4:J5)</f>
        <v>288637.89119999995</v>
      </c>
      <c r="K6" s="11"/>
      <c r="L6" s="13"/>
      <c r="M6" s="62"/>
      <c r="N6" s="62"/>
    </row>
    <row r="7" spans="1:14">
      <c r="A7" s="54"/>
      <c r="B7" s="55"/>
      <c r="C7" s="51"/>
      <c r="D7" s="52"/>
      <c r="E7" s="55"/>
      <c r="F7" s="55"/>
      <c r="G7" s="55"/>
      <c r="H7" s="55"/>
      <c r="I7" s="55"/>
      <c r="J7" s="55"/>
    </row>
    <row r="8" spans="1:14">
      <c r="A8" s="54"/>
      <c r="B8" s="55"/>
      <c r="C8" s="51"/>
      <c r="D8" s="52"/>
      <c r="E8" s="55"/>
      <c r="F8" s="55"/>
      <c r="G8" s="55"/>
      <c r="H8" s="55"/>
      <c r="I8" s="55"/>
      <c r="J8" s="55"/>
    </row>
    <row r="9" spans="1:14" s="63" customFormat="1" ht="21.75">
      <c r="A9" s="56">
        <v>44799</v>
      </c>
      <c r="C9" s="10">
        <f>C2</f>
        <v>2400</v>
      </c>
      <c r="D9" s="64">
        <v>0.4</v>
      </c>
      <c r="E9" s="60">
        <v>0</v>
      </c>
      <c r="F9" s="32">
        <v>0</v>
      </c>
      <c r="G9" s="60">
        <v>0</v>
      </c>
      <c r="H9" s="11">
        <f>G9-E9</f>
        <v>0</v>
      </c>
      <c r="I9" s="12">
        <v>0</v>
      </c>
      <c r="J9" s="61">
        <f>C9*D9*0.9</f>
        <v>864</v>
      </c>
      <c r="K9" s="11"/>
      <c r="L9" s="13"/>
      <c r="M9" s="62"/>
      <c r="N9" s="62"/>
    </row>
    <row r="10" spans="1:14">
      <c r="A10" s="56">
        <v>44242</v>
      </c>
      <c r="B10" s="13" t="s">
        <v>1</v>
      </c>
      <c r="C10" s="10">
        <f>C4</f>
        <v>4800</v>
      </c>
      <c r="D10" s="46">
        <f>D4</f>
        <v>42</v>
      </c>
      <c r="E10" s="20">
        <f>C10*D10</f>
        <v>201600</v>
      </c>
      <c r="F10" s="20">
        <f>E10*0.002</f>
        <v>403.2</v>
      </c>
      <c r="G10" s="20">
        <f>E10*0.00006</f>
        <v>12.096</v>
      </c>
      <c r="H10" s="20">
        <f>E10*0.00001</f>
        <v>2.016</v>
      </c>
      <c r="I10" s="20">
        <f>(F10+G10+H10)*0.07</f>
        <v>29.211840000000002</v>
      </c>
      <c r="J10" s="20">
        <f>E10+F10+I10+G10+H10</f>
        <v>202046.52384000001</v>
      </c>
    </row>
    <row r="11" spans="1:14">
      <c r="A11" s="56">
        <v>44277</v>
      </c>
      <c r="B11" s="13" t="s">
        <v>3</v>
      </c>
      <c r="C11" s="10">
        <f>C10</f>
        <v>4800</v>
      </c>
      <c r="D11" s="34">
        <v>44.5</v>
      </c>
      <c r="E11" s="11">
        <f>C11*D11</f>
        <v>213600</v>
      </c>
      <c r="F11" s="35">
        <f>E11*0.002</f>
        <v>427.2</v>
      </c>
      <c r="G11" s="34">
        <f>E11*0.000068</f>
        <v>14.524799999999999</v>
      </c>
      <c r="H11" s="34">
        <f>E11*0.00001</f>
        <v>2.1360000000000001</v>
      </c>
      <c r="I11" s="34">
        <f>(F11+G11+H11)*0.07</f>
        <v>31.070256000000001</v>
      </c>
      <c r="J11" s="34">
        <f>E11-F11-G11-H11-I11</f>
        <v>213125.06894399997</v>
      </c>
    </row>
    <row r="12" spans="1:14" ht="21.75">
      <c r="A12" s="56" t="s">
        <v>4</v>
      </c>
      <c r="B12" s="76">
        <f>(D11-D10)/D10</f>
        <v>5.9523809523809521E-2</v>
      </c>
      <c r="C12" s="10"/>
      <c r="D12" s="11"/>
      <c r="E12" s="20">
        <f>E11-E10</f>
        <v>12000</v>
      </c>
      <c r="F12" s="20"/>
      <c r="G12" s="20"/>
      <c r="H12" s="20"/>
      <c r="I12" s="20"/>
      <c r="J12" s="20">
        <f>J11-J10</f>
        <v>11078.545103999961</v>
      </c>
    </row>
    <row r="13" spans="1:14">
      <c r="J13" s="53">
        <f>J9+J12</f>
        <v>11942.545103999961</v>
      </c>
    </row>
    <row r="14" spans="1:14" s="78" customFormat="1">
      <c r="A14" s="82"/>
      <c r="B14" s="83"/>
      <c r="C14" s="84"/>
      <c r="D14" s="85"/>
      <c r="E14" s="86"/>
      <c r="F14" s="86"/>
      <c r="G14" s="86"/>
      <c r="H14" s="86"/>
      <c r="I14" s="86"/>
      <c r="J14" s="86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spans="1:13" s="21" customFormat="1">
      <c r="A17" s="49"/>
      <c r="B17" s="15"/>
      <c r="C17" s="16"/>
      <c r="D17" s="17"/>
      <c r="E17" s="18"/>
      <c r="F17" s="18"/>
      <c r="G17" s="18"/>
      <c r="H17" s="18"/>
      <c r="I17" s="18"/>
      <c r="J17" s="18"/>
      <c r="L17" s="25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ht="12"/>
    <row r="21" spans="1:13" ht="12"/>
    <row r="22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20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9"/>
  <sheetViews>
    <sheetView workbookViewId="0">
      <selection activeCell="D8" sqref="D8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3" customFormat="1">
      <c r="A2" s="39">
        <v>44946</v>
      </c>
      <c r="B2" s="15" t="s">
        <v>1</v>
      </c>
      <c r="C2" s="16">
        <v>3600</v>
      </c>
      <c r="D2" s="17">
        <v>39.5</v>
      </c>
      <c r="E2" s="18">
        <f>C2*D2</f>
        <v>142200</v>
      </c>
      <c r="F2" s="18">
        <f>E2*0.002</f>
        <v>284.40000000000003</v>
      </c>
      <c r="G2" s="18">
        <f>E2*0.00006</f>
        <v>8.532</v>
      </c>
      <c r="H2" s="18">
        <f>E2*0.00001</f>
        <v>1.4220000000000002</v>
      </c>
      <c r="I2" s="18">
        <f>(F2+G2+H2)*0.07</f>
        <v>20.604780000000005</v>
      </c>
      <c r="J2" s="18">
        <f>E2+F2+I2+G2+H2</f>
        <v>142514.95877999999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41.5</v>
      </c>
      <c r="E3" s="11">
        <f>C3*D3</f>
        <v>149400</v>
      </c>
      <c r="F3" s="35">
        <f>E3*0.002</f>
        <v>298.8</v>
      </c>
      <c r="G3" s="34">
        <f>E3*0.000068</f>
        <v>10.1592</v>
      </c>
      <c r="H3" s="34">
        <f>E3*0.00001</f>
        <v>1.4940000000000002</v>
      </c>
      <c r="I3" s="34">
        <f>(F3+G3+H3)*0.07</f>
        <v>21.731724000000003</v>
      </c>
      <c r="J3" s="34">
        <f>E3-F3-G3-H3-I3</f>
        <v>149067.815076</v>
      </c>
    </row>
    <row r="4" spans="1:13" s="1" customFormat="1">
      <c r="A4" s="56" t="s">
        <v>4</v>
      </c>
      <c r="B4" s="12">
        <f>(D3-D2)/D2</f>
        <v>5.0632911392405063E-2</v>
      </c>
      <c r="C4" s="10"/>
      <c r="D4" s="11"/>
      <c r="E4" s="20">
        <f>E3-E2</f>
        <v>7200</v>
      </c>
      <c r="F4" s="20"/>
      <c r="G4" s="20"/>
      <c r="H4" s="20"/>
      <c r="I4" s="20"/>
      <c r="J4" s="20">
        <f>J3-J2</f>
        <v>6552.8562960000127</v>
      </c>
    </row>
    <row r="5" spans="1:13" s="1" customFormat="1" ht="12">
      <c r="A5" s="50"/>
      <c r="C5" s="2"/>
      <c r="D5" s="47"/>
      <c r="J5" s="53">
        <f>J1+J4</f>
        <v>6552.8562960000127</v>
      </c>
    </row>
    <row r="6" spans="1:13" s="13" customFormat="1">
      <c r="A6" s="39">
        <v>44946</v>
      </c>
      <c r="B6" s="15" t="s">
        <v>1</v>
      </c>
      <c r="C6" s="16">
        <v>3600</v>
      </c>
      <c r="D6" s="17">
        <v>39.5</v>
      </c>
      <c r="E6" s="18">
        <f>C6*D6</f>
        <v>142200</v>
      </c>
      <c r="F6" s="18">
        <f>E6*0.002</f>
        <v>284.40000000000003</v>
      </c>
      <c r="G6" s="18">
        <f>E6*0.00006</f>
        <v>8.532</v>
      </c>
      <c r="H6" s="18">
        <f>E6*0.00001</f>
        <v>1.4220000000000002</v>
      </c>
      <c r="I6" s="18">
        <f>(F6+G6+H6)*0.07</f>
        <v>20.604780000000005</v>
      </c>
      <c r="J6" s="18">
        <f>E6+F6+I6+G6+H6</f>
        <v>142514.95877999999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1200</v>
      </c>
      <c r="D7" s="46">
        <v>33.5</v>
      </c>
      <c r="E7" s="20">
        <f>C7*D7</f>
        <v>40200</v>
      </c>
      <c r="F7" s="20">
        <f>E7*0.002</f>
        <v>80.400000000000006</v>
      </c>
      <c r="G7" s="20">
        <f>E7*0.00006</f>
        <v>2.4119999999999999</v>
      </c>
      <c r="H7" s="20">
        <f>E7*0.00001</f>
        <v>0.40200000000000002</v>
      </c>
      <c r="I7" s="20">
        <f>(F7+G7+H7)*0.07</f>
        <v>5.8249800000000018</v>
      </c>
      <c r="J7" s="20">
        <f>E7+F7+I7+G7+H7</f>
        <v>40289.038979999998</v>
      </c>
    </row>
    <row r="8" spans="1:13" s="1" customFormat="1" ht="14.25">
      <c r="A8" s="56"/>
      <c r="B8" s="12">
        <f>(D7-D6)/D6</f>
        <v>-0.15189873417721519</v>
      </c>
      <c r="C8" s="10">
        <f>SUM(C6:C7)</f>
        <v>4800</v>
      </c>
      <c r="D8" s="11">
        <f>E8/C8</f>
        <v>38</v>
      </c>
      <c r="E8" s="10">
        <f t="shared" ref="E8:J8" si="0">SUM(E6:E7)</f>
        <v>182400</v>
      </c>
      <c r="F8" s="10">
        <f t="shared" si="0"/>
        <v>364.80000000000007</v>
      </c>
      <c r="G8" s="10">
        <f t="shared" si="0"/>
        <v>10.943999999999999</v>
      </c>
      <c r="H8" s="10">
        <f t="shared" si="0"/>
        <v>1.8240000000000003</v>
      </c>
      <c r="I8" s="10">
        <f t="shared" si="0"/>
        <v>26.429760000000009</v>
      </c>
      <c r="J8" s="10">
        <f t="shared" si="0"/>
        <v>182803.99776</v>
      </c>
    </row>
    <row r="9" spans="1:13" s="1" customFormat="1" ht="12">
      <c r="A9" s="50"/>
      <c r="C9" s="2"/>
      <c r="D9" s="47"/>
      <c r="J9" s="53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M6"/>
  <sheetViews>
    <sheetView workbookViewId="0">
      <selection activeCell="C6" sqref="C6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68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68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22</v>
      </c>
    </row>
    <row r="2" spans="1:13" s="13" customFormat="1">
      <c r="A2" s="39">
        <v>44946</v>
      </c>
      <c r="B2" s="15" t="s">
        <v>1</v>
      </c>
      <c r="C2" s="16">
        <v>2400</v>
      </c>
      <c r="D2" s="17">
        <v>58.5</v>
      </c>
      <c r="E2" s="69">
        <f>C2*D2</f>
        <v>140400</v>
      </c>
      <c r="F2" s="18">
        <f>E2*0.002</f>
        <v>280.8</v>
      </c>
      <c r="G2" s="18">
        <f>E2*0.00006</f>
        <v>8.4239999999999995</v>
      </c>
      <c r="H2" s="18">
        <f>E2*0.00001</f>
        <v>1.4040000000000001</v>
      </c>
      <c r="I2" s="18">
        <f>(F2+G2+H2)*0.07</f>
        <v>20.343960000000003</v>
      </c>
      <c r="J2" s="69">
        <f>E2+F2+I2+G2+H2</f>
        <v>140710.97196</v>
      </c>
      <c r="K2" s="29"/>
      <c r="L2" s="17"/>
      <c r="M2" s="30"/>
    </row>
    <row r="3" spans="1:13" s="1" customFormat="1">
      <c r="A3" s="49">
        <v>44956</v>
      </c>
      <c r="B3" s="15" t="s">
        <v>1</v>
      </c>
      <c r="C3" s="16">
        <v>900</v>
      </c>
      <c r="D3" s="41">
        <v>53</v>
      </c>
      <c r="E3" s="69">
        <f>C3*D3</f>
        <v>47700</v>
      </c>
      <c r="F3" s="18">
        <f>E3*0.002</f>
        <v>95.4</v>
      </c>
      <c r="G3" s="18">
        <f>E3*0.00006</f>
        <v>2.8620000000000001</v>
      </c>
      <c r="H3" s="18">
        <f>E3*0.00001</f>
        <v>0.47700000000000004</v>
      </c>
      <c r="I3" s="18">
        <f>(F3+G3+H3)*0.07</f>
        <v>6.9117300000000013</v>
      </c>
      <c r="J3" s="69">
        <f>E3+F3+I3+G3+H3</f>
        <v>47805.650730000001</v>
      </c>
    </row>
    <row r="4" spans="1:13" s="1" customFormat="1">
      <c r="A4" s="49"/>
      <c r="B4" s="30">
        <f>(D3-D2)/D2</f>
        <v>-9.4017094017094016E-2</v>
      </c>
      <c r="C4" s="16">
        <f>SUM(C2:C3)</f>
        <v>3300</v>
      </c>
      <c r="D4" s="17">
        <f>E4/C4</f>
        <v>57</v>
      </c>
      <c r="E4" s="69">
        <f t="shared" ref="E4:J4" si="0">SUM(E2:E3)</f>
        <v>188100</v>
      </c>
      <c r="F4" s="16">
        <f t="shared" si="0"/>
        <v>376.20000000000005</v>
      </c>
      <c r="G4" s="16">
        <f t="shared" si="0"/>
        <v>11.286</v>
      </c>
      <c r="H4" s="16">
        <f t="shared" si="0"/>
        <v>1.8810000000000002</v>
      </c>
      <c r="I4" s="16">
        <f t="shared" si="0"/>
        <v>27.255690000000005</v>
      </c>
      <c r="J4" s="69">
        <f t="shared" si="0"/>
        <v>188516.62268999999</v>
      </c>
    </row>
    <row r="5" spans="1:13" s="1" customFormat="1">
      <c r="A5" s="56">
        <v>44676</v>
      </c>
      <c r="B5" s="13" t="s">
        <v>1</v>
      </c>
      <c r="C5" s="10">
        <v>900</v>
      </c>
      <c r="D5" s="46">
        <v>50</v>
      </c>
      <c r="E5" s="62">
        <f>C5*D5</f>
        <v>45000</v>
      </c>
      <c r="F5" s="20">
        <f>E5*0.002</f>
        <v>90</v>
      </c>
      <c r="G5" s="20">
        <f>E5*0.00006</f>
        <v>2.7</v>
      </c>
      <c r="H5" s="20">
        <f>E5*0.00001</f>
        <v>0.45</v>
      </c>
      <c r="I5" s="20">
        <f>(F5+G5+H5)*0.07</f>
        <v>6.5205000000000011</v>
      </c>
      <c r="J5" s="62">
        <f>E5+F5+I5+G5+H5</f>
        <v>45099.670499999993</v>
      </c>
    </row>
    <row r="6" spans="1:13" s="1" customFormat="1">
      <c r="A6" s="56"/>
      <c r="B6" s="12">
        <f>(D5-D4)/D4</f>
        <v>-0.12280701754385964</v>
      </c>
      <c r="C6" s="10">
        <f>SUM(C4:C5)</f>
        <v>4200</v>
      </c>
      <c r="D6" s="11">
        <f>E6/C6</f>
        <v>55.5</v>
      </c>
      <c r="E6" s="62">
        <f t="shared" ref="E6:J6" si="1">SUM(E4:E5)</f>
        <v>233100</v>
      </c>
      <c r="F6" s="10">
        <f t="shared" si="1"/>
        <v>466.20000000000005</v>
      </c>
      <c r="G6" s="10">
        <f t="shared" si="1"/>
        <v>13.986000000000001</v>
      </c>
      <c r="H6" s="10">
        <f t="shared" si="1"/>
        <v>2.3310000000000004</v>
      </c>
      <c r="I6" s="10">
        <f t="shared" si="1"/>
        <v>33.776190000000007</v>
      </c>
      <c r="J6" s="62">
        <f t="shared" si="1"/>
        <v>233616.29319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7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23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24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24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A6" sqref="A6:XF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2"/>
  <sheetViews>
    <sheetView topLeftCell="A25" workbookViewId="0">
      <selection activeCell="D34" sqref="D34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49">
        <v>44959</v>
      </c>
      <c r="B31" s="15" t="s">
        <v>1</v>
      </c>
      <c r="C31" s="16">
        <v>3000</v>
      </c>
      <c r="D31" s="17">
        <v>30.25</v>
      </c>
      <c r="E31" s="18">
        <f>C31*D31</f>
        <v>90750</v>
      </c>
      <c r="F31" s="18">
        <f>E31*0.002</f>
        <v>181.5</v>
      </c>
      <c r="G31" s="18">
        <f>E31*0.000068</f>
        <v>6.1710000000000003</v>
      </c>
      <c r="H31" s="18">
        <f>E31*0.00001</f>
        <v>0.90750000000000008</v>
      </c>
      <c r="I31" s="18">
        <f>(F31+G31+H31)*0.07</f>
        <v>13.200495</v>
      </c>
      <c r="J31" s="18">
        <f>E31+F31+I31+G31+H31</f>
        <v>90951.778995000001</v>
      </c>
    </row>
    <row r="32" spans="1:13" ht="12.75">
      <c r="A32" s="90"/>
      <c r="B32" s="7">
        <f>(D31-D30)/D30</f>
        <v>-0.24018838304552589</v>
      </c>
      <c r="C32" s="5">
        <f>SUM(C30:C31)</f>
        <v>27000</v>
      </c>
      <c r="D32" s="66">
        <f>E32/C32</f>
        <v>38.75</v>
      </c>
      <c r="E32" s="5">
        <f t="shared" ref="E32:J32" si="11">SUM(E30:E31)</f>
        <v>1046250</v>
      </c>
      <c r="F32" s="5">
        <f t="shared" si="11"/>
        <v>2092.5</v>
      </c>
      <c r="G32" s="5">
        <f t="shared" si="11"/>
        <v>71.14500000000001</v>
      </c>
      <c r="H32" s="5">
        <f t="shared" si="11"/>
        <v>10.4625</v>
      </c>
      <c r="I32" s="5">
        <f t="shared" si="11"/>
        <v>152.18752499999999</v>
      </c>
      <c r="J32" s="5">
        <f t="shared" si="11"/>
        <v>1048576.2950249999</v>
      </c>
      <c r="M32" s="21"/>
    </row>
    <row r="33" spans="1:13" ht="12.75">
      <c r="A33" s="56">
        <v>44959</v>
      </c>
      <c r="B33" s="13" t="s">
        <v>1</v>
      </c>
      <c r="C33" s="10">
        <v>3000</v>
      </c>
      <c r="D33" s="11">
        <v>28.75</v>
      </c>
      <c r="E33" s="20">
        <f>C33*D33</f>
        <v>86250</v>
      </c>
      <c r="F33" s="20">
        <f>E33*0.002</f>
        <v>172.5</v>
      </c>
      <c r="G33" s="20">
        <f>E33*0.000068</f>
        <v>5.8650000000000002</v>
      </c>
      <c r="H33" s="20">
        <f>E33*0.00001</f>
        <v>0.86250000000000004</v>
      </c>
      <c r="I33" s="20">
        <f>(F33+G33+H33)*0.07</f>
        <v>12.545925000000002</v>
      </c>
      <c r="J33" s="20">
        <f>E33+F33+I33+G33+H33</f>
        <v>86441.773425000007</v>
      </c>
    </row>
    <row r="34" spans="1:13" ht="12.75">
      <c r="B34" s="25">
        <f>(D33-D32)/D32</f>
        <v>-0.25806451612903225</v>
      </c>
      <c r="C34" s="22">
        <f>SUM(C32:C33)</f>
        <v>30000</v>
      </c>
      <c r="D34" s="65">
        <f>E34/C34</f>
        <v>37.75</v>
      </c>
      <c r="E34" s="22">
        <f t="shared" ref="E34:J34" si="12">SUM(E32:E33)</f>
        <v>1132500</v>
      </c>
      <c r="F34" s="22">
        <f t="shared" si="12"/>
        <v>2265</v>
      </c>
      <c r="G34" s="22">
        <f t="shared" si="12"/>
        <v>77.010000000000005</v>
      </c>
      <c r="H34" s="22">
        <f t="shared" si="12"/>
        <v>11.325000000000001</v>
      </c>
      <c r="I34" s="22">
        <f t="shared" si="12"/>
        <v>164.73345</v>
      </c>
      <c r="J34" s="22">
        <f t="shared" si="12"/>
        <v>1135018.0684499999</v>
      </c>
      <c r="M34" s="21"/>
    </row>
    <row r="35" spans="1:13" s="13" customFormat="1" ht="12.75">
      <c r="A35" s="89"/>
      <c r="B35" s="21"/>
      <c r="C35" s="21"/>
      <c r="D35" s="21"/>
      <c r="E35" s="21"/>
      <c r="F35" s="21"/>
      <c r="G35" s="21"/>
      <c r="H35" s="21"/>
      <c r="I35" s="21"/>
      <c r="J35" s="21"/>
    </row>
    <row r="36" spans="1:13" s="31" customFormat="1" ht="18.75">
      <c r="A36" s="49">
        <v>44846</v>
      </c>
      <c r="B36" s="15" t="s">
        <v>1</v>
      </c>
      <c r="C36" s="16">
        <v>3000</v>
      </c>
      <c r="D36" s="17">
        <v>27.75</v>
      </c>
      <c r="E36" s="18">
        <f>C36*D36</f>
        <v>83250</v>
      </c>
      <c r="F36" s="18">
        <f>E36*0.002</f>
        <v>166.5</v>
      </c>
      <c r="G36" s="18">
        <f>E36*0.000068</f>
        <v>5.6609999999999996</v>
      </c>
      <c r="H36" s="18">
        <f>E36*0.00001</f>
        <v>0.83250000000000002</v>
      </c>
      <c r="I36" s="18">
        <f>(F36+G36+H36)*0.07</f>
        <v>12.109545000000002</v>
      </c>
      <c r="J36" s="18">
        <f>E36+F36+I36+G36+H36</f>
        <v>83435.103044999996</v>
      </c>
      <c r="K36" s="32"/>
      <c r="L36" s="12"/>
      <c r="M36" s="12"/>
    </row>
    <row r="37" spans="1:13" ht="12.75">
      <c r="A37" s="49">
        <v>44853</v>
      </c>
      <c r="B37" s="15" t="s">
        <v>3</v>
      </c>
      <c r="C37" s="16">
        <f>C36</f>
        <v>3000</v>
      </c>
      <c r="D37" s="26">
        <v>29.25</v>
      </c>
      <c r="E37" s="17">
        <f>C37*D37</f>
        <v>87750</v>
      </c>
      <c r="F37" s="27">
        <f>E37*0.002</f>
        <v>175.5</v>
      </c>
      <c r="G37" s="26">
        <f>E37*0.000068</f>
        <v>5.9669999999999996</v>
      </c>
      <c r="H37" s="26">
        <f>E37*0.00001</f>
        <v>0.87750000000000006</v>
      </c>
      <c r="I37" s="26">
        <f>(F37+G37+H37)*0.07</f>
        <v>12.764115000000002</v>
      </c>
      <c r="J37" s="26">
        <f>E37-F37-G37-H37-I37</f>
        <v>87554.891384999995</v>
      </c>
    </row>
    <row r="38" spans="1:13" ht="12.75">
      <c r="A38" s="49">
        <f>DAYS360(A36,A37)</f>
        <v>7</v>
      </c>
      <c r="B38" s="30">
        <f>(D37-D36)/D36</f>
        <v>5.4054054054054057E-2</v>
      </c>
      <c r="C38" s="16"/>
      <c r="D38" s="17"/>
      <c r="E38" s="18">
        <f>E37-E36</f>
        <v>4500</v>
      </c>
      <c r="F38" s="18"/>
      <c r="G38" s="18"/>
      <c r="H38" s="18"/>
      <c r="I38" s="18"/>
      <c r="J38" s="18">
        <f>J37-J36</f>
        <v>4119.7883399999992</v>
      </c>
    </row>
    <row r="40" spans="1:13" s="31" customFormat="1" ht="18.75">
      <c r="A40" s="56">
        <v>44846</v>
      </c>
      <c r="B40" s="13" t="s">
        <v>1</v>
      </c>
      <c r="C40" s="10">
        <v>3000</v>
      </c>
      <c r="D40" s="11">
        <v>28</v>
      </c>
      <c r="E40" s="20">
        <f>C40*D40</f>
        <v>84000</v>
      </c>
      <c r="F40" s="20">
        <f>E40*0.002</f>
        <v>168</v>
      </c>
      <c r="G40" s="20">
        <f>E40*0.000068</f>
        <v>5.7119999999999997</v>
      </c>
      <c r="H40" s="20">
        <f>E40*0.00001</f>
        <v>0.84000000000000008</v>
      </c>
      <c r="I40" s="20">
        <f>(F40+G40+H40)*0.07</f>
        <v>12.218640000000001</v>
      </c>
      <c r="J40" s="20">
        <f>E40+F40+I40+G40+H40</f>
        <v>84186.770640000002</v>
      </c>
      <c r="K40" s="32"/>
      <c r="L40" s="12"/>
      <c r="M40" s="12"/>
    </row>
    <row r="41" spans="1:13" ht="12.75">
      <c r="A41" s="56">
        <v>44853</v>
      </c>
      <c r="B41" s="13" t="s">
        <v>3</v>
      </c>
      <c r="C41" s="10">
        <f>C40</f>
        <v>3000</v>
      </c>
      <c r="D41" s="34">
        <v>29.5</v>
      </c>
      <c r="E41" s="11">
        <f>C41*D41</f>
        <v>88500</v>
      </c>
      <c r="F41" s="35">
        <f>E41*0.002</f>
        <v>177</v>
      </c>
      <c r="G41" s="34">
        <f>E41*0.000068</f>
        <v>6.0179999999999998</v>
      </c>
      <c r="H41" s="34">
        <f>E41*0.00001</f>
        <v>0.88500000000000012</v>
      </c>
      <c r="I41" s="34">
        <f>(F41+G41+H41)*0.07</f>
        <v>12.87321</v>
      </c>
      <c r="J41" s="34">
        <f>E41-F41-G41-H41-I41</f>
        <v>88303.223790000004</v>
      </c>
    </row>
    <row r="42" spans="1:13" ht="12.75">
      <c r="A42" s="56">
        <f>DAYS360(A40,A41)</f>
        <v>7</v>
      </c>
      <c r="B42" s="12">
        <f>(D41-D40)/D40</f>
        <v>5.3571428571428568E-2</v>
      </c>
      <c r="C42" s="10"/>
      <c r="D42" s="11"/>
      <c r="E42" s="20">
        <f>E41-E40</f>
        <v>4500</v>
      </c>
      <c r="F42" s="20"/>
      <c r="G42" s="20"/>
      <c r="H42" s="20"/>
      <c r="I42" s="20"/>
      <c r="J42" s="20">
        <f>J41-J40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6E79-DA79-4A53-AABA-69B4F8F4564F}">
  <dimension ref="A1:M6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44459</v>
      </c>
      <c r="B2" s="15" t="s">
        <v>1</v>
      </c>
      <c r="C2" s="16">
        <v>900</v>
      </c>
      <c r="D2" s="17">
        <v>174.5</v>
      </c>
      <c r="E2" s="18">
        <f>C2*D2</f>
        <v>157050</v>
      </c>
      <c r="F2" s="18">
        <f>E2*0.002</f>
        <v>314.10000000000002</v>
      </c>
      <c r="G2" s="18">
        <f>E2*0.00006</f>
        <v>9.423</v>
      </c>
      <c r="H2" s="18">
        <f>E2*0.00001</f>
        <v>1.5705000000000002</v>
      </c>
      <c r="I2" s="18">
        <f>(F2+G2+H2)*0.07</f>
        <v>22.756545000000003</v>
      </c>
      <c r="J2" s="18">
        <f>E2+F2+I2+G2+H2</f>
        <v>157397.85004500003</v>
      </c>
      <c r="K2" s="29"/>
      <c r="L2" s="17"/>
      <c r="M2" s="30"/>
    </row>
    <row r="3" spans="1:13">
      <c r="A3" s="39">
        <v>44616</v>
      </c>
      <c r="B3" s="15" t="s">
        <v>1</v>
      </c>
      <c r="C3" s="16">
        <v>300</v>
      </c>
      <c r="D3" s="17">
        <v>160.5</v>
      </c>
      <c r="E3" s="18">
        <f>C3*D3</f>
        <v>48150</v>
      </c>
      <c r="F3" s="18">
        <f>E3*0.002</f>
        <v>96.3</v>
      </c>
      <c r="G3" s="18">
        <f>E3*0.00006</f>
        <v>2.8890000000000002</v>
      </c>
      <c r="H3" s="18">
        <f>E3*0.00001</f>
        <v>0.48150000000000004</v>
      </c>
      <c r="I3" s="18">
        <f>(F3+G3+H3)*0.07</f>
        <v>6.9769350000000001</v>
      </c>
      <c r="J3" s="18">
        <f>E3+F3+I3+G3+H3</f>
        <v>48256.647435000006</v>
      </c>
    </row>
    <row r="4" spans="1:13">
      <c r="A4" s="70"/>
      <c r="B4" s="7">
        <f>(D3-D2)/D2</f>
        <v>-8.0229226361031525E-2</v>
      </c>
      <c r="C4" s="5">
        <f>SUM(C2:C3)</f>
        <v>1200</v>
      </c>
      <c r="D4" s="71">
        <f>E4/C4</f>
        <v>171</v>
      </c>
      <c r="E4" s="5">
        <f t="shared" ref="E4:J4" si="0">SUM(E2:E3)</f>
        <v>205200</v>
      </c>
      <c r="F4" s="5">
        <f t="shared" si="0"/>
        <v>410.40000000000003</v>
      </c>
      <c r="G4" s="5">
        <f t="shared" si="0"/>
        <v>12.312000000000001</v>
      </c>
      <c r="H4" s="5">
        <f t="shared" si="0"/>
        <v>2.0520000000000005</v>
      </c>
      <c r="I4" s="5">
        <f t="shared" si="0"/>
        <v>29.733480000000004</v>
      </c>
      <c r="J4" s="5">
        <f t="shared" si="0"/>
        <v>205654.49748000002</v>
      </c>
    </row>
    <row r="5" spans="1:13">
      <c r="A5" s="67">
        <v>44616</v>
      </c>
      <c r="B5" s="13" t="s">
        <v>1</v>
      </c>
      <c r="C5" s="10">
        <v>300</v>
      </c>
      <c r="D5" s="11">
        <v>148.5</v>
      </c>
      <c r="E5" s="20">
        <f>C5*D5</f>
        <v>44550</v>
      </c>
      <c r="F5" s="20">
        <f>E5*0.002</f>
        <v>89.100000000000009</v>
      </c>
      <c r="G5" s="20">
        <f>E5*0.00006</f>
        <v>2.673</v>
      </c>
      <c r="H5" s="20">
        <f>E5*0.00001</f>
        <v>0.44550000000000006</v>
      </c>
      <c r="I5" s="20">
        <f>(F5+G5+H5)*0.07</f>
        <v>6.4552950000000013</v>
      </c>
      <c r="J5" s="20">
        <f>E5+F5+I5+G5+H5</f>
        <v>44648.673795000002</v>
      </c>
    </row>
    <row r="6" spans="1:13">
      <c r="B6" s="25">
        <f>(D5-D4)/D4</f>
        <v>-0.13157894736842105</v>
      </c>
      <c r="C6" s="22">
        <f>SUM(C4:C5)</f>
        <v>1500</v>
      </c>
      <c r="D6" s="68">
        <f>E6/C6</f>
        <v>166.5</v>
      </c>
      <c r="E6" s="22">
        <f t="shared" ref="E6:J6" si="1">SUM(E4:E5)</f>
        <v>249750</v>
      </c>
      <c r="F6" s="22">
        <f t="shared" si="1"/>
        <v>499.50000000000006</v>
      </c>
      <c r="G6" s="22">
        <f t="shared" si="1"/>
        <v>14.985000000000001</v>
      </c>
      <c r="H6" s="22">
        <f t="shared" si="1"/>
        <v>2.4975000000000005</v>
      </c>
      <c r="I6" s="22">
        <f t="shared" si="1"/>
        <v>36.188775000000007</v>
      </c>
      <c r="J6" s="22">
        <f t="shared" si="1"/>
        <v>250303.17127500003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workbookViewId="0">
      <selection activeCell="A13" sqref="A13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J13" sqref="J13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31</v>
      </c>
    </row>
    <row r="2" spans="1:13" s="13" customFormat="1">
      <c r="A2" s="39">
        <v>44945</v>
      </c>
      <c r="B2" s="15" t="s">
        <v>1</v>
      </c>
      <c r="C2" s="16">
        <v>3600</v>
      </c>
      <c r="D2" s="17">
        <v>28</v>
      </c>
      <c r="E2" s="18">
        <f>C2*D2</f>
        <v>100800</v>
      </c>
      <c r="F2" s="18">
        <f>E2*0.002</f>
        <v>201.6</v>
      </c>
      <c r="G2" s="18">
        <f>E2*0.00006</f>
        <v>6.048</v>
      </c>
      <c r="H2" s="18">
        <f>E2*0.00001</f>
        <v>1.008</v>
      </c>
      <c r="I2" s="18">
        <f>(F2+G2+H2)*0.07</f>
        <v>14.605920000000001</v>
      </c>
      <c r="J2" s="18">
        <f>E2+F2+I2+G2+H2</f>
        <v>101023.26192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29.5</v>
      </c>
      <c r="E3" s="11">
        <f>C3*D3</f>
        <v>106200</v>
      </c>
      <c r="F3" s="35">
        <f>E3*0.002</f>
        <v>212.4</v>
      </c>
      <c r="G3" s="34">
        <f>E3*0.000068</f>
        <v>7.2215999999999996</v>
      </c>
      <c r="H3" s="34">
        <f>E3*0.00001</f>
        <v>1.0620000000000001</v>
      </c>
      <c r="I3" s="34">
        <f>(F3+G3+H3)*0.07</f>
        <v>15.447852000000003</v>
      </c>
      <c r="J3" s="34">
        <f>E3-F3-G3-H3-I3</f>
        <v>105963.868548</v>
      </c>
    </row>
    <row r="4" spans="1:13" s="1" customFormat="1">
      <c r="A4" s="56" t="s">
        <v>4</v>
      </c>
      <c r="B4" s="12">
        <f>(D3-D2)/D2</f>
        <v>5.3571428571428568E-2</v>
      </c>
      <c r="C4" s="10"/>
      <c r="D4" s="11"/>
      <c r="E4" s="20">
        <f>E3-E2</f>
        <v>5400</v>
      </c>
      <c r="F4" s="20"/>
      <c r="G4" s="20"/>
      <c r="H4" s="20"/>
      <c r="I4" s="20"/>
      <c r="J4" s="20">
        <f>J3-J2</f>
        <v>4940.6066279999941</v>
      </c>
    </row>
    <row r="5" spans="1:13" s="1" customFormat="1" ht="12">
      <c r="A5" s="50"/>
      <c r="C5" s="2"/>
      <c r="D5" s="47"/>
      <c r="J5" s="53">
        <f>J1+J4</f>
        <v>4940.6066279999941</v>
      </c>
    </row>
    <row r="6" spans="1:13" s="13" customFormat="1">
      <c r="A6" s="39">
        <f>A2</f>
        <v>44945</v>
      </c>
      <c r="B6" s="15" t="s">
        <v>1</v>
      </c>
      <c r="C6" s="16">
        <v>3600</v>
      </c>
      <c r="D6" s="17">
        <f>D2</f>
        <v>28</v>
      </c>
      <c r="E6" s="18">
        <f>C6*D6</f>
        <v>100800</v>
      </c>
      <c r="F6" s="18">
        <f>E6*0.002</f>
        <v>201.6</v>
      </c>
      <c r="G6" s="18">
        <f>E6*0.00006</f>
        <v>6.048</v>
      </c>
      <c r="H6" s="18">
        <f>E6*0.00001</f>
        <v>1.008</v>
      </c>
      <c r="I6" s="18">
        <f>(F6+G6+H6)*0.07</f>
        <v>14.605920000000001</v>
      </c>
      <c r="J6" s="18">
        <f>E6+F6+I6+G6+H6</f>
        <v>101023.26192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1200</v>
      </c>
      <c r="D7" s="46">
        <v>27</v>
      </c>
      <c r="E7" s="20">
        <f>C7*D7</f>
        <v>32400</v>
      </c>
      <c r="F7" s="20">
        <f>E7*0.002</f>
        <v>64.8</v>
      </c>
      <c r="G7" s="20">
        <f>E7*0.00006</f>
        <v>1.944</v>
      </c>
      <c r="H7" s="20">
        <f>E7*0.00001</f>
        <v>0.32400000000000001</v>
      </c>
      <c r="I7" s="20">
        <f>(F7+G7+H7)*0.07</f>
        <v>4.6947600000000005</v>
      </c>
      <c r="J7" s="20">
        <f>E7+F7+I7+G7+H7</f>
        <v>32471.762759999998</v>
      </c>
    </row>
    <row r="8" spans="1:13" s="1" customFormat="1" ht="14.25">
      <c r="A8" s="56"/>
      <c r="B8" s="12">
        <f>(D7-D6)/D6</f>
        <v>-3.5714285714285712E-2</v>
      </c>
      <c r="C8" s="10">
        <f>SUM(C6:C7)</f>
        <v>4800</v>
      </c>
      <c r="D8" s="11">
        <f>E8/C8</f>
        <v>27.75</v>
      </c>
      <c r="E8" s="10">
        <f t="shared" ref="E8:J8" si="0">SUM(E6:E7)</f>
        <v>133200</v>
      </c>
      <c r="F8" s="10">
        <f t="shared" si="0"/>
        <v>266.39999999999998</v>
      </c>
      <c r="G8" s="10">
        <f t="shared" si="0"/>
        <v>7.992</v>
      </c>
      <c r="H8" s="10">
        <f t="shared" si="0"/>
        <v>1.3320000000000001</v>
      </c>
      <c r="I8" s="10">
        <f t="shared" si="0"/>
        <v>19.30068</v>
      </c>
      <c r="J8" s="10">
        <f t="shared" si="0"/>
        <v>133495.02468</v>
      </c>
    </row>
    <row r="9" spans="1:13" s="1" customFormat="1" ht="14.25">
      <c r="A9" s="56">
        <v>44676</v>
      </c>
      <c r="B9" s="13" t="s">
        <v>1</v>
      </c>
      <c r="C9" s="10">
        <v>1200</v>
      </c>
      <c r="D9" s="46">
        <v>26.5</v>
      </c>
      <c r="E9" s="20">
        <f>C9*D9</f>
        <v>31800</v>
      </c>
      <c r="F9" s="20">
        <f>E9*0.002</f>
        <v>63.6</v>
      </c>
      <c r="G9" s="20">
        <f>E9*0.00006</f>
        <v>1.9080000000000001</v>
      </c>
      <c r="H9" s="20">
        <f>E9*0.00001</f>
        <v>0.318</v>
      </c>
      <c r="I9" s="20">
        <f>(F9+G9+H9)*0.07</f>
        <v>4.6078200000000002</v>
      </c>
      <c r="J9" s="20">
        <f>E9+F9+I9+G9+H9</f>
        <v>31870.433819999998</v>
      </c>
    </row>
    <row r="10" spans="1:13" s="1" customFormat="1" ht="14.25">
      <c r="A10" s="56"/>
      <c r="B10" s="12">
        <f>(D9-D8)/D8</f>
        <v>-4.5045045045045043E-2</v>
      </c>
      <c r="C10" s="10">
        <f>SUM(C8:C9)</f>
        <v>6000</v>
      </c>
      <c r="D10" s="11">
        <f>E10/C10</f>
        <v>27.5</v>
      </c>
      <c r="E10" s="10">
        <f t="shared" ref="E10:J10" si="1">SUM(E8:E9)</f>
        <v>165000</v>
      </c>
      <c r="F10" s="10">
        <f t="shared" si="1"/>
        <v>330</v>
      </c>
      <c r="G10" s="10">
        <f t="shared" si="1"/>
        <v>9.9</v>
      </c>
      <c r="H10" s="10">
        <f t="shared" si="1"/>
        <v>1.6500000000000001</v>
      </c>
      <c r="I10" s="10">
        <f t="shared" si="1"/>
        <v>23.9085</v>
      </c>
      <c r="J10" s="10">
        <f t="shared" si="1"/>
        <v>165365.45850000001</v>
      </c>
    </row>
    <row r="11" spans="1:13" s="1" customFormat="1" ht="14.25">
      <c r="A11" s="56">
        <v>44676</v>
      </c>
      <c r="B11" s="13" t="s">
        <v>1</v>
      </c>
      <c r="C11" s="10">
        <v>1200</v>
      </c>
      <c r="D11" s="46">
        <v>26</v>
      </c>
      <c r="E11" s="20">
        <f>C11*D11</f>
        <v>31200</v>
      </c>
      <c r="F11" s="20">
        <f>E11*0.002</f>
        <v>62.4</v>
      </c>
      <c r="G11" s="20">
        <f>E11*0.00006</f>
        <v>1.8720000000000001</v>
      </c>
      <c r="H11" s="20">
        <f>E11*0.00001</f>
        <v>0.312</v>
      </c>
      <c r="I11" s="20">
        <f>(F11+G11+H11)*0.07</f>
        <v>4.5208800000000009</v>
      </c>
      <c r="J11" s="20">
        <f>E11+F11+I11+G11+H11</f>
        <v>31269.104880000003</v>
      </c>
    </row>
    <row r="12" spans="1:13" s="1" customFormat="1" ht="14.25">
      <c r="A12" s="56"/>
      <c r="B12" s="12">
        <f>(D11-D10)/D10</f>
        <v>-5.4545454545454543E-2</v>
      </c>
      <c r="C12" s="10">
        <f>SUM(C10:C11)</f>
        <v>7200</v>
      </c>
      <c r="D12" s="11">
        <f>E12/C12</f>
        <v>27.25</v>
      </c>
      <c r="E12" s="10">
        <f t="shared" ref="E12:J12" si="2">SUM(E10:E11)</f>
        <v>196200</v>
      </c>
      <c r="F12" s="10">
        <f t="shared" si="2"/>
        <v>392.4</v>
      </c>
      <c r="G12" s="10">
        <f t="shared" si="2"/>
        <v>11.772</v>
      </c>
      <c r="H12" s="10">
        <f t="shared" si="2"/>
        <v>1.9620000000000002</v>
      </c>
      <c r="I12" s="10">
        <f t="shared" si="2"/>
        <v>28.429380000000002</v>
      </c>
      <c r="J12" s="10">
        <f t="shared" si="2"/>
        <v>196634.56338000001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32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33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N20"/>
  <sheetViews>
    <sheetView topLeftCell="A8" workbookViewId="0">
      <selection activeCell="D13" sqref="D13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7.875" style="1" customWidth="1"/>
    <col min="10" max="10" width="11.25" style="1" customWidth="1"/>
    <col min="11" max="16384" width="8.875" style="1"/>
  </cols>
  <sheetData>
    <row r="1" spans="1:14">
      <c r="B1" s="50" t="s">
        <v>35</v>
      </c>
    </row>
    <row r="2" spans="1:14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4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4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4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4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4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4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4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4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4" s="21" customFormat="1" ht="12.75">
      <c r="A11" s="14">
        <v>44956</v>
      </c>
      <c r="B11" s="15" t="s">
        <v>1</v>
      </c>
      <c r="C11" s="16">
        <v>10000</v>
      </c>
      <c r="D11" s="41">
        <v>7.7</v>
      </c>
      <c r="E11" s="18">
        <f>C11*D11</f>
        <v>77000</v>
      </c>
      <c r="F11" s="18">
        <f>E11*0.002</f>
        <v>154</v>
      </c>
      <c r="G11" s="18">
        <f>E11*0.000068</f>
        <v>5.2359999999999998</v>
      </c>
      <c r="H11" s="18">
        <f>E11*0.00001</f>
        <v>0.77</v>
      </c>
      <c r="I11" s="18">
        <f>(F11+G11+H11)*0.07</f>
        <v>11.200420000000001</v>
      </c>
      <c r="J11" s="18">
        <f>E11+F11+I11+G11+H11</f>
        <v>77171.206420000002</v>
      </c>
    </row>
    <row r="12" spans="1:14" s="21" customFormat="1">
      <c r="A12" s="42"/>
      <c r="B12" s="74">
        <f>(D11-D10)/D10</f>
        <v>-0.13966480446927365</v>
      </c>
      <c r="C12" s="5">
        <f>C10+C11</f>
        <v>50000</v>
      </c>
      <c r="D12" s="36">
        <f>E12/C12</f>
        <v>8.6999999999999993</v>
      </c>
      <c r="E12" s="5">
        <f>E10+E11</f>
        <v>435000</v>
      </c>
      <c r="F12" s="5">
        <f>F10+F11</f>
        <v>870</v>
      </c>
      <c r="G12" s="5">
        <f>G10+G11</f>
        <v>28.852</v>
      </c>
      <c r="H12" s="5">
        <f>H10+H11</f>
        <v>4.3500000000000005</v>
      </c>
      <c r="I12" s="5">
        <f>I10+I11</f>
        <v>63.224140000000006</v>
      </c>
      <c r="J12" s="5">
        <f>J10+J11</f>
        <v>435966.42614</v>
      </c>
      <c r="K12" s="25"/>
    </row>
    <row r="13" spans="1:14" s="21" customFormat="1" ht="12.75">
      <c r="A13" s="8">
        <v>44956</v>
      </c>
      <c r="B13" s="13" t="s">
        <v>1</v>
      </c>
      <c r="C13" s="10">
        <v>10000</v>
      </c>
      <c r="D13" s="46">
        <v>7.5</v>
      </c>
      <c r="E13" s="20">
        <f>C13*D13</f>
        <v>75000</v>
      </c>
      <c r="F13" s="20">
        <f>E13*0.002</f>
        <v>150</v>
      </c>
      <c r="G13" s="20">
        <f>E13*0.000068</f>
        <v>5.0999999999999996</v>
      </c>
      <c r="H13" s="20">
        <f>E13*0.00001</f>
        <v>0.75000000000000011</v>
      </c>
      <c r="I13" s="20">
        <f>(F13+G13+H13)*0.07</f>
        <v>10.909500000000001</v>
      </c>
      <c r="J13" s="20">
        <f>E13+F13+I13+G13+H13</f>
        <v>75166.7595</v>
      </c>
    </row>
    <row r="14" spans="1:14" s="21" customFormat="1" ht="12.75">
      <c r="A14" s="44"/>
      <c r="B14" s="3">
        <f>(D13-D12)/D12</f>
        <v>-0.13793103448275856</v>
      </c>
      <c r="C14" s="22">
        <f>C12+C13</f>
        <v>60000</v>
      </c>
      <c r="D14" s="33">
        <f>E14/C14</f>
        <v>8.5</v>
      </c>
      <c r="E14" s="22">
        <f>E12+E13</f>
        <v>510000</v>
      </c>
      <c r="F14" s="22">
        <f>F12+F13</f>
        <v>1020</v>
      </c>
      <c r="G14" s="22">
        <f>G12+G13</f>
        <v>33.951999999999998</v>
      </c>
      <c r="H14" s="22">
        <f>H12+H13</f>
        <v>5.1000000000000005</v>
      </c>
      <c r="I14" s="22">
        <f>I12+I13</f>
        <v>74.133640000000014</v>
      </c>
      <c r="J14" s="22">
        <f>J12+J13</f>
        <v>511133.18563999998</v>
      </c>
      <c r="K14" s="25"/>
    </row>
    <row r="15" spans="1:14" ht="12"/>
    <row r="16" spans="1:14" s="63" customFormat="1" ht="21.75">
      <c r="A16" s="56">
        <v>44629</v>
      </c>
      <c r="C16" s="10">
        <f>C13</f>
        <v>10000</v>
      </c>
      <c r="D16" s="64">
        <v>0.17380000000000001</v>
      </c>
      <c r="E16" s="60"/>
      <c r="F16" s="32"/>
      <c r="G16" s="60"/>
      <c r="H16" s="11"/>
      <c r="I16" s="61">
        <f>C16*D16</f>
        <v>1738</v>
      </c>
      <c r="J16" s="61">
        <f>I16*0.9</f>
        <v>1564.2</v>
      </c>
      <c r="K16" s="11"/>
      <c r="L16" s="13"/>
      <c r="M16" s="62"/>
      <c r="N16" s="62"/>
    </row>
    <row r="17" spans="1:10">
      <c r="A17" s="56">
        <v>44242</v>
      </c>
      <c r="B17" s="13" t="s">
        <v>1</v>
      </c>
      <c r="C17" s="10">
        <f>C13</f>
        <v>10000</v>
      </c>
      <c r="D17" s="46">
        <f>D12</f>
        <v>8.6999999999999993</v>
      </c>
      <c r="E17" s="20">
        <f>C17*D17</f>
        <v>87000</v>
      </c>
      <c r="F17" s="20">
        <f>E17*0.002</f>
        <v>174</v>
      </c>
      <c r="G17" s="20">
        <f>E17*0.00006</f>
        <v>5.22</v>
      </c>
      <c r="H17" s="20">
        <f>E17*0.00001</f>
        <v>0.87000000000000011</v>
      </c>
      <c r="I17" s="20">
        <f>(F17+G17+H17)*0.07</f>
        <v>12.606300000000001</v>
      </c>
      <c r="J17" s="20">
        <f>E17+F17+I17+G17+H17</f>
        <v>87192.696299999996</v>
      </c>
    </row>
    <row r="18" spans="1:10">
      <c r="A18" s="56">
        <v>44277</v>
      </c>
      <c r="B18" s="13" t="s">
        <v>3</v>
      </c>
      <c r="C18" s="10">
        <f>C17</f>
        <v>10000</v>
      </c>
      <c r="D18" s="34">
        <v>8.9</v>
      </c>
      <c r="E18" s="11">
        <f>C18*D18</f>
        <v>89000</v>
      </c>
      <c r="F18" s="35">
        <f>E18*0.002</f>
        <v>178</v>
      </c>
      <c r="G18" s="34">
        <f>E18*0.000068</f>
        <v>6.0519999999999996</v>
      </c>
      <c r="H18" s="34">
        <f>E18*0.00001</f>
        <v>0.89000000000000012</v>
      </c>
      <c r="I18" s="34">
        <f>(F18+G18+H18)*0.07</f>
        <v>12.94594</v>
      </c>
      <c r="J18" s="34">
        <f>E18-F18-G18-H18-I18</f>
        <v>88802.112059999999</v>
      </c>
    </row>
    <row r="19" spans="1:10">
      <c r="A19" s="56" t="s">
        <v>4</v>
      </c>
      <c r="B19" s="13"/>
      <c r="C19" s="10"/>
      <c r="D19" s="11"/>
      <c r="E19" s="20">
        <f>E18-E17</f>
        <v>2000</v>
      </c>
      <c r="F19" s="20"/>
      <c r="G19" s="20"/>
      <c r="H19" s="20"/>
      <c r="I19" s="20"/>
      <c r="J19" s="20">
        <f>J18-J17</f>
        <v>1609.4157600000035</v>
      </c>
    </row>
    <row r="20" spans="1:10">
      <c r="C20" s="2"/>
      <c r="J20" s="53">
        <f>J16+J19</f>
        <v>3173.6157600000033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A12" sqref="A12:XFD1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36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2023-02-07T08:35:06Z</dcterms:modified>
  <cp:category/>
  <cp:contentStatus/>
</cp:coreProperties>
</file>