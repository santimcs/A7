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1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696" documentId="8_{9A02EB98-7EB2-4F6F-BBDA-0A28C0527E53}" xr6:coauthVersionLast="47" xr6:coauthVersionMax="47" xr10:uidLastSave="{8684372E-1440-4C73-B765-1BA902CA3A18}"/>
  <bookViews>
    <workbookView xWindow="-120" yWindow="-120" windowWidth="15600" windowHeight="11760" tabRatio="461" firstSheet="14" activeTab="13" xr2:uid="{00000000-000D-0000-FFFF-FFFF00000000}"/>
  </bookViews>
  <sheets>
    <sheet name="KCE" sheetId="206" r:id="rId1"/>
    <sheet name="PTTGC" sheetId="42" r:id="rId2"/>
    <sheet name="STA" sheetId="197" r:id="rId3"/>
    <sheet name="ASK" sheetId="207" r:id="rId4"/>
    <sheet name="ASP" sheetId="181" r:id="rId5"/>
    <sheet name="BANPU" sheetId="202" r:id="rId6"/>
    <sheet name="BCH" sheetId="150" r:id="rId7"/>
    <sheet name="CPNREIT" sheetId="194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ENA" sheetId="183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07" l="1"/>
  <c r="H6" i="207"/>
  <c r="C6" i="207"/>
  <c r="C4" i="207"/>
  <c r="B4" i="207"/>
  <c r="E3" i="207"/>
  <c r="E2" i="207"/>
  <c r="C8" i="203"/>
  <c r="E7" i="203"/>
  <c r="E5" i="203"/>
  <c r="E6" i="203"/>
  <c r="D6" i="203"/>
  <c r="B8" i="203" s="1"/>
  <c r="C6" i="204"/>
  <c r="B6" i="204"/>
  <c r="E5" i="204"/>
  <c r="C8" i="205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C6" i="202"/>
  <c r="B6" i="202"/>
  <c r="E5" i="202"/>
  <c r="E10" i="150"/>
  <c r="B12" i="150"/>
  <c r="A12" i="150"/>
  <c r="C11" i="150"/>
  <c r="E11" i="150"/>
  <c r="B27" i="206"/>
  <c r="C26" i="206"/>
  <c r="E25" i="206"/>
  <c r="E23" i="206"/>
  <c r="E21" i="206"/>
  <c r="E19" i="206"/>
  <c r="E17" i="206"/>
  <c r="E15" i="206"/>
  <c r="C14" i="206"/>
  <c r="C16" i="206"/>
  <c r="C18" i="206"/>
  <c r="C20" i="206"/>
  <c r="C22" i="206"/>
  <c r="C24" i="206"/>
  <c r="B14" i="206"/>
  <c r="E13" i="206"/>
  <c r="E12" i="206"/>
  <c r="E10" i="206"/>
  <c r="C9" i="206"/>
  <c r="C11" i="206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/>
  <c r="C10" i="194"/>
  <c r="B10" i="194"/>
  <c r="E9" i="194"/>
  <c r="C4" i="203"/>
  <c r="C6" i="203"/>
  <c r="B4" i="203"/>
  <c r="E3" i="203"/>
  <c r="E2" i="203"/>
  <c r="E2" i="204"/>
  <c r="E3" i="204"/>
  <c r="E4" i="204"/>
  <c r="C12" i="197"/>
  <c r="E12" i="197"/>
  <c r="E9" i="195"/>
  <c r="C28" i="42"/>
  <c r="B28" i="42"/>
  <c r="E27" i="42"/>
  <c r="E7" i="195"/>
  <c r="B25" i="42"/>
  <c r="C24" i="42"/>
  <c r="E24" i="42"/>
  <c r="C4" i="196"/>
  <c r="B4" i="196"/>
  <c r="E3" i="196"/>
  <c r="C15" i="202"/>
  <c r="E15" i="202"/>
  <c r="E14" i="202"/>
  <c r="D9" i="202"/>
  <c r="B11" i="202"/>
  <c r="H8" i="202"/>
  <c r="C8" i="202"/>
  <c r="C4" i="202"/>
  <c r="B4" i="202"/>
  <c r="E3" i="202"/>
  <c r="E2" i="202"/>
  <c r="B21" i="199"/>
  <c r="C21" i="199"/>
  <c r="B18" i="199"/>
  <c r="C17" i="199"/>
  <c r="E17" i="199"/>
  <c r="C8" i="145"/>
  <c r="B8" i="145"/>
  <c r="E7" i="145"/>
  <c r="C11" i="145"/>
  <c r="E11" i="145"/>
  <c r="C32" i="197"/>
  <c r="E32" i="197"/>
  <c r="E20" i="199"/>
  <c r="E21" i="199"/>
  <c r="E6" i="110"/>
  <c r="C5" i="110"/>
  <c r="B42" i="161"/>
  <c r="A42" i="161"/>
  <c r="C41" i="161"/>
  <c r="E41" i="161"/>
  <c r="E40" i="161"/>
  <c r="B15" i="170"/>
  <c r="A15" i="170"/>
  <c r="C14" i="170"/>
  <c r="E14" i="170"/>
  <c r="E13" i="170"/>
  <c r="E10" i="170"/>
  <c r="E31" i="161"/>
  <c r="B19" i="170"/>
  <c r="A19" i="170"/>
  <c r="C18" i="170"/>
  <c r="E18" i="170"/>
  <c r="E17" i="170"/>
  <c r="C8" i="194"/>
  <c r="B8" i="194"/>
  <c r="E7" i="194"/>
  <c r="E29" i="161"/>
  <c r="E23" i="199"/>
  <c r="B35" i="199"/>
  <c r="C34" i="199"/>
  <c r="E34" i="199"/>
  <c r="E33" i="199"/>
  <c r="B32" i="199"/>
  <c r="C31" i="199"/>
  <c r="E31" i="199"/>
  <c r="E30" i="199"/>
  <c r="B29" i="199"/>
  <c r="C28" i="199"/>
  <c r="E28" i="199"/>
  <c r="E27" i="199"/>
  <c r="B25" i="199"/>
  <c r="C24" i="199"/>
  <c r="E24" i="199"/>
  <c r="E16" i="199"/>
  <c r="E14" i="199"/>
  <c r="E12" i="199"/>
  <c r="C11" i="199"/>
  <c r="C13" i="199"/>
  <c r="C15" i="199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/>
  <c r="E49" i="197"/>
  <c r="B48" i="197"/>
  <c r="C47" i="197"/>
  <c r="A47" i="197"/>
  <c r="A50" i="197"/>
  <c r="A53" i="197"/>
  <c r="A56" i="197"/>
  <c r="A59" i="197"/>
  <c r="A62" i="197"/>
  <c r="A65" i="197"/>
  <c r="A68" i="197"/>
  <c r="A71" i="197"/>
  <c r="E46" i="197"/>
  <c r="B44" i="197"/>
  <c r="C43" i="197"/>
  <c r="E43" i="197"/>
  <c r="E42" i="197"/>
  <c r="C40" i="197"/>
  <c r="E40" i="197"/>
  <c r="E39" i="197"/>
  <c r="E31" i="197"/>
  <c r="E11" i="197"/>
  <c r="E9" i="197"/>
  <c r="E7" i="197"/>
  <c r="E5" i="197"/>
  <c r="C4" i="197"/>
  <c r="C6" i="197"/>
  <c r="C8" i="197"/>
  <c r="C10" i="197"/>
  <c r="B4" i="197"/>
  <c r="E3" i="197"/>
  <c r="E2" i="197"/>
  <c r="E31" i="42"/>
  <c r="B33" i="42"/>
  <c r="C32" i="42"/>
  <c r="E32" i="42"/>
  <c r="E9" i="170"/>
  <c r="E5" i="195"/>
  <c r="E16" i="150"/>
  <c r="B18" i="150"/>
  <c r="A18" i="150"/>
  <c r="C17" i="150"/>
  <c r="E17" i="150"/>
  <c r="B16" i="184"/>
  <c r="A16" i="184"/>
  <c r="C15" i="184"/>
  <c r="E15" i="184"/>
  <c r="E14" i="184"/>
  <c r="E10" i="184"/>
  <c r="B12" i="184"/>
  <c r="A12" i="184"/>
  <c r="C11" i="184"/>
  <c r="E11" i="184"/>
  <c r="E27" i="161"/>
  <c r="C4" i="195"/>
  <c r="C12" i="195"/>
  <c r="B4" i="195"/>
  <c r="E3" i="195"/>
  <c r="B38" i="161"/>
  <c r="E36" i="161"/>
  <c r="A38" i="161"/>
  <c r="C37" i="161"/>
  <c r="E37" i="161"/>
  <c r="E5" i="194"/>
  <c r="E25" i="46"/>
  <c r="I12" i="171"/>
  <c r="J12" i="171"/>
  <c r="D13" i="171"/>
  <c r="C12" i="171"/>
  <c r="E13" i="150"/>
  <c r="H9" i="196"/>
  <c r="C9" i="196"/>
  <c r="E2" i="196"/>
  <c r="E4" i="196"/>
  <c r="D4" i="196"/>
  <c r="H12" i="195"/>
  <c r="J12" i="195"/>
  <c r="E2" i="195"/>
  <c r="E56" i="20"/>
  <c r="F56" i="20"/>
  <c r="G56" i="20"/>
  <c r="H56" i="20"/>
  <c r="I56" i="20"/>
  <c r="J56" i="20"/>
  <c r="C4" i="194"/>
  <c r="C6" i="194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/>
  <c r="C8" i="150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/>
  <c r="D4" i="150"/>
  <c r="B6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/>
  <c r="D57" i="20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/>
  <c r="G39" i="57"/>
  <c r="G40" i="57"/>
  <c r="F39" i="57"/>
  <c r="F40" i="57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/>
  <c r="D12" i="157"/>
  <c r="B14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/>
  <c r="H55" i="20"/>
  <c r="H57" i="20"/>
  <c r="D55" i="20"/>
  <c r="B57" i="20"/>
  <c r="C12" i="161"/>
  <c r="C14" i="16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/>
  <c r="J39" i="57"/>
  <c r="J40" i="57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/>
  <c r="I55" i="20"/>
  <c r="I57" i="20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4"/>
  <c r="D6" i="204"/>
  <c r="H5" i="204"/>
  <c r="H6" i="204"/>
  <c r="G5" i="204"/>
  <c r="G6" i="204"/>
  <c r="F5" i="204"/>
  <c r="E8" i="205"/>
  <c r="D8" i="205"/>
  <c r="H7" i="205"/>
  <c r="H8" i="205"/>
  <c r="G7" i="205"/>
  <c r="G8" i="205"/>
  <c r="F7" i="205"/>
  <c r="E28" i="197"/>
  <c r="D28" i="197"/>
  <c r="H27" i="197"/>
  <c r="H28" i="197"/>
  <c r="G27" i="197"/>
  <c r="G28" i="197"/>
  <c r="F27" i="197"/>
  <c r="E25" i="197"/>
  <c r="H24" i="197"/>
  <c r="G24" i="197"/>
  <c r="F24" i="197"/>
  <c r="H23" i="197"/>
  <c r="G23" i="197"/>
  <c r="F23" i="197"/>
  <c r="E42" i="206"/>
  <c r="D42" i="206"/>
  <c r="H41" i="206"/>
  <c r="H42" i="206"/>
  <c r="G41" i="206"/>
  <c r="G42" i="206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/>
  <c r="H11" i="194"/>
  <c r="H12" i="194"/>
  <c r="G11" i="194"/>
  <c r="G12" i="194"/>
  <c r="F11" i="194"/>
  <c r="E34" i="161"/>
  <c r="D34" i="161"/>
  <c r="H33" i="161"/>
  <c r="H34" i="161"/>
  <c r="G33" i="161"/>
  <c r="G34" i="161"/>
  <c r="F33" i="161"/>
  <c r="K30" i="206"/>
  <c r="E30" i="206"/>
  <c r="H29" i="206"/>
  <c r="G29" i="206"/>
  <c r="F29" i="206"/>
  <c r="E6" i="202"/>
  <c r="D6" i="202"/>
  <c r="H5" i="202"/>
  <c r="H6" i="202"/>
  <c r="G5" i="202"/>
  <c r="G6" i="202"/>
  <c r="F5" i="202"/>
  <c r="H10" i="150"/>
  <c r="G10" i="150"/>
  <c r="F10" i="150"/>
  <c r="E12" i="150"/>
  <c r="H11" i="150"/>
  <c r="G11" i="150"/>
  <c r="F11" i="150"/>
  <c r="E8" i="150"/>
  <c r="D8" i="150"/>
  <c r="K26" i="206"/>
  <c r="E26" i="206"/>
  <c r="E4" i="206"/>
  <c r="D4" i="206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/>
  <c r="H13" i="157"/>
  <c r="H14" i="157"/>
  <c r="G13" i="157"/>
  <c r="G14" i="157"/>
  <c r="F13" i="157"/>
  <c r="I16" i="157"/>
  <c r="J16" i="157"/>
  <c r="E6" i="205"/>
  <c r="D6" i="205"/>
  <c r="H5" i="205"/>
  <c r="H6" i="205"/>
  <c r="G5" i="205"/>
  <c r="G6" i="205"/>
  <c r="F5" i="205"/>
  <c r="E6" i="196"/>
  <c r="D6" i="196"/>
  <c r="H5" i="196"/>
  <c r="H6" i="196"/>
  <c r="G5" i="196"/>
  <c r="G6" i="196"/>
  <c r="F5" i="196"/>
  <c r="E4" i="205"/>
  <c r="D4" i="205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/>
  <c r="H9" i="194"/>
  <c r="H10" i="194"/>
  <c r="G9" i="194"/>
  <c r="G10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B4" i="204"/>
  <c r="D4" i="204"/>
  <c r="H3" i="204"/>
  <c r="H4" i="204"/>
  <c r="G3" i="204"/>
  <c r="G4" i="204"/>
  <c r="F3" i="204"/>
  <c r="E13" i="197"/>
  <c r="H12" i="197"/>
  <c r="G12" i="197"/>
  <c r="F12" i="197"/>
  <c r="H9" i="195"/>
  <c r="G9" i="195"/>
  <c r="F9" i="195"/>
  <c r="E28" i="42"/>
  <c r="D28" i="42"/>
  <c r="H27" i="42"/>
  <c r="H28" i="42"/>
  <c r="G27" i="42"/>
  <c r="G28" i="42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/>
  <c r="H7" i="145"/>
  <c r="H8" i="145"/>
  <c r="G7" i="145"/>
  <c r="G8" i="145"/>
  <c r="F7" i="145"/>
  <c r="E12" i="145"/>
  <c r="H11" i="145"/>
  <c r="G11" i="145"/>
  <c r="F11" i="145"/>
  <c r="E33" i="197"/>
  <c r="H32" i="197"/>
  <c r="G32" i="197"/>
  <c r="F32" i="197"/>
  <c r="H20" i="199"/>
  <c r="H21" i="199"/>
  <c r="G20" i="199"/>
  <c r="G21" i="199"/>
  <c r="F20" i="199"/>
  <c r="F21" i="199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/>
  <c r="H7" i="194"/>
  <c r="H8" i="194"/>
  <c r="G7" i="194"/>
  <c r="G8" i="194"/>
  <c r="F7" i="194"/>
  <c r="H29" i="161"/>
  <c r="G29" i="161"/>
  <c r="F29" i="161"/>
  <c r="H23" i="199"/>
  <c r="G23" i="199"/>
  <c r="F23" i="199"/>
  <c r="E4" i="199"/>
  <c r="D4" i="199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/>
  <c r="K53" i="197"/>
  <c r="K56" i="197"/>
  <c r="K59" i="197"/>
  <c r="K62" i="197"/>
  <c r="K65" i="197"/>
  <c r="K68" i="197"/>
  <c r="K71" i="197"/>
  <c r="E47" i="197"/>
  <c r="H49" i="197"/>
  <c r="G49" i="197"/>
  <c r="F49" i="197"/>
  <c r="E51" i="197"/>
  <c r="H50" i="197"/>
  <c r="G50" i="197"/>
  <c r="F50" i="197"/>
  <c r="D65" i="197"/>
  <c r="B66" i="197"/>
  <c r="D62" i="197"/>
  <c r="B63" i="197"/>
  <c r="D59" i="197"/>
  <c r="B60" i="197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/>
  <c r="C10" i="195"/>
  <c r="H5" i="195"/>
  <c r="G5" i="195"/>
  <c r="F5" i="195"/>
  <c r="J6" i="150"/>
  <c r="J8" i="150"/>
  <c r="I6" i="150"/>
  <c r="I8" i="150"/>
  <c r="F6" i="150"/>
  <c r="F8" i="150"/>
  <c r="G6" i="150"/>
  <c r="G8" i="150"/>
  <c r="H6" i="150"/>
  <c r="H8" i="150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/>
  <c r="C20" i="161"/>
  <c r="C22" i="161"/>
  <c r="C24" i="161"/>
  <c r="C26" i="161"/>
  <c r="C28" i="161"/>
  <c r="C30" i="161"/>
  <c r="C32" i="16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/>
  <c r="G2" i="196"/>
  <c r="G4" i="196"/>
  <c r="F2" i="196"/>
  <c r="F4" i="196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/>
  <c r="C24" i="46"/>
  <c r="C26" i="46"/>
  <c r="H18" i="46"/>
  <c r="G18" i="46"/>
  <c r="F18" i="46"/>
  <c r="E20" i="46"/>
  <c r="H19" i="46"/>
  <c r="H20" i="46"/>
  <c r="G19" i="46"/>
  <c r="G20" i="46"/>
  <c r="F19" i="46"/>
  <c r="F6" i="204"/>
  <c r="I5" i="204"/>
  <c r="I6" i="204"/>
  <c r="J5" i="204"/>
  <c r="J6" i="204"/>
  <c r="D4" i="203"/>
  <c r="B6" i="203"/>
  <c r="F8" i="205"/>
  <c r="I7" i="205"/>
  <c r="I8" i="205"/>
  <c r="J7" i="205"/>
  <c r="J8" i="205"/>
  <c r="F28" i="197"/>
  <c r="I27" i="197"/>
  <c r="I28" i="197"/>
  <c r="J27" i="197"/>
  <c r="J28" i="197"/>
  <c r="I24" i="197"/>
  <c r="J24" i="197"/>
  <c r="I23" i="197"/>
  <c r="J23" i="197"/>
  <c r="F42" i="206"/>
  <c r="I41" i="206"/>
  <c r="I42" i="206"/>
  <c r="J41" i="206"/>
  <c r="J42" i="206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/>
  <c r="J11" i="194"/>
  <c r="J12" i="194"/>
  <c r="F34" i="161"/>
  <c r="I33" i="161"/>
  <c r="I34" i="161"/>
  <c r="J33" i="161"/>
  <c r="J34" i="161"/>
  <c r="E31" i="206"/>
  <c r="H30" i="206"/>
  <c r="G30" i="206"/>
  <c r="F30" i="206"/>
  <c r="I29" i="206"/>
  <c r="J29" i="206"/>
  <c r="F6" i="202"/>
  <c r="I5" i="202"/>
  <c r="I6" i="202"/>
  <c r="J5" i="202"/>
  <c r="J6" i="202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/>
  <c r="F18" i="206"/>
  <c r="F20" i="206"/>
  <c r="F22" i="206"/>
  <c r="F24" i="206"/>
  <c r="I12" i="206"/>
  <c r="I14" i="206"/>
  <c r="I16" i="206"/>
  <c r="I18" i="206"/>
  <c r="I20" i="206"/>
  <c r="I22" i="206"/>
  <c r="I24" i="206"/>
  <c r="J12" i="206"/>
  <c r="J14" i="206"/>
  <c r="J16" i="206"/>
  <c r="J18" i="206"/>
  <c r="J20" i="206"/>
  <c r="J22" i="206"/>
  <c r="J24" i="206"/>
  <c r="G14" i="206"/>
  <c r="G16" i="206"/>
  <c r="G18" i="206"/>
  <c r="G20" i="206"/>
  <c r="G22" i="206"/>
  <c r="G24" i="206"/>
  <c r="H14" i="206"/>
  <c r="H16" i="206"/>
  <c r="H18" i="206"/>
  <c r="H20" i="206"/>
  <c r="H22" i="206"/>
  <c r="H24" i="206"/>
  <c r="E16" i="206"/>
  <c r="D14" i="206"/>
  <c r="B16" i="206"/>
  <c r="I10" i="206"/>
  <c r="J10" i="206"/>
  <c r="I8" i="206"/>
  <c r="J8" i="206"/>
  <c r="F9" i="206"/>
  <c r="F11" i="206"/>
  <c r="I7" i="206"/>
  <c r="I9" i="206"/>
  <c r="I11" i="206"/>
  <c r="J7" i="206"/>
  <c r="J9" i="206"/>
  <c r="J11" i="206"/>
  <c r="G9" i="206"/>
  <c r="G11" i="206"/>
  <c r="H9" i="206"/>
  <c r="H11" i="206"/>
  <c r="E11" i="206"/>
  <c r="D11" i="206"/>
  <c r="D9" i="206"/>
  <c r="B11" i="206"/>
  <c r="I6" i="206"/>
  <c r="J6" i="206"/>
  <c r="I5" i="206"/>
  <c r="J5" i="206"/>
  <c r="I3" i="206"/>
  <c r="J3" i="206"/>
  <c r="F4" i="206"/>
  <c r="I2" i="206"/>
  <c r="I4" i="206"/>
  <c r="J2" i="206"/>
  <c r="J4" i="206"/>
  <c r="G4" i="206"/>
  <c r="H4" i="206"/>
  <c r="F14" i="157"/>
  <c r="I13" i="157"/>
  <c r="I14" i="157"/>
  <c r="J13" i="157"/>
  <c r="J14" i="157"/>
  <c r="C18" i="157"/>
  <c r="E18" i="157"/>
  <c r="E17" i="157"/>
  <c r="F6" i="205"/>
  <c r="I5" i="205"/>
  <c r="I6" i="205"/>
  <c r="J5" i="205"/>
  <c r="J6" i="205"/>
  <c r="F6" i="196"/>
  <c r="I5" i="196"/>
  <c r="I6" i="196"/>
  <c r="J5" i="196"/>
  <c r="J6" i="196"/>
  <c r="I3" i="205"/>
  <c r="J3" i="205"/>
  <c r="F4" i="205"/>
  <c r="I2" i="205"/>
  <c r="I4" i="205"/>
  <c r="J2" i="205"/>
  <c r="J4" i="205"/>
  <c r="G4" i="205"/>
  <c r="H4" i="205"/>
  <c r="I20" i="197"/>
  <c r="J20" i="197"/>
  <c r="I19" i="197"/>
  <c r="J19" i="197"/>
  <c r="I16" i="197"/>
  <c r="J16" i="197"/>
  <c r="J17" i="197"/>
  <c r="F10" i="194"/>
  <c r="I9" i="194"/>
  <c r="I10" i="194"/>
  <c r="J9" i="194"/>
  <c r="J10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I12" i="197"/>
  <c r="J12" i="197"/>
  <c r="I9" i="195"/>
  <c r="J9" i="195"/>
  <c r="F28" i="42"/>
  <c r="I27" i="42"/>
  <c r="I28" i="42"/>
  <c r="J27" i="42"/>
  <c r="J28" i="42"/>
  <c r="I7" i="195"/>
  <c r="J7" i="195"/>
  <c r="I24" i="42"/>
  <c r="J24" i="42"/>
  <c r="I3" i="196"/>
  <c r="J3" i="196"/>
  <c r="I15" i="202"/>
  <c r="J15" i="202"/>
  <c r="I14" i="202"/>
  <c r="J14" i="202"/>
  <c r="C10" i="202"/>
  <c r="E10" i="202"/>
  <c r="E9" i="202"/>
  <c r="I3" i="202"/>
  <c r="J3" i="202"/>
  <c r="F4" i="202"/>
  <c r="I2" i="202"/>
  <c r="I4" i="202"/>
  <c r="J2" i="202"/>
  <c r="J4" i="202"/>
  <c r="G4" i="202"/>
  <c r="H4" i="202"/>
  <c r="I17" i="199"/>
  <c r="J17" i="199"/>
  <c r="F8" i="145"/>
  <c r="I7" i="145"/>
  <c r="I8" i="145"/>
  <c r="J7" i="145"/>
  <c r="J8" i="145"/>
  <c r="I11" i="145"/>
  <c r="J11" i="145"/>
  <c r="J12" i="145"/>
  <c r="I32" i="197"/>
  <c r="J32" i="197"/>
  <c r="I20" i="199"/>
  <c r="I21" i="199"/>
  <c r="J20" i="199"/>
  <c r="J21" i="199"/>
  <c r="I6" i="110"/>
  <c r="J6" i="110"/>
  <c r="J8" i="110"/>
  <c r="J9" i="110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/>
  <c r="J7" i="194"/>
  <c r="J8" i="194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/>
  <c r="F15" i="199"/>
  <c r="I9" i="199"/>
  <c r="I11" i="199"/>
  <c r="I13" i="199"/>
  <c r="I15" i="199"/>
  <c r="J9" i="199"/>
  <c r="J11" i="199"/>
  <c r="J13" i="199"/>
  <c r="J15" i="199"/>
  <c r="G11" i="199"/>
  <c r="G13" i="199"/>
  <c r="G15" i="199"/>
  <c r="H11" i="199"/>
  <c r="H13" i="199"/>
  <c r="H15" i="199"/>
  <c r="E13" i="199"/>
  <c r="D11" i="199"/>
  <c r="B13" i="199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/>
  <c r="J2" i="199"/>
  <c r="J4" i="199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/>
  <c r="F8" i="197"/>
  <c r="F10" i="197"/>
  <c r="I2" i="197"/>
  <c r="I4" i="197"/>
  <c r="I6" i="197"/>
  <c r="I8" i="197"/>
  <c r="I10" i="197"/>
  <c r="J2" i="197"/>
  <c r="J4" i="197"/>
  <c r="J6" i="197"/>
  <c r="J8" i="197"/>
  <c r="J10" i="197"/>
  <c r="G4" i="197"/>
  <c r="G6" i="197"/>
  <c r="G8" i="197"/>
  <c r="G10" i="197"/>
  <c r="H4" i="197"/>
  <c r="H6" i="197"/>
  <c r="H8" i="197"/>
  <c r="H10" i="197"/>
  <c r="E6" i="197"/>
  <c r="D4" i="197"/>
  <c r="B6" i="197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/>
  <c r="G8" i="195"/>
  <c r="G10" i="195"/>
  <c r="H4" i="195"/>
  <c r="H6" i="195"/>
  <c r="H8" i="195"/>
  <c r="H10" i="195"/>
  <c r="F4" i="195"/>
  <c r="F6" i="195"/>
  <c r="F8" i="195"/>
  <c r="F10" i="195"/>
  <c r="I3" i="195"/>
  <c r="J3" i="195"/>
  <c r="E16" i="161"/>
  <c r="H14" i="161"/>
  <c r="H16" i="161"/>
  <c r="H18" i="161"/>
  <c r="H20" i="161"/>
  <c r="H22" i="161"/>
  <c r="H24" i="161"/>
  <c r="H26" i="161"/>
  <c r="H28" i="161"/>
  <c r="H30" i="161"/>
  <c r="H32" i="161"/>
  <c r="G14" i="161"/>
  <c r="G16" i="161"/>
  <c r="G18" i="161"/>
  <c r="G20" i="161"/>
  <c r="G22" i="161"/>
  <c r="G24" i="161"/>
  <c r="G26" i="161"/>
  <c r="G28" i="161"/>
  <c r="G30" i="161"/>
  <c r="G32" i="161"/>
  <c r="F14" i="161"/>
  <c r="I36" i="161"/>
  <c r="J36" i="161"/>
  <c r="I37" i="161"/>
  <c r="J37" i="161"/>
  <c r="D4" i="194"/>
  <c r="B6" i="194"/>
  <c r="E6" i="194"/>
  <c r="D6" i="194"/>
  <c r="I5" i="194"/>
  <c r="J5" i="194"/>
  <c r="I25" i="46"/>
  <c r="J25" i="46"/>
  <c r="I13" i="150"/>
  <c r="J13" i="150"/>
  <c r="J15" i="150"/>
  <c r="C11" i="196"/>
  <c r="E11" i="196"/>
  <c r="E10" i="196"/>
  <c r="I2" i="196"/>
  <c r="I4" i="196"/>
  <c r="J2" i="196"/>
  <c r="J4" i="196"/>
  <c r="C14" i="195"/>
  <c r="E14" i="195"/>
  <c r="I2" i="195"/>
  <c r="J2" i="195"/>
  <c r="I3" i="194"/>
  <c r="J3" i="194"/>
  <c r="F4" i="194"/>
  <c r="F6" i="194"/>
  <c r="I2" i="194"/>
  <c r="I4" i="194"/>
  <c r="I6" i="194"/>
  <c r="J2" i="194"/>
  <c r="J4" i="194"/>
  <c r="J6" i="194"/>
  <c r="G4" i="194"/>
  <c r="G6" i="194"/>
  <c r="H4" i="194"/>
  <c r="H6" i="194"/>
  <c r="I23" i="46"/>
  <c r="J23" i="46"/>
  <c r="D20" i="46"/>
  <c r="B22" i="46"/>
  <c r="E22" i="46"/>
  <c r="G22" i="46"/>
  <c r="G24" i="46"/>
  <c r="G26" i="46"/>
  <c r="H22" i="46"/>
  <c r="H24" i="46"/>
  <c r="H26" i="46"/>
  <c r="I25" i="161"/>
  <c r="J25" i="161"/>
  <c r="I21" i="46"/>
  <c r="J21" i="46"/>
  <c r="I18" i="46"/>
  <c r="J18" i="46"/>
  <c r="F20" i="46"/>
  <c r="F22" i="46"/>
  <c r="F24" i="46"/>
  <c r="F26" i="46"/>
  <c r="I19" i="46"/>
  <c r="I20" i="46"/>
  <c r="J19" i="46"/>
  <c r="J20" i="46"/>
  <c r="J6" i="203"/>
  <c r="I6" i="203"/>
  <c r="J25" i="197"/>
  <c r="I38" i="206"/>
  <c r="J38" i="206"/>
  <c r="J39" i="206"/>
  <c r="K39" i="206"/>
  <c r="I34" i="206"/>
  <c r="J34" i="206"/>
  <c r="J35" i="206"/>
  <c r="K35" i="206"/>
  <c r="I30" i="206"/>
  <c r="J30" i="206"/>
  <c r="J31" i="206"/>
  <c r="J12" i="150"/>
  <c r="I26" i="206"/>
  <c r="J26" i="206"/>
  <c r="E18" i="206"/>
  <c r="D16" i="206"/>
  <c r="B18" i="206"/>
  <c r="H17" i="157"/>
  <c r="G17" i="157"/>
  <c r="F17" i="157"/>
  <c r="E19" i="157"/>
  <c r="H18" i="157"/>
  <c r="G18" i="157"/>
  <c r="F18" i="157"/>
  <c r="J21" i="197"/>
  <c r="J13" i="197"/>
  <c r="D6" i="195"/>
  <c r="B8" i="195"/>
  <c r="E8" i="195"/>
  <c r="J25" i="42"/>
  <c r="H9" i="202"/>
  <c r="G9" i="202"/>
  <c r="F9" i="202"/>
  <c r="E11" i="202"/>
  <c r="H10" i="202"/>
  <c r="G10" i="202"/>
  <c r="F10" i="202"/>
  <c r="J16" i="202"/>
  <c r="J18" i="199"/>
  <c r="J33" i="197"/>
  <c r="J42" i="161"/>
  <c r="J15" i="170"/>
  <c r="J19" i="170"/>
  <c r="E15" i="199"/>
  <c r="D21" i="199"/>
  <c r="D13" i="199"/>
  <c r="B15" i="199"/>
  <c r="J25" i="199"/>
  <c r="J29" i="199"/>
  <c r="J32" i="199"/>
  <c r="J35" i="199"/>
  <c r="J37" i="197"/>
  <c r="E8" i="197"/>
  <c r="D6" i="197"/>
  <c r="B8" i="197"/>
  <c r="J41" i="197"/>
  <c r="J44" i="197"/>
  <c r="I47" i="197"/>
  <c r="J47" i="197"/>
  <c r="J48" i="197"/>
  <c r="K48" i="197"/>
  <c r="J51" i="197"/>
  <c r="B72" i="197"/>
  <c r="E71" i="197"/>
  <c r="B69" i="197"/>
  <c r="E68" i="197"/>
  <c r="I53" i="197"/>
  <c r="J53" i="197"/>
  <c r="J54" i="197"/>
  <c r="I56" i="197"/>
  <c r="J56" i="197"/>
  <c r="J57" i="197"/>
  <c r="I59" i="197"/>
  <c r="J59" i="197"/>
  <c r="J60" i="197"/>
  <c r="I62" i="197"/>
  <c r="J62" i="197"/>
  <c r="J63" i="197"/>
  <c r="I65" i="197"/>
  <c r="J65" i="197"/>
  <c r="J66" i="197"/>
  <c r="J33" i="42"/>
  <c r="D13" i="195"/>
  <c r="B6" i="195"/>
  <c r="J18" i="150"/>
  <c r="J16" i="184"/>
  <c r="J12" i="184"/>
  <c r="J4" i="195"/>
  <c r="J6" i="195"/>
  <c r="J8" i="195"/>
  <c r="J10" i="195"/>
  <c r="I4" i="195"/>
  <c r="I6" i="195"/>
  <c r="I8" i="195"/>
  <c r="I10" i="195"/>
  <c r="F16" i="161"/>
  <c r="F18" i="161"/>
  <c r="F20" i="161"/>
  <c r="F22" i="161"/>
  <c r="F24" i="161"/>
  <c r="F26" i="161"/>
  <c r="F28" i="161"/>
  <c r="F30" i="161"/>
  <c r="F32" i="161"/>
  <c r="I14" i="161"/>
  <c r="E18" i="161"/>
  <c r="D16" i="161"/>
  <c r="J38" i="161"/>
  <c r="D22" i="46"/>
  <c r="B24" i="46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/>
  <c r="J26" i="46"/>
  <c r="I22" i="46"/>
  <c r="I24" i="46"/>
  <c r="I26" i="46"/>
  <c r="K31" i="206"/>
  <c r="J27" i="206"/>
  <c r="K27" i="206"/>
  <c r="E20" i="206"/>
  <c r="D18" i="206"/>
  <c r="B20" i="206"/>
  <c r="I18" i="157"/>
  <c r="J18" i="157"/>
  <c r="I17" i="157"/>
  <c r="J17" i="157"/>
  <c r="D8" i="195"/>
  <c r="B10" i="195"/>
  <c r="E10" i="195"/>
  <c r="D10" i="195"/>
  <c r="I10" i="202"/>
  <c r="J10" i="202"/>
  <c r="I9" i="202"/>
  <c r="J9" i="202"/>
  <c r="D15" i="199"/>
  <c r="E69" i="197"/>
  <c r="H68" i="197"/>
  <c r="G68" i="197"/>
  <c r="F68" i="197"/>
  <c r="E72" i="197"/>
  <c r="H71" i="197"/>
  <c r="G71" i="197"/>
  <c r="F71" i="197"/>
  <c r="K51" i="197"/>
  <c r="K54" i="197"/>
  <c r="K57" i="197"/>
  <c r="K60" i="197"/>
  <c r="K63" i="197"/>
  <c r="K66" i="197"/>
  <c r="E10" i="197"/>
  <c r="D8" i="197"/>
  <c r="B10" i="197"/>
  <c r="B15" i="195"/>
  <c r="E13" i="195"/>
  <c r="D18" i="161"/>
  <c r="E20" i="161"/>
  <c r="I16" i="161"/>
  <c r="I18" i="161"/>
  <c r="I20" i="161"/>
  <c r="I22" i="161"/>
  <c r="I24" i="161"/>
  <c r="I26" i="161"/>
  <c r="I28" i="161"/>
  <c r="I30" i="161"/>
  <c r="I32" i="161"/>
  <c r="J14" i="161"/>
  <c r="J16" i="161"/>
  <c r="J18" i="161"/>
  <c r="J20" i="161"/>
  <c r="J22" i="161"/>
  <c r="J24" i="161"/>
  <c r="J26" i="161"/>
  <c r="J28" i="161"/>
  <c r="J30" i="161"/>
  <c r="J32" i="161"/>
  <c r="D24" i="46"/>
  <c r="B26" i="46"/>
  <c r="E26" i="46"/>
  <c r="D26" i="46"/>
  <c r="I11" i="196"/>
  <c r="J11" i="196"/>
  <c r="I10" i="196"/>
  <c r="J10" i="196"/>
  <c r="I14" i="195"/>
  <c r="J14" i="195"/>
  <c r="E22" i="206"/>
  <c r="D20" i="206"/>
  <c r="J19" i="157"/>
  <c r="J20" i="157"/>
  <c r="J11" i="202"/>
  <c r="J12" i="202"/>
  <c r="D10" i="197"/>
  <c r="I71" i="197"/>
  <c r="J71" i="197"/>
  <c r="J72" i="197"/>
  <c r="I68" i="197"/>
  <c r="J68" i="197"/>
  <c r="J69" i="197"/>
  <c r="K69" i="197"/>
  <c r="K72" i="197"/>
  <c r="H13" i="195"/>
  <c r="G13" i="195"/>
  <c r="F13" i="195"/>
  <c r="E15" i="195"/>
  <c r="D20" i="161"/>
  <c r="E22" i="161"/>
  <c r="J12" i="196"/>
  <c r="J13" i="196"/>
  <c r="E24" i="206"/>
  <c r="D22" i="206"/>
  <c r="B24" i="206"/>
  <c r="I13" i="195"/>
  <c r="J13" i="195"/>
  <c r="J15" i="195"/>
  <c r="J16" i="195"/>
  <c r="D22" i="161"/>
  <c r="E24" i="161"/>
  <c r="D24" i="206"/>
  <c r="D24" i="161"/>
  <c r="B26" i="161"/>
  <c r="E26" i="161"/>
  <c r="E28" i="161"/>
  <c r="B22" i="206"/>
  <c r="D28" i="161"/>
  <c r="B30" i="161"/>
  <c r="E30" i="161"/>
  <c r="D26" i="161"/>
  <c r="B28" i="161"/>
  <c r="D30" i="161"/>
  <c r="B32" i="161"/>
  <c r="E32" i="161"/>
  <c r="D32" i="161"/>
  <c r="E4" i="207" l="1"/>
  <c r="D4" i="207" s="1"/>
  <c r="H2" i="207"/>
  <c r="G2" i="207"/>
  <c r="F2" i="207"/>
  <c r="H3" i="207"/>
  <c r="G3" i="207"/>
  <c r="F3" i="207"/>
  <c r="C7" i="207"/>
  <c r="J6" i="207"/>
  <c r="E8" i="203"/>
  <c r="D8" i="203" s="1"/>
  <c r="H7" i="203"/>
  <c r="H8" i="203" s="1"/>
  <c r="G7" i="203"/>
  <c r="G8" i="203" s="1"/>
  <c r="F7" i="203"/>
  <c r="C8" i="207" l="1"/>
  <c r="E8" i="207" s="1"/>
  <c r="E7" i="207"/>
  <c r="I3" i="207"/>
  <c r="J3" i="207"/>
  <c r="F4" i="207"/>
  <c r="I2" i="207"/>
  <c r="I4" i="207" s="1"/>
  <c r="J2" i="207"/>
  <c r="J4" i="207" s="1"/>
  <c r="G4" i="207"/>
  <c r="H4" i="207"/>
  <c r="F8" i="203"/>
  <c r="I7" i="203"/>
  <c r="I8" i="203" s="1"/>
  <c r="J7" i="203"/>
  <c r="J8" i="203" s="1"/>
  <c r="H7" i="207" l="1"/>
  <c r="G7" i="207"/>
  <c r="F7" i="207"/>
  <c r="E9" i="207"/>
  <c r="H8" i="207"/>
  <c r="G8" i="207"/>
  <c r="F8" i="207"/>
  <c r="I8" i="207" l="1"/>
  <c r="J8" i="207"/>
  <c r="I7" i="207"/>
  <c r="J7" i="207"/>
  <c r="J9" i="207" l="1"/>
  <c r="J10" i="207" s="1"/>
</calcChain>
</file>

<file path=xl/sharedStrings.xml><?xml version="1.0" encoding="utf-8"?>
<sst xmlns="http://schemas.openxmlformats.org/spreadsheetml/2006/main" count="434" uniqueCount="35">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</sst>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34" workbookViewId="0">
      <selection activeCell="D42" sqref="D4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6.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5.7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>
      <c r="A41" s="56">
        <v>44603</v>
      </c>
      <c r="B41" s="13" t="s">
        <v>1</v>
      </c>
      <c r="C41" s="91">
        <v>1000</v>
      </c>
      <c r="D41" s="46">
        <v>47</v>
      </c>
      <c r="E41" s="20">
        <f>C41*D41</f>
        <v>47000</v>
      </c>
      <c r="F41" s="20">
        <f>E41*0.002</f>
        <v>94</v>
      </c>
      <c r="G41" s="20">
        <f>E41*0.00006</f>
        <v>2.8200000000000003</v>
      </c>
      <c r="H41" s="20">
        <f>E41*0.00001</f>
        <v>0.47000000000000003</v>
      </c>
      <c r="I41" s="20">
        <f>(F41+G41+H41)*0.07</f>
        <v>6.8102999999999998</v>
      </c>
      <c r="J41" s="20">
        <f>E41+F41+I41+G41+H41</f>
        <v>47104.100299999998</v>
      </c>
    </row>
    <row r="42" spans="1:15">
      <c r="B42" s="3">
        <f>(D41-D40)/D40</f>
        <v>-0.39158576051779936</v>
      </c>
      <c r="C42" s="2">
        <f>SUM(C40:C41)</f>
        <v>11000</v>
      </c>
      <c r="D42" s="47">
        <f>E42/C42</f>
        <v>74.5</v>
      </c>
      <c r="E42" s="2">
        <f t="shared" ref="E42:J42" si="9">SUM(E40:E41)</f>
        <v>819500</v>
      </c>
      <c r="F42" s="2">
        <f t="shared" si="9"/>
        <v>1639</v>
      </c>
      <c r="G42" s="2">
        <f t="shared" si="9"/>
        <v>49.17</v>
      </c>
      <c r="H42" s="2">
        <f t="shared" si="9"/>
        <v>8.1950000000000021</v>
      </c>
      <c r="I42" s="2">
        <f t="shared" si="9"/>
        <v>118.74554999999999</v>
      </c>
      <c r="J42" s="2">
        <f t="shared" si="9"/>
        <v>821315.11054999998</v>
      </c>
    </row>
    <row r="43" spans="1:15" s="19" customFormat="1" ht="16.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6.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6.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6.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6.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6.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6.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6.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6.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6.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6.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6.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6.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9" customFormat="1" ht="16.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7"/>
      <c r="L23" s="58"/>
      <c r="M23" s="58"/>
      <c r="N23" s="58"/>
      <c r="O23" s="58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>
      <c r="A26" s="54"/>
      <c r="B26" s="74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7"/>
      <c r="L26" s="58"/>
      <c r="M26" s="58"/>
      <c r="N26" s="59"/>
      <c r="O26" s="59"/>
    </row>
    <row r="27" spans="1:15" s="19" customFormat="1" ht="16.5">
      <c r="A27" s="56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7"/>
      <c r="L27" s="58"/>
      <c r="M27" s="58"/>
      <c r="N27" s="58"/>
      <c r="O27" s="58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7"/>
      <c r="L28" s="58"/>
      <c r="M28" s="58"/>
      <c r="N28" s="59"/>
      <c r="O28" s="59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>
      <c r="A30" s="54"/>
      <c r="B30" s="74"/>
      <c r="C30" s="51"/>
      <c r="D30" s="52"/>
      <c r="E30" s="51"/>
      <c r="F30" s="51"/>
      <c r="G30" s="51"/>
      <c r="H30" s="51"/>
      <c r="I30" s="51"/>
      <c r="J30" s="51"/>
      <c r="K30" s="57"/>
      <c r="L30" s="58"/>
      <c r="M30" s="58"/>
      <c r="N30" s="59"/>
      <c r="O30" s="59"/>
    </row>
    <row r="31" spans="1:15" s="19" customFormat="1" ht="16.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7"/>
      <c r="L31" s="58"/>
      <c r="M31" s="58"/>
      <c r="N31" s="58"/>
      <c r="O31" s="58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7"/>
      <c r="L34" s="58"/>
      <c r="M34" s="58"/>
      <c r="N34" s="59"/>
      <c r="O34" s="59"/>
    </row>
    <row r="35" spans="1:15" s="19" customFormat="1" ht="16.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7"/>
      <c r="L35" s="58"/>
      <c r="M35" s="58"/>
      <c r="N35" s="58"/>
      <c r="O35" s="58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6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6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6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6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6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6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6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>
      <c r="A45" s="50"/>
      <c r="D45" s="47"/>
      <c r="J45" s="53"/>
    </row>
    <row r="46" spans="1:15" s="19" customFormat="1" ht="16.5">
      <c r="A46" s="56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7"/>
      <c r="L46" s="58"/>
      <c r="M46" s="58"/>
      <c r="N46" s="58"/>
      <c r="O46" s="58"/>
    </row>
    <row r="47" spans="1:15" s="13" customFormat="1">
      <c r="A47" s="56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6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6.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6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6.5">
      <c r="A52" s="56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6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6.5">
      <c r="A55" s="56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6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6.5">
      <c r="A58" s="56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6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6.5">
      <c r="A61" s="56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1">
        <f>K59+C62</f>
        <v>15000</v>
      </c>
    </row>
    <row r="63" spans="1:15" s="31" customFormat="1" ht="18.75">
      <c r="A63" s="56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6.5">
      <c r="A64" s="56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7"/>
      <c r="L64" s="58"/>
      <c r="M64" s="58"/>
      <c r="N64" s="58"/>
      <c r="O64" s="58"/>
    </row>
    <row r="65" spans="1:15" s="13" customFormat="1">
      <c r="A65" s="56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6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6.5">
      <c r="A67" s="56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7"/>
      <c r="L67" s="58"/>
      <c r="M67" s="58"/>
      <c r="N67" s="58"/>
      <c r="O67" s="58"/>
    </row>
    <row r="68" spans="1:15" s="13" customFormat="1">
      <c r="A68" s="56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6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6.5">
      <c r="A70" s="56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7"/>
      <c r="L70" s="58"/>
      <c r="M70" s="58"/>
      <c r="N70" s="58"/>
      <c r="O70" s="58"/>
    </row>
    <row r="71" spans="1:15" s="13" customFormat="1">
      <c r="A71" s="56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6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4FF-B02C-4578-B01E-5589DADB9D1A}">
  <dimension ref="A1:N10"/>
  <sheetViews>
    <sheetView topLeftCell="A6" workbookViewId="0">
      <selection activeCell="A12" sqref="A12:XFD1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44973</v>
      </c>
      <c r="B2" s="15" t="s">
        <v>1</v>
      </c>
      <c r="C2" s="16">
        <v>4500</v>
      </c>
      <c r="D2" s="41">
        <v>31</v>
      </c>
      <c r="E2" s="18">
        <f>C2*D2</f>
        <v>139500</v>
      </c>
      <c r="F2" s="18">
        <f>E2*0.002</f>
        <v>279</v>
      </c>
      <c r="G2" s="18">
        <f>E2*0.00006</f>
        <v>8.370000000000001</v>
      </c>
      <c r="H2" s="18">
        <f>E2*0.00001</f>
        <v>1.395</v>
      </c>
      <c r="I2" s="18">
        <f>(F2+G2+H2)*0.07</f>
        <v>20.213550000000001</v>
      </c>
      <c r="J2" s="18">
        <f>E2+F2+I2+G2+H2</f>
        <v>139808.97854999997</v>
      </c>
    </row>
    <row r="3" spans="1:14" s="13" customFormat="1">
      <c r="A3" s="67">
        <v>44473</v>
      </c>
      <c r="B3" s="13" t="s">
        <v>1</v>
      </c>
      <c r="C3" s="10">
        <v>4500</v>
      </c>
      <c r="D3" s="11">
        <v>29</v>
      </c>
      <c r="E3" s="20">
        <f>C3*D3</f>
        <v>130500</v>
      </c>
      <c r="F3" s="20">
        <f>E3*0.002</f>
        <v>261</v>
      </c>
      <c r="G3" s="20">
        <f>E3*0.00006</f>
        <v>7.83</v>
      </c>
      <c r="H3" s="20">
        <f>E3*0.00001</f>
        <v>1.3050000000000002</v>
      </c>
      <c r="I3" s="20">
        <f>(F3+G3+H3)*0.07</f>
        <v>18.90945</v>
      </c>
      <c r="J3" s="20">
        <f>E3+F3+I3+G3+H3</f>
        <v>130789.04445</v>
      </c>
      <c r="K3" s="32"/>
      <c r="L3" s="11"/>
      <c r="M3" s="12"/>
    </row>
    <row r="4" spans="1:14" s="63" customFormat="1" ht="21.75">
      <c r="A4" s="56"/>
      <c r="B4" s="76">
        <f>(D3-D2)/D2</f>
        <v>-6.4516129032258063E-2</v>
      </c>
      <c r="C4" s="10">
        <f>SUM(C2:C3)</f>
        <v>9000</v>
      </c>
      <c r="D4" s="64">
        <f>E4/C4</f>
        <v>30</v>
      </c>
      <c r="E4" s="10">
        <f t="shared" ref="E4:J4" si="0">SUM(E2:E3)</f>
        <v>270000</v>
      </c>
      <c r="F4" s="10">
        <f t="shared" si="0"/>
        <v>540</v>
      </c>
      <c r="G4" s="10">
        <f t="shared" si="0"/>
        <v>16.200000000000003</v>
      </c>
      <c r="H4" s="10">
        <f t="shared" si="0"/>
        <v>2.7</v>
      </c>
      <c r="I4" s="10">
        <f t="shared" si="0"/>
        <v>39.123000000000005</v>
      </c>
      <c r="J4" s="10">
        <f t="shared" si="0"/>
        <v>270598.02299999999</v>
      </c>
      <c r="K4" s="11"/>
      <c r="L4" s="13"/>
      <c r="M4" s="62"/>
      <c r="N4" s="62"/>
    </row>
    <row r="6" spans="1:14" s="63" customFormat="1" ht="21.75">
      <c r="A6" s="56">
        <v>44985</v>
      </c>
      <c r="C6" s="10">
        <f>C2</f>
        <v>4500</v>
      </c>
      <c r="D6" s="64">
        <v>1.44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6480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4500</v>
      </c>
      <c r="D7" s="46">
        <f>D2</f>
        <v>31</v>
      </c>
      <c r="E7" s="20">
        <f>C7*D7</f>
        <v>139500</v>
      </c>
      <c r="F7" s="20">
        <f>E7*0.002</f>
        <v>279</v>
      </c>
      <c r="G7" s="20">
        <f>E7*0.00006</f>
        <v>8.370000000000001</v>
      </c>
      <c r="H7" s="20">
        <f>E7*0.00001</f>
        <v>1.395</v>
      </c>
      <c r="I7" s="20">
        <f>(F7+G7+H7)*0.07</f>
        <v>20.213550000000001</v>
      </c>
      <c r="J7" s="20">
        <f>E7+F7+I7+G7+H7</f>
        <v>139808.97854999997</v>
      </c>
    </row>
    <row r="8" spans="1:14" s="1" customFormat="1">
      <c r="A8" s="56">
        <v>44277</v>
      </c>
      <c r="B8" s="13" t="s">
        <v>3</v>
      </c>
      <c r="C8" s="10">
        <f>C7</f>
        <v>4500</v>
      </c>
      <c r="D8" s="34">
        <v>31.25</v>
      </c>
      <c r="E8" s="11">
        <f>C8*D8</f>
        <v>140625</v>
      </c>
      <c r="F8" s="35">
        <f>E8*0.002</f>
        <v>281.25</v>
      </c>
      <c r="G8" s="34">
        <f>E8*0.000068</f>
        <v>9.5625</v>
      </c>
      <c r="H8" s="34">
        <f>E8*0.00001</f>
        <v>1.4062500000000002</v>
      </c>
      <c r="I8" s="34">
        <f>(F8+G8+H8)*0.07</f>
        <v>20.455312500000002</v>
      </c>
      <c r="J8" s="34">
        <f>E8-F8-G8-H8-I8</f>
        <v>140312.32593749999</v>
      </c>
    </row>
    <row r="9" spans="1:14" s="1" customFormat="1">
      <c r="A9" s="56" t="s">
        <v>4</v>
      </c>
      <c r="B9" s="13"/>
      <c r="C9" s="10"/>
      <c r="D9" s="11"/>
      <c r="E9" s="20">
        <f>E8-E7</f>
        <v>1125</v>
      </c>
      <c r="F9" s="20"/>
      <c r="G9" s="20"/>
      <c r="H9" s="20"/>
      <c r="I9" s="20"/>
      <c r="J9" s="20">
        <f>J8-J7</f>
        <v>503.34738750001998</v>
      </c>
    </row>
    <row r="10" spans="1:14" s="1" customFormat="1" ht="12">
      <c r="A10" s="50"/>
      <c r="D10" s="47"/>
      <c r="J10" s="53">
        <f>J6+J9</f>
        <v>6983.34738750002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topLeftCell="A4"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6.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6.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6.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29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2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8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6"/>
  <sheetViews>
    <sheetView tabSelected="1"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30.5</v>
      </c>
      <c r="E3" s="18">
        <f>C3*D3</f>
        <v>36600</v>
      </c>
      <c r="F3" s="18">
        <f>E3*0.002</f>
        <v>73.2</v>
      </c>
      <c r="G3" s="18">
        <f>E3*0.00006</f>
        <v>2.1960000000000002</v>
      </c>
      <c r="H3" s="18">
        <f>E3*0.00001</f>
        <v>0.36600000000000005</v>
      </c>
      <c r="I3" s="18">
        <f>(F3+G3+H3)*0.07</f>
        <v>5.3033400000000004</v>
      </c>
      <c r="J3" s="18">
        <f>E3+F3+I3+G3+H3</f>
        <v>36681.065340000001</v>
      </c>
    </row>
    <row r="4" spans="1:13" s="1" customFormat="1">
      <c r="A4" s="49"/>
      <c r="B4" s="30">
        <f>(D3-D2)/D2</f>
        <v>-0.22784810126582278</v>
      </c>
      <c r="C4" s="16">
        <f>SUM(C2:C3)</f>
        <v>4800</v>
      </c>
      <c r="D4" s="17">
        <f>E4/C4</f>
        <v>37.25</v>
      </c>
      <c r="E4" s="16">
        <f t="shared" ref="E4:J4" si="0">SUM(E2:E3)</f>
        <v>178800</v>
      </c>
      <c r="F4" s="16">
        <f t="shared" si="0"/>
        <v>357.6</v>
      </c>
      <c r="G4" s="16">
        <f t="shared" si="0"/>
        <v>10.728</v>
      </c>
      <c r="H4" s="16">
        <f t="shared" si="0"/>
        <v>1.7880000000000003</v>
      </c>
      <c r="I4" s="16">
        <f t="shared" si="0"/>
        <v>25.908120000000004</v>
      </c>
      <c r="J4" s="16">
        <f t="shared" si="0"/>
        <v>179196.02411999999</v>
      </c>
    </row>
    <row r="5" spans="1:13" s="1" customFormat="1">
      <c r="A5" s="56">
        <v>44972</v>
      </c>
      <c r="B5" s="13" t="s">
        <v>1</v>
      </c>
      <c r="C5" s="10">
        <v>1200</v>
      </c>
      <c r="D5" s="46">
        <v>23.5</v>
      </c>
      <c r="E5" s="20">
        <f>C5*D5</f>
        <v>28200</v>
      </c>
      <c r="F5" s="20">
        <f>E5*0.002</f>
        <v>56.4</v>
      </c>
      <c r="G5" s="20">
        <f>E5*0.00006</f>
        <v>1.6919999999999999</v>
      </c>
      <c r="H5" s="20">
        <f>E5*0.00001</f>
        <v>0.28200000000000003</v>
      </c>
      <c r="I5" s="20">
        <f>(F5+G5+H5)*0.07</f>
        <v>4.0861799999999997</v>
      </c>
      <c r="J5" s="20">
        <f>E5+F5+I5+G5+H5</f>
        <v>28262.460179999998</v>
      </c>
    </row>
    <row r="6" spans="1:13" s="1" customFormat="1">
      <c r="A6" s="56"/>
      <c r="B6" s="12">
        <f>(D5-D4)/D4</f>
        <v>-0.36912751677852351</v>
      </c>
      <c r="C6" s="10">
        <f>SUM(C4:C5)</f>
        <v>6000</v>
      </c>
      <c r="D6" s="11">
        <f>E6/C6</f>
        <v>34.5</v>
      </c>
      <c r="E6" s="10">
        <f t="shared" ref="E6:J6" si="1">SUM(E4:E5)</f>
        <v>207000</v>
      </c>
      <c r="F6" s="10">
        <f t="shared" si="1"/>
        <v>414</v>
      </c>
      <c r="G6" s="10">
        <f t="shared" si="1"/>
        <v>12.42</v>
      </c>
      <c r="H6" s="10">
        <f t="shared" si="1"/>
        <v>2.0700000000000003</v>
      </c>
      <c r="I6" s="10">
        <f t="shared" si="1"/>
        <v>29.994300000000003</v>
      </c>
      <c r="J6" s="10">
        <f t="shared" si="1"/>
        <v>207458.48429999998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workbookViewId="0">
      <selection activeCell="L6" sqref="L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9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9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9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9">
        <f t="shared" si="1"/>
        <v>233616.29319</v>
      </c>
    </row>
    <row r="7" spans="1:13">
      <c r="A7" s="56">
        <v>44970</v>
      </c>
      <c r="B7" s="13" t="s">
        <v>1</v>
      </c>
      <c r="C7" s="10">
        <v>1200</v>
      </c>
      <c r="D7" s="46">
        <v>44.25</v>
      </c>
      <c r="E7" s="62">
        <f>C7*D7</f>
        <v>53100</v>
      </c>
      <c r="F7" s="20">
        <f>E7*0.002</f>
        <v>106.2</v>
      </c>
      <c r="G7" s="20">
        <f>E7*0.00006</f>
        <v>3.1859999999999999</v>
      </c>
      <c r="H7" s="20">
        <f>E7*0.00001</f>
        <v>0.53100000000000003</v>
      </c>
      <c r="I7" s="20">
        <f>(F7+G7+H7)*0.07</f>
        <v>7.6941900000000008</v>
      </c>
      <c r="J7" s="62">
        <f>E7+F7+I7+G7+H7</f>
        <v>53217.611190000003</v>
      </c>
    </row>
    <row r="8" spans="1:13">
      <c r="A8" s="56"/>
      <c r="B8" s="12">
        <f>(D7-D6)/D6</f>
        <v>-0.20270270270270271</v>
      </c>
      <c r="C8" s="10">
        <f>SUM(C6:C7)</f>
        <v>5400</v>
      </c>
      <c r="D8" s="11">
        <f>E8/C8</f>
        <v>53</v>
      </c>
      <c r="E8" s="62">
        <f t="shared" ref="E8:J8" si="2">SUM(E6:E7)</f>
        <v>286200</v>
      </c>
      <c r="F8" s="10">
        <f t="shared" si="2"/>
        <v>572.40000000000009</v>
      </c>
      <c r="G8" s="10">
        <f t="shared" si="2"/>
        <v>17.172000000000001</v>
      </c>
      <c r="H8" s="10">
        <f t="shared" si="2"/>
        <v>2.8620000000000005</v>
      </c>
      <c r="I8" s="10">
        <f t="shared" si="2"/>
        <v>41.470380000000006</v>
      </c>
      <c r="J8" s="62">
        <f t="shared" si="2"/>
        <v>286833.90438000002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4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E15" sqref="E15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8"/>
  <sheetViews>
    <sheetView workbookViewId="0">
      <selection activeCell="C10" sqref="C1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21</v>
      </c>
      <c r="E3" s="18">
        <f>C3*D3</f>
        <v>25200</v>
      </c>
      <c r="F3" s="18">
        <f>E3*0.002</f>
        <v>50.4</v>
      </c>
      <c r="G3" s="18">
        <f>E3*0.00006</f>
        <v>1.512</v>
      </c>
      <c r="H3" s="18">
        <f>E3*0.00001</f>
        <v>0.252</v>
      </c>
      <c r="I3" s="18">
        <f>(F3+G3+H3)*0.07</f>
        <v>3.6514800000000003</v>
      </c>
      <c r="J3" s="18">
        <f>E3+F3+I3+G3+H3</f>
        <v>25255.815480000001</v>
      </c>
    </row>
    <row r="4" spans="1:13" s="1" customFormat="1">
      <c r="A4" s="49"/>
      <c r="B4" s="30">
        <f>(D3-D2)/D2</f>
        <v>-0.25</v>
      </c>
      <c r="C4" s="16">
        <f>SUM(C2:C3)</f>
        <v>4800</v>
      </c>
      <c r="D4" s="17">
        <f>E4/C4</f>
        <v>26.25</v>
      </c>
      <c r="E4" s="16">
        <f t="shared" ref="E4:J4" si="0">SUM(E2:E3)</f>
        <v>126000</v>
      </c>
      <c r="F4" s="16">
        <f t="shared" si="0"/>
        <v>252</v>
      </c>
      <c r="G4" s="16">
        <f t="shared" si="0"/>
        <v>7.5600000000000005</v>
      </c>
      <c r="H4" s="16">
        <f t="shared" si="0"/>
        <v>1.26</v>
      </c>
      <c r="I4" s="16">
        <f t="shared" si="0"/>
        <v>18.257400000000001</v>
      </c>
      <c r="J4" s="16">
        <f t="shared" si="0"/>
        <v>126279.07740000001</v>
      </c>
    </row>
    <row r="5" spans="1:13" s="1" customFormat="1" ht="12.75">
      <c r="A5" s="49">
        <v>44676</v>
      </c>
      <c r="B5" s="15" t="s">
        <v>1</v>
      </c>
      <c r="C5" s="16">
        <v>1200</v>
      </c>
      <c r="D5" s="41">
        <v>19</v>
      </c>
      <c r="E5" s="18">
        <f>C5*D5</f>
        <v>22800</v>
      </c>
      <c r="F5" s="18">
        <f>E5*0.002</f>
        <v>45.6</v>
      </c>
      <c r="G5" s="18">
        <f>E5*0.00006</f>
        <v>1.3680000000000001</v>
      </c>
      <c r="H5" s="18">
        <f>E5*0.00001</f>
        <v>0.22800000000000001</v>
      </c>
      <c r="I5" s="18">
        <f>(F5+G5+H5)*0.07</f>
        <v>3.3037200000000007</v>
      </c>
      <c r="J5" s="18">
        <f>E5+F5+I5+G5+H5</f>
        <v>22850.499719999996</v>
      </c>
    </row>
    <row r="6" spans="1:13" s="1" customFormat="1" ht="12.75">
      <c r="A6" s="49"/>
      <c r="B6" s="30">
        <f>(D5-D4)/D4</f>
        <v>-0.27619047619047621</v>
      </c>
      <c r="C6" s="16">
        <f>SUM(C4:C5)</f>
        <v>6000</v>
      </c>
      <c r="D6" s="17">
        <f>E6/C6</f>
        <v>24.8</v>
      </c>
      <c r="E6" s="16">
        <f t="shared" ref="E6:J6" si="1">SUM(E4:E5)</f>
        <v>148800</v>
      </c>
      <c r="F6" s="16">
        <f t="shared" si="1"/>
        <v>297.60000000000002</v>
      </c>
      <c r="G6" s="16">
        <f t="shared" si="1"/>
        <v>8.9280000000000008</v>
      </c>
      <c r="H6" s="16">
        <f t="shared" si="1"/>
        <v>1.488</v>
      </c>
      <c r="I6" s="16">
        <f t="shared" si="1"/>
        <v>21.561120000000003</v>
      </c>
      <c r="J6" s="16">
        <f t="shared" si="1"/>
        <v>149129.57712</v>
      </c>
    </row>
    <row r="7" spans="1:13" s="1" customFormat="1">
      <c r="A7" s="56">
        <v>44676</v>
      </c>
      <c r="B7" s="13" t="s">
        <v>1</v>
      </c>
      <c r="C7" s="10">
        <v>1200</v>
      </c>
      <c r="D7" s="46">
        <v>17</v>
      </c>
      <c r="E7" s="20">
        <f>C7*D7</f>
        <v>20400</v>
      </c>
      <c r="F7" s="20">
        <f>E7*0.002</f>
        <v>40.800000000000004</v>
      </c>
      <c r="G7" s="20">
        <f>E7*0.00006</f>
        <v>1.224</v>
      </c>
      <c r="H7" s="20">
        <f>E7*0.00001</f>
        <v>0.20400000000000001</v>
      </c>
      <c r="I7" s="20">
        <f>(F7+G7+H7)*0.07</f>
        <v>2.9559600000000006</v>
      </c>
      <c r="J7" s="20">
        <f>E7+F7+I7+G7+H7</f>
        <v>20445.183959999998</v>
      </c>
    </row>
    <row r="8" spans="1:13" s="1" customFormat="1">
      <c r="A8" s="56"/>
      <c r="B8" s="12">
        <f>(D7-D6)/D6</f>
        <v>-0.31451612903225806</v>
      </c>
      <c r="C8" s="10">
        <f>SUM(C6:C7)</f>
        <v>7200</v>
      </c>
      <c r="D8" s="11">
        <f>E8/C8</f>
        <v>23.5</v>
      </c>
      <c r="E8" s="10">
        <f t="shared" ref="E8:J8" si="2">SUM(E6:E7)</f>
        <v>169200</v>
      </c>
      <c r="F8" s="10">
        <f t="shared" si="2"/>
        <v>338.40000000000003</v>
      </c>
      <c r="G8" s="10">
        <f t="shared" si="2"/>
        <v>10.152000000000001</v>
      </c>
      <c r="H8" s="10">
        <f t="shared" si="2"/>
        <v>1.6919999999999999</v>
      </c>
      <c r="I8" s="10">
        <f t="shared" si="2"/>
        <v>24.517080000000004</v>
      </c>
      <c r="J8" s="10">
        <f t="shared" si="2"/>
        <v>169574.76108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9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33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2023-02-17T07:42:10Z</dcterms:modified>
  <cp:category/>
  <cp:contentStatus/>
</cp:coreProperties>
</file>