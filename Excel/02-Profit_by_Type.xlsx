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06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850" documentId="8_{9A02EB98-7EB2-4F6F-BBDA-0A28C0527E53}" xr6:coauthVersionLast="47" xr6:coauthVersionMax="47" xr10:uidLastSave="{B4DCA898-61E7-4CF8-99E4-6465960D070D}"/>
  <bookViews>
    <workbookView xWindow="-120" yWindow="-120" windowWidth="15600" windowHeight="11760" tabRatio="461" firstSheet="16" activeTab="20" xr2:uid="{00000000-000D-0000-FFFF-FFFF00000000}"/>
  </bookViews>
  <sheets>
    <sheet name="KCE" sheetId="206" r:id="rId1"/>
    <sheet name="PTTGC" sheetId="42" r:id="rId2"/>
    <sheet name="STA" sheetId="197" r:id="rId3"/>
    <sheet name="ASK" sheetId="207" r:id="rId4"/>
    <sheet name="ASP" sheetId="181" r:id="rId5"/>
    <sheet name="BANPU" sheetId="202" r:id="rId6"/>
    <sheet name="BCH" sheetId="150" r:id="rId7"/>
    <sheet name="CPNREIT" sheetId="194" r:id="rId8"/>
    <sheet name="DIF" sheetId="57" r:id="rId9"/>
    <sheet name="GVREIT" sheetId="195" r:id="rId10"/>
    <sheet name="IVL" sheetId="196" r:id="rId11"/>
    <sheet name="JASIF" sheetId="4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ENA" sheetId="183" r:id="rId20"/>
    <sheet name="SINGER" sheetId="20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4" l="1"/>
  <c r="B16" i="194"/>
  <c r="E15" i="194"/>
  <c r="D11" i="196"/>
  <c r="C11" i="196"/>
  <c r="C10" i="196"/>
  <c r="E7" i="196"/>
  <c r="B44" i="57"/>
  <c r="C44" i="57"/>
  <c r="E43" i="57"/>
  <c r="E42" i="57"/>
  <c r="C40" i="57"/>
  <c r="E40" i="57" s="1"/>
  <c r="E39" i="57"/>
  <c r="C14" i="194"/>
  <c r="B14" i="194"/>
  <c r="E13" i="194"/>
  <c r="D7" i="207"/>
  <c r="H6" i="207"/>
  <c r="C6" i="207"/>
  <c r="C4" i="207"/>
  <c r="B4" i="207"/>
  <c r="E3" i="207"/>
  <c r="E2" i="207"/>
  <c r="C8" i="203"/>
  <c r="E7" i="203"/>
  <c r="E5" i="203"/>
  <c r="E6" i="203"/>
  <c r="D6" i="203"/>
  <c r="B8" i="203" s="1"/>
  <c r="C6" i="204"/>
  <c r="B6" i="204"/>
  <c r="E5" i="204"/>
  <c r="C8" i="205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E5" i="202"/>
  <c r="E10" i="150"/>
  <c r="B12" i="150"/>
  <c r="A12" i="150"/>
  <c r="C11" i="150"/>
  <c r="E11" i="150"/>
  <c r="B27" i="206"/>
  <c r="C26" i="206"/>
  <c r="E25" i="206"/>
  <c r="E23" i="206"/>
  <c r="E21" i="206"/>
  <c r="E19" i="206"/>
  <c r="E17" i="206"/>
  <c r="E15" i="206"/>
  <c r="C14" i="206"/>
  <c r="C16" i="206"/>
  <c r="C18" i="206"/>
  <c r="C20" i="206"/>
  <c r="C22" i="206"/>
  <c r="C24" i="206"/>
  <c r="B14" i="206"/>
  <c r="E13" i="206"/>
  <c r="E12" i="206"/>
  <c r="E10" i="206"/>
  <c r="C9" i="206"/>
  <c r="C11" i="206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E5" i="196"/>
  <c r="C4" i="205"/>
  <c r="B4" i="205"/>
  <c r="E3" i="205"/>
  <c r="E2" i="205"/>
  <c r="E20" i="197"/>
  <c r="E19" i="197"/>
  <c r="E16" i="197"/>
  <c r="E17" i="197"/>
  <c r="C10" i="194"/>
  <c r="B10" i="194"/>
  <c r="E9" i="194"/>
  <c r="C4" i="203"/>
  <c r="C6" i="203"/>
  <c r="B4" i="203"/>
  <c r="E3" i="203"/>
  <c r="E2" i="203"/>
  <c r="E2" i="204"/>
  <c r="E3" i="204"/>
  <c r="E4" i="204"/>
  <c r="C12" i="197"/>
  <c r="E12" i="197"/>
  <c r="E9" i="195"/>
  <c r="C28" i="42"/>
  <c r="B28" i="42"/>
  <c r="E27" i="42"/>
  <c r="E7" i="195"/>
  <c r="B25" i="42"/>
  <c r="C24" i="42"/>
  <c r="E24" i="42"/>
  <c r="C4" i="196"/>
  <c r="B4" i="196"/>
  <c r="E3" i="196"/>
  <c r="C18" i="202"/>
  <c r="E18" i="202"/>
  <c r="E17" i="202"/>
  <c r="D12" i="202"/>
  <c r="B14" i="202"/>
  <c r="H11" i="202"/>
  <c r="C11" i="202"/>
  <c r="C4" i="202"/>
  <c r="C6" i="202" s="1"/>
  <c r="B4" i="202"/>
  <c r="E3" i="202"/>
  <c r="E2" i="202"/>
  <c r="B21" i="199"/>
  <c r="C21" i="199"/>
  <c r="B18" i="199"/>
  <c r="C17" i="199"/>
  <c r="E17" i="199"/>
  <c r="C8" i="145"/>
  <c r="B8" i="145"/>
  <c r="E7" i="145"/>
  <c r="C11" i="145"/>
  <c r="E11" i="145"/>
  <c r="C32" i="197"/>
  <c r="E32" i="197"/>
  <c r="E20" i="199"/>
  <c r="E21" i="199"/>
  <c r="E6" i="110"/>
  <c r="C5" i="110"/>
  <c r="B42" i="161"/>
  <c r="A42" i="161"/>
  <c r="C41" i="161"/>
  <c r="E41" i="161"/>
  <c r="E40" i="161"/>
  <c r="E31" i="161"/>
  <c r="C8" i="194"/>
  <c r="B8" i="194"/>
  <c r="E7" i="194"/>
  <c r="E29" i="161"/>
  <c r="E23" i="199"/>
  <c r="B35" i="199"/>
  <c r="C34" i="199"/>
  <c r="E34" i="199"/>
  <c r="E33" i="199"/>
  <c r="B32" i="199"/>
  <c r="C31" i="199"/>
  <c r="E31" i="199"/>
  <c r="E30" i="199"/>
  <c r="B29" i="199"/>
  <c r="C28" i="199"/>
  <c r="E28" i="199"/>
  <c r="E27" i="199"/>
  <c r="B25" i="199"/>
  <c r="C24" i="199"/>
  <c r="E24" i="199"/>
  <c r="E16" i="199"/>
  <c r="E14" i="199"/>
  <c r="E12" i="199"/>
  <c r="C11" i="199"/>
  <c r="C13" i="199"/>
  <c r="C15" i="199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/>
  <c r="E49" i="197"/>
  <c r="B48" i="197"/>
  <c r="C47" i="197"/>
  <c r="A47" i="197"/>
  <c r="A50" i="197"/>
  <c r="A53" i="197"/>
  <c r="A56" i="197"/>
  <c r="A59" i="197"/>
  <c r="A62" i="197"/>
  <c r="A65" i="197"/>
  <c r="A68" i="197"/>
  <c r="A71" i="197"/>
  <c r="E46" i="197"/>
  <c r="B44" i="197"/>
  <c r="C43" i="197"/>
  <c r="E43" i="197"/>
  <c r="E42" i="197"/>
  <c r="C40" i="197"/>
  <c r="E40" i="197"/>
  <c r="E39" i="197"/>
  <c r="E31" i="197"/>
  <c r="E11" i="197"/>
  <c r="E9" i="197"/>
  <c r="E7" i="197"/>
  <c r="E5" i="197"/>
  <c r="C4" i="197"/>
  <c r="C6" i="197"/>
  <c r="C8" i="197"/>
  <c r="C10" i="197"/>
  <c r="B4" i="197"/>
  <c r="E3" i="197"/>
  <c r="E2" i="197"/>
  <c r="E31" i="42"/>
  <c r="B33" i="42"/>
  <c r="C32" i="42"/>
  <c r="E32" i="42"/>
  <c r="E5" i="195"/>
  <c r="E16" i="150"/>
  <c r="B18" i="150"/>
  <c r="A18" i="150"/>
  <c r="C17" i="150"/>
  <c r="E17" i="150"/>
  <c r="B16" i="184"/>
  <c r="A16" i="184"/>
  <c r="C15" i="184"/>
  <c r="E15" i="184"/>
  <c r="E14" i="184"/>
  <c r="E10" i="184"/>
  <c r="B12" i="184"/>
  <c r="A12" i="184"/>
  <c r="C11" i="184"/>
  <c r="E11" i="184"/>
  <c r="E27" i="161"/>
  <c r="C4" i="195"/>
  <c r="C12" i="195"/>
  <c r="B4" i="195"/>
  <c r="E3" i="195"/>
  <c r="B38" i="161"/>
  <c r="E36" i="161"/>
  <c r="A38" i="161"/>
  <c r="C37" i="161"/>
  <c r="E37" i="161"/>
  <c r="E5" i="194"/>
  <c r="E25" i="46"/>
  <c r="I12" i="171"/>
  <c r="J12" i="171"/>
  <c r="D13" i="171"/>
  <c r="C12" i="171"/>
  <c r="E13" i="150"/>
  <c r="H10" i="196"/>
  <c r="E2" i="196"/>
  <c r="E4" i="196"/>
  <c r="D4" i="196"/>
  <c r="H12" i="195"/>
  <c r="J12" i="195"/>
  <c r="E2" i="195"/>
  <c r="E56" i="20"/>
  <c r="F56" i="20"/>
  <c r="G56" i="20"/>
  <c r="H56" i="20"/>
  <c r="I56" i="20"/>
  <c r="J56" i="20"/>
  <c r="C4" i="194"/>
  <c r="C6" i="194"/>
  <c r="B4" i="194"/>
  <c r="E3" i="194"/>
  <c r="E2" i="194"/>
  <c r="E23" i="46"/>
  <c r="E25" i="161"/>
  <c r="E21" i="46"/>
  <c r="D62" i="20"/>
  <c r="C62" i="20"/>
  <c r="E19" i="46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B64" i="20"/>
  <c r="A64" i="20"/>
  <c r="C63" i="20"/>
  <c r="E63" i="20"/>
  <c r="E62" i="20"/>
  <c r="E7" i="150"/>
  <c r="E9" i="183"/>
  <c r="E59" i="20"/>
  <c r="C6" i="184"/>
  <c r="B6" i="184"/>
  <c r="E5" i="184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B24" i="161"/>
  <c r="E23" i="161"/>
  <c r="B61" i="20"/>
  <c r="A61" i="20"/>
  <c r="C60" i="20"/>
  <c r="E60" i="20"/>
  <c r="C55" i="20"/>
  <c r="C57" i="20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E2" i="171"/>
  <c r="E20" i="42"/>
  <c r="E19" i="42"/>
  <c r="E51" i="20"/>
  <c r="E7" i="157"/>
  <c r="C36" i="57"/>
  <c r="C38" i="57" s="1"/>
  <c r="E35" i="57"/>
  <c r="B8" i="161"/>
  <c r="E7" i="161"/>
  <c r="E5" i="157"/>
  <c r="B4" i="157"/>
  <c r="E5" i="161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/>
  <c r="C8" i="150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E30" i="57"/>
  <c r="C49" i="20"/>
  <c r="E48" i="20"/>
  <c r="E47" i="20"/>
  <c r="E28" i="57"/>
  <c r="E26" i="57"/>
  <c r="E14" i="15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/>
  <c r="D4" i="150"/>
  <c r="B6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J49" i="20"/>
  <c r="I49" i="20"/>
  <c r="C7" i="110"/>
  <c r="E7" i="110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7" i="57"/>
  <c r="E47" i="57"/>
  <c r="E46" i="57"/>
  <c r="F46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7" i="57"/>
  <c r="E48" i="57"/>
  <c r="G47" i="57"/>
  <c r="H47" i="57"/>
  <c r="H46" i="57"/>
  <c r="G46" i="57"/>
  <c r="I46" i="57"/>
  <c r="J46" i="57"/>
  <c r="J7" i="42"/>
  <c r="J8" i="42"/>
  <c r="I47" i="57"/>
  <c r="J47" i="57"/>
  <c r="J48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3" i="161"/>
  <c r="G23" i="161"/>
  <c r="F23" i="161"/>
  <c r="E61" i="20"/>
  <c r="H60" i="20"/>
  <c r="G60" i="20"/>
  <c r="F60" i="20"/>
  <c r="E55" i="20"/>
  <c r="E57" i="20"/>
  <c r="D57" i="20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7" i="57"/>
  <c r="J37" i="57"/>
  <c r="I10" i="145"/>
  <c r="J10" i="145"/>
  <c r="F4" i="181"/>
  <c r="I3" i="181"/>
  <c r="I4" i="181"/>
  <c r="J3" i="181"/>
  <c r="J4" i="181"/>
  <c r="C12" i="157"/>
  <c r="C14" i="157"/>
  <c r="D12" i="157"/>
  <c r="B14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D6" i="183"/>
  <c r="B8" i="183"/>
  <c r="E8" i="183"/>
  <c r="I7" i="183"/>
  <c r="J7" i="183"/>
  <c r="G55" i="20"/>
  <c r="G57" i="20"/>
  <c r="H55" i="20"/>
  <c r="H57" i="20"/>
  <c r="D55" i="20"/>
  <c r="B57" i="20"/>
  <c r="C12" i="161"/>
  <c r="C14" i="16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3" i="161"/>
  <c r="J23" i="161"/>
  <c r="I60" i="20"/>
  <c r="J60" i="20"/>
  <c r="F55" i="20"/>
  <c r="F57" i="20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8" i="183"/>
  <c r="J10" i="183"/>
  <c r="I8" i="183"/>
  <c r="I10" i="183"/>
  <c r="J55" i="20"/>
  <c r="J57" i="20"/>
  <c r="I55" i="20"/>
  <c r="I57" i="20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J15" i="171"/>
  <c r="J16" i="171"/>
  <c r="E6" i="204"/>
  <c r="D6" i="204" s="1"/>
  <c r="H5" i="204"/>
  <c r="H6" i="204"/>
  <c r="G5" i="204"/>
  <c r="G6" i="204"/>
  <c r="F5" i="204"/>
  <c r="E8" i="205"/>
  <c r="D8" i="205"/>
  <c r="H7" i="205"/>
  <c r="H8" i="205"/>
  <c r="G7" i="205"/>
  <c r="G8" i="205"/>
  <c r="F7" i="205"/>
  <c r="E28" i="197"/>
  <c r="D28" i="197"/>
  <c r="H27" i="197"/>
  <c r="H28" i="197"/>
  <c r="G27" i="197"/>
  <c r="G28" i="197"/>
  <c r="F27" i="197"/>
  <c r="E25" i="197"/>
  <c r="H24" i="197"/>
  <c r="G24" i="197"/>
  <c r="F24" i="197"/>
  <c r="H23" i="197"/>
  <c r="G23" i="197"/>
  <c r="F23" i="197"/>
  <c r="E42" i="206"/>
  <c r="D42" i="206"/>
  <c r="H41" i="206"/>
  <c r="H42" i="206"/>
  <c r="G41" i="206"/>
  <c r="G42" i="206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/>
  <c r="H11" i="194"/>
  <c r="H12" i="194"/>
  <c r="G11" i="194"/>
  <c r="G12" i="194"/>
  <c r="F11" i="194"/>
  <c r="E34" i="161"/>
  <c r="D34" i="161"/>
  <c r="H33" i="161"/>
  <c r="H34" i="161"/>
  <c r="G33" i="161"/>
  <c r="G34" i="161"/>
  <c r="F33" i="161"/>
  <c r="K30" i="206"/>
  <c r="E30" i="206"/>
  <c r="H29" i="206"/>
  <c r="G29" i="206"/>
  <c r="F29" i="206"/>
  <c r="H5" i="202"/>
  <c r="G5" i="202"/>
  <c r="F5" i="202"/>
  <c r="H10" i="150"/>
  <c r="G10" i="150"/>
  <c r="F10" i="150"/>
  <c r="E12" i="150"/>
  <c r="H11" i="150"/>
  <c r="G11" i="150"/>
  <c r="F11" i="150"/>
  <c r="E8" i="150"/>
  <c r="D8" i="150"/>
  <c r="K26" i="206"/>
  <c r="E26" i="206"/>
  <c r="E4" i="206"/>
  <c r="D4" i="206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/>
  <c r="H13" i="157"/>
  <c r="H14" i="157"/>
  <c r="G13" i="157"/>
  <c r="G14" i="157"/>
  <c r="F13" i="157"/>
  <c r="I16" i="157"/>
  <c r="J16" i="157"/>
  <c r="E6" i="205"/>
  <c r="D6" i="205"/>
  <c r="H5" i="205"/>
  <c r="H6" i="205"/>
  <c r="G5" i="205"/>
  <c r="G6" i="205"/>
  <c r="F5" i="205"/>
  <c r="E6" i="196"/>
  <c r="H5" i="196"/>
  <c r="G5" i="196"/>
  <c r="F5" i="196"/>
  <c r="E4" i="205"/>
  <c r="D4" i="205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/>
  <c r="H9" i="194"/>
  <c r="H10" i="194"/>
  <c r="G9" i="194"/>
  <c r="G10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B4" i="204"/>
  <c r="D4" i="204"/>
  <c r="H3" i="204"/>
  <c r="H4" i="204"/>
  <c r="G3" i="204"/>
  <c r="G4" i="204"/>
  <c r="F3" i="204"/>
  <c r="E13" i="197"/>
  <c r="H12" i="197"/>
  <c r="G12" i="197"/>
  <c r="F12" i="197"/>
  <c r="H9" i="195"/>
  <c r="G9" i="195"/>
  <c r="F9" i="195"/>
  <c r="E28" i="42"/>
  <c r="D28" i="42"/>
  <c r="H27" i="42"/>
  <c r="H28" i="42"/>
  <c r="G27" i="42"/>
  <c r="G28" i="42"/>
  <c r="F27" i="42"/>
  <c r="H7" i="195"/>
  <c r="G7" i="195"/>
  <c r="F7" i="195"/>
  <c r="E25" i="42"/>
  <c r="H24" i="42"/>
  <c r="G24" i="42"/>
  <c r="F24" i="42"/>
  <c r="H3" i="196"/>
  <c r="G3" i="196"/>
  <c r="F3" i="196"/>
  <c r="E4" i="202"/>
  <c r="E6" i="202" s="1"/>
  <c r="D6" i="202" s="1"/>
  <c r="D4" i="202"/>
  <c r="B6" i="202" s="1"/>
  <c r="H2" i="202"/>
  <c r="G2" i="202"/>
  <c r="F2" i="202"/>
  <c r="H3" i="202"/>
  <c r="G3" i="202"/>
  <c r="F3" i="202"/>
  <c r="C12" i="202"/>
  <c r="J11" i="202"/>
  <c r="H17" i="202"/>
  <c r="G17" i="202"/>
  <c r="F17" i="202"/>
  <c r="E19" i="202"/>
  <c r="H18" i="202"/>
  <c r="G18" i="202"/>
  <c r="F18" i="202"/>
  <c r="E18" i="199"/>
  <c r="H17" i="199"/>
  <c r="G17" i="199"/>
  <c r="F17" i="199"/>
  <c r="E8" i="145"/>
  <c r="D8" i="145"/>
  <c r="H7" i="145"/>
  <c r="H8" i="145"/>
  <c r="G7" i="145"/>
  <c r="G8" i="145"/>
  <c r="F7" i="145"/>
  <c r="E12" i="145"/>
  <c r="H11" i="145"/>
  <c r="G11" i="145"/>
  <c r="F11" i="145"/>
  <c r="E33" i="197"/>
  <c r="H32" i="197"/>
  <c r="G32" i="197"/>
  <c r="F32" i="197"/>
  <c r="H20" i="199"/>
  <c r="H21" i="199"/>
  <c r="G20" i="199"/>
  <c r="G21" i="199"/>
  <c r="F20" i="199"/>
  <c r="F21" i="199"/>
  <c r="H6" i="110"/>
  <c r="G6" i="110"/>
  <c r="F6" i="110"/>
  <c r="H40" i="161"/>
  <c r="G40" i="161"/>
  <c r="F40" i="161"/>
  <c r="E42" i="161"/>
  <c r="H41" i="161"/>
  <c r="G41" i="161"/>
  <c r="F41" i="161"/>
  <c r="H31" i="161"/>
  <c r="G31" i="161"/>
  <c r="F31" i="161"/>
  <c r="E8" i="194"/>
  <c r="D8" i="194"/>
  <c r="H7" i="194"/>
  <c r="H8" i="194"/>
  <c r="G7" i="194"/>
  <c r="G8" i="194"/>
  <c r="F7" i="194"/>
  <c r="H29" i="161"/>
  <c r="G29" i="161"/>
  <c r="F29" i="161"/>
  <c r="H23" i="199"/>
  <c r="G23" i="199"/>
  <c r="F23" i="199"/>
  <c r="E4" i="199"/>
  <c r="D4" i="199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/>
  <c r="K53" i="197"/>
  <c r="K56" i="197"/>
  <c r="K59" i="197"/>
  <c r="K62" i="197"/>
  <c r="K65" i="197"/>
  <c r="K68" i="197"/>
  <c r="K71" i="197"/>
  <c r="E47" i="197"/>
  <c r="H49" i="197"/>
  <c r="G49" i="197"/>
  <c r="F49" i="197"/>
  <c r="E51" i="197"/>
  <c r="H50" i="197"/>
  <c r="G50" i="197"/>
  <c r="F50" i="197"/>
  <c r="D65" i="197"/>
  <c r="B66" i="197"/>
  <c r="D62" i="197"/>
  <c r="B63" i="197"/>
  <c r="D59" i="197"/>
  <c r="B60" i="197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C13" i="195"/>
  <c r="C6" i="195"/>
  <c r="C8" i="195"/>
  <c r="C10" i="195"/>
  <c r="H5" i="195"/>
  <c r="G5" i="195"/>
  <c r="F5" i="195"/>
  <c r="J6" i="150"/>
  <c r="J8" i="150"/>
  <c r="I6" i="150"/>
  <c r="I8" i="150"/>
  <c r="F6" i="150"/>
  <c r="F8" i="150"/>
  <c r="G6" i="150"/>
  <c r="G8" i="150"/>
  <c r="H6" i="150"/>
  <c r="H8" i="150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/>
  <c r="C20" i="161"/>
  <c r="C22" i="161"/>
  <c r="C24" i="161"/>
  <c r="C26" i="161"/>
  <c r="C28" i="161"/>
  <c r="C30" i="161"/>
  <c r="C32" i="16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/>
  <c r="H6" i="196" s="1"/>
  <c r="G2" i="196"/>
  <c r="G4" i="196"/>
  <c r="G6" i="196" s="1"/>
  <c r="F2" i="196"/>
  <c r="F4" i="196"/>
  <c r="J10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/>
  <c r="C24" i="46"/>
  <c r="C26" i="46"/>
  <c r="H18" i="46"/>
  <c r="G18" i="46"/>
  <c r="F18" i="46"/>
  <c r="E20" i="46"/>
  <c r="H19" i="46"/>
  <c r="H20" i="46"/>
  <c r="G19" i="46"/>
  <c r="G20" i="46"/>
  <c r="F19" i="46"/>
  <c r="F6" i="204"/>
  <c r="I5" i="204"/>
  <c r="I6" i="204"/>
  <c r="J5" i="204"/>
  <c r="J6" i="204"/>
  <c r="D4" i="203"/>
  <c r="B6" i="203"/>
  <c r="F8" i="205"/>
  <c r="I7" i="205"/>
  <c r="I8" i="205"/>
  <c r="J7" i="205"/>
  <c r="J8" i="205"/>
  <c r="F28" i="197"/>
  <c r="I27" i="197"/>
  <c r="I28" i="197"/>
  <c r="J27" i="197"/>
  <c r="J28" i="197"/>
  <c r="I24" i="197"/>
  <c r="J24" i="197"/>
  <c r="I23" i="197"/>
  <c r="J23" i="197"/>
  <c r="F42" i="206"/>
  <c r="I41" i="206"/>
  <c r="I42" i="206"/>
  <c r="J41" i="206"/>
  <c r="J42" i="206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/>
  <c r="J11" i="194"/>
  <c r="J12" i="194"/>
  <c r="F34" i="161"/>
  <c r="I33" i="161"/>
  <c r="I34" i="161"/>
  <c r="J33" i="161"/>
  <c r="J34" i="161"/>
  <c r="E31" i="206"/>
  <c r="H30" i="206"/>
  <c r="G30" i="206"/>
  <c r="F30" i="206"/>
  <c r="I29" i="206"/>
  <c r="J29" i="206"/>
  <c r="I5" i="202"/>
  <c r="J5" i="202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/>
  <c r="F18" i="206"/>
  <c r="F20" i="206"/>
  <c r="F22" i="206"/>
  <c r="F24" i="206"/>
  <c r="I12" i="206"/>
  <c r="I14" i="206"/>
  <c r="I16" i="206"/>
  <c r="I18" i="206"/>
  <c r="I20" i="206"/>
  <c r="I22" i="206"/>
  <c r="I24" i="206"/>
  <c r="J12" i="206"/>
  <c r="J14" i="206"/>
  <c r="J16" i="206"/>
  <c r="J18" i="206"/>
  <c r="J20" i="206"/>
  <c r="J22" i="206"/>
  <c r="J24" i="206"/>
  <c r="G14" i="206"/>
  <c r="G16" i="206"/>
  <c r="G18" i="206"/>
  <c r="G20" i="206"/>
  <c r="G22" i="206"/>
  <c r="G24" i="206"/>
  <c r="H14" i="206"/>
  <c r="H16" i="206"/>
  <c r="H18" i="206"/>
  <c r="H20" i="206"/>
  <c r="H22" i="206"/>
  <c r="H24" i="206"/>
  <c r="E16" i="206"/>
  <c r="D14" i="206"/>
  <c r="B16" i="206"/>
  <c r="I10" i="206"/>
  <c r="J10" i="206"/>
  <c r="I8" i="206"/>
  <c r="J8" i="206"/>
  <c r="F9" i="206"/>
  <c r="F11" i="206"/>
  <c r="I7" i="206"/>
  <c r="I9" i="206"/>
  <c r="I11" i="206"/>
  <c r="J7" i="206"/>
  <c r="J9" i="206"/>
  <c r="J11" i="206"/>
  <c r="G9" i="206"/>
  <c r="G11" i="206"/>
  <c r="H9" i="206"/>
  <c r="H11" i="206"/>
  <c r="E11" i="206"/>
  <c r="D11" i="206"/>
  <c r="D9" i="206"/>
  <c r="B11" i="206"/>
  <c r="I6" i="206"/>
  <c r="J6" i="206"/>
  <c r="I5" i="206"/>
  <c r="J5" i="206"/>
  <c r="I3" i="206"/>
  <c r="J3" i="206"/>
  <c r="F4" i="206"/>
  <c r="I2" i="206"/>
  <c r="I4" i="206"/>
  <c r="J2" i="206"/>
  <c r="J4" i="206"/>
  <c r="G4" i="206"/>
  <c r="H4" i="206"/>
  <c r="F14" i="157"/>
  <c r="I13" i="157"/>
  <c r="I14" i="157"/>
  <c r="J13" i="157"/>
  <c r="J14" i="157"/>
  <c r="C18" i="157"/>
  <c r="E18" i="157"/>
  <c r="E17" i="157"/>
  <c r="F6" i="205"/>
  <c r="I5" i="205"/>
  <c r="I6" i="205"/>
  <c r="J5" i="205"/>
  <c r="J6" i="205"/>
  <c r="F6" i="196"/>
  <c r="I5" i="196"/>
  <c r="J5" i="196"/>
  <c r="I3" i="205"/>
  <c r="J3" i="205"/>
  <c r="F4" i="205"/>
  <c r="I2" i="205"/>
  <c r="I4" i="205"/>
  <c r="J2" i="205"/>
  <c r="J4" i="205"/>
  <c r="G4" i="205"/>
  <c r="H4" i="205"/>
  <c r="I20" i="197"/>
  <c r="J20" i="197"/>
  <c r="I19" i="197"/>
  <c r="J19" i="197"/>
  <c r="I16" i="197"/>
  <c r="J16" i="197"/>
  <c r="J17" i="197"/>
  <c r="F10" i="194"/>
  <c r="I9" i="194"/>
  <c r="I10" i="194"/>
  <c r="J9" i="194"/>
  <c r="J10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I12" i="197"/>
  <c r="J12" i="197"/>
  <c r="I9" i="195"/>
  <c r="J9" i="195"/>
  <c r="F28" i="42"/>
  <c r="I27" i="42"/>
  <c r="I28" i="42"/>
  <c r="J27" i="42"/>
  <c r="J28" i="42"/>
  <c r="I7" i="195"/>
  <c r="J7" i="195"/>
  <c r="I24" i="42"/>
  <c r="J24" i="42"/>
  <c r="I3" i="196"/>
  <c r="J3" i="196"/>
  <c r="I18" i="202"/>
  <c r="J18" i="202"/>
  <c r="I17" i="202"/>
  <c r="J17" i="202"/>
  <c r="C13" i="202"/>
  <c r="E13" i="202"/>
  <c r="E12" i="202"/>
  <c r="I3" i="202"/>
  <c r="J3" i="202"/>
  <c r="F4" i="202"/>
  <c r="F6" i="202" s="1"/>
  <c r="I2" i="202"/>
  <c r="I4" i="202"/>
  <c r="I6" i="202" s="1"/>
  <c r="J2" i="202"/>
  <c r="J4" i="202"/>
  <c r="J6" i="202" s="1"/>
  <c r="G4" i="202"/>
  <c r="G6" i="202" s="1"/>
  <c r="H4" i="202"/>
  <c r="H6" i="202" s="1"/>
  <c r="I17" i="199"/>
  <c r="J17" i="199"/>
  <c r="F8" i="145"/>
  <c r="I7" i="145"/>
  <c r="I8" i="145"/>
  <c r="J7" i="145"/>
  <c r="J8" i="145"/>
  <c r="I11" i="145"/>
  <c r="J11" i="145"/>
  <c r="J12" i="145"/>
  <c r="I32" i="197"/>
  <c r="J32" i="197"/>
  <c r="I20" i="199"/>
  <c r="I21" i="199"/>
  <c r="J20" i="199"/>
  <c r="J21" i="199"/>
  <c r="I6" i="110"/>
  <c r="J6" i="110"/>
  <c r="J8" i="110"/>
  <c r="J9" i="110"/>
  <c r="I41" i="161"/>
  <c r="J41" i="161"/>
  <c r="I40" i="161"/>
  <c r="J40" i="161"/>
  <c r="I31" i="161"/>
  <c r="J31" i="161"/>
  <c r="F8" i="194"/>
  <c r="I7" i="194"/>
  <c r="I8" i="194"/>
  <c r="J7" i="194"/>
  <c r="J8" i="194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/>
  <c r="F15" i="199"/>
  <c r="I9" i="199"/>
  <c r="I11" i="199"/>
  <c r="I13" i="199"/>
  <c r="I15" i="199"/>
  <c r="J9" i="199"/>
  <c r="J11" i="199"/>
  <c r="J13" i="199"/>
  <c r="J15" i="199"/>
  <c r="G11" i="199"/>
  <c r="G13" i="199"/>
  <c r="G15" i="199"/>
  <c r="H11" i="199"/>
  <c r="H13" i="199"/>
  <c r="H15" i="199"/>
  <c r="E13" i="199"/>
  <c r="D11" i="199"/>
  <c r="B13" i="199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/>
  <c r="J2" i="199"/>
  <c r="J4" i="199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/>
  <c r="F8" i="197"/>
  <c r="F10" i="197"/>
  <c r="I2" i="197"/>
  <c r="I4" i="197"/>
  <c r="I6" i="197"/>
  <c r="I8" i="197"/>
  <c r="I10" i="197"/>
  <c r="J2" i="197"/>
  <c r="J4" i="197"/>
  <c r="J6" i="197"/>
  <c r="J8" i="197"/>
  <c r="J10" i="197"/>
  <c r="G4" i="197"/>
  <c r="G6" i="197"/>
  <c r="G8" i="197"/>
  <c r="G10" i="197"/>
  <c r="H4" i="197"/>
  <c r="H6" i="197"/>
  <c r="H8" i="197"/>
  <c r="H10" i="197"/>
  <c r="E6" i="197"/>
  <c r="D4" i="197"/>
  <c r="B6" i="197"/>
  <c r="I31" i="42"/>
  <c r="J31" i="42"/>
  <c r="I32" i="42"/>
  <c r="J32" i="42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/>
  <c r="G8" i="195"/>
  <c r="G10" i="195"/>
  <c r="H4" i="195"/>
  <c r="H6" i="195"/>
  <c r="H8" i="195"/>
  <c r="H10" i="195"/>
  <c r="F4" i="195"/>
  <c r="F6" i="195"/>
  <c r="F8" i="195"/>
  <c r="F10" i="195"/>
  <c r="I3" i="195"/>
  <c r="J3" i="195"/>
  <c r="E16" i="161"/>
  <c r="H14" i="161"/>
  <c r="H16" i="161"/>
  <c r="H18" i="161"/>
  <c r="H20" i="161"/>
  <c r="H22" i="161"/>
  <c r="H24" i="161"/>
  <c r="H26" i="161"/>
  <c r="H28" i="161"/>
  <c r="H30" i="161"/>
  <c r="H32" i="161"/>
  <c r="G14" i="161"/>
  <c r="G16" i="161"/>
  <c r="G18" i="161"/>
  <c r="G20" i="161"/>
  <c r="G22" i="161"/>
  <c r="G24" i="161"/>
  <c r="G26" i="161"/>
  <c r="G28" i="161"/>
  <c r="G30" i="161"/>
  <c r="G32" i="161"/>
  <c r="F14" i="161"/>
  <c r="I36" i="161"/>
  <c r="J36" i="161"/>
  <c r="I37" i="161"/>
  <c r="J37" i="161"/>
  <c r="D4" i="194"/>
  <c r="B6" i="194"/>
  <c r="E6" i="194"/>
  <c r="D6" i="194"/>
  <c r="I5" i="194"/>
  <c r="J5" i="194"/>
  <c r="I25" i="46"/>
  <c r="J25" i="46"/>
  <c r="I13" i="150"/>
  <c r="J13" i="150"/>
  <c r="J15" i="150"/>
  <c r="I2" i="196"/>
  <c r="I4" i="196"/>
  <c r="I6" i="196" s="1"/>
  <c r="J2" i="196"/>
  <c r="J4" i="196"/>
  <c r="J6" i="196" s="1"/>
  <c r="C14" i="195"/>
  <c r="E14" i="195"/>
  <c r="I2" i="195"/>
  <c r="J2" i="195"/>
  <c r="I3" i="194"/>
  <c r="J3" i="194"/>
  <c r="F4" i="194"/>
  <c r="F6" i="194"/>
  <c r="I2" i="194"/>
  <c r="I4" i="194"/>
  <c r="I6" i="194"/>
  <c r="J2" i="194"/>
  <c r="J4" i="194"/>
  <c r="J6" i="194"/>
  <c r="G4" i="194"/>
  <c r="G6" i="194"/>
  <c r="H4" i="194"/>
  <c r="H6" i="194"/>
  <c r="I23" i="46"/>
  <c r="J23" i="46"/>
  <c r="D20" i="46"/>
  <c r="B22" i="46"/>
  <c r="E22" i="46"/>
  <c r="G22" i="46"/>
  <c r="G24" i="46"/>
  <c r="G26" i="46"/>
  <c r="H22" i="46"/>
  <c r="H24" i="46"/>
  <c r="H26" i="46"/>
  <c r="I25" i="161"/>
  <c r="J25" i="161"/>
  <c r="I21" i="46"/>
  <c r="J21" i="46"/>
  <c r="I18" i="46"/>
  <c r="J18" i="46"/>
  <c r="F20" i="46"/>
  <c r="F22" i="46"/>
  <c r="F24" i="46"/>
  <c r="F26" i="46"/>
  <c r="I19" i="46"/>
  <c r="I20" i="46"/>
  <c r="J19" i="46"/>
  <c r="J20" i="46"/>
  <c r="J6" i="203"/>
  <c r="I6" i="203"/>
  <c r="J25" i="197"/>
  <c r="I38" i="206"/>
  <c r="J38" i="206"/>
  <c r="J39" i="206"/>
  <c r="K39" i="206"/>
  <c r="I34" i="206"/>
  <c r="J34" i="206"/>
  <c r="J35" i="206"/>
  <c r="K35" i="206"/>
  <c r="I30" i="206"/>
  <c r="J30" i="206"/>
  <c r="J31" i="206"/>
  <c r="J12" i="150"/>
  <c r="I26" i="206"/>
  <c r="J26" i="206"/>
  <c r="E18" i="206"/>
  <c r="D16" i="206"/>
  <c r="B18" i="206"/>
  <c r="H17" i="157"/>
  <c r="G17" i="157"/>
  <c r="F17" i="157"/>
  <c r="E19" i="157"/>
  <c r="H18" i="157"/>
  <c r="G18" i="157"/>
  <c r="F18" i="157"/>
  <c r="J21" i="197"/>
  <c r="J13" i="197"/>
  <c r="D6" i="195"/>
  <c r="B8" i="195"/>
  <c r="E8" i="195"/>
  <c r="J25" i="42"/>
  <c r="H12" i="202"/>
  <c r="G12" i="202"/>
  <c r="F12" i="202"/>
  <c r="E14" i="202"/>
  <c r="H13" i="202"/>
  <c r="G13" i="202"/>
  <c r="F13" i="202"/>
  <c r="J19" i="202"/>
  <c r="J18" i="199"/>
  <c r="J33" i="197"/>
  <c r="J42" i="161"/>
  <c r="E15" i="199"/>
  <c r="D21" i="199"/>
  <c r="D13" i="199"/>
  <c r="B15" i="199"/>
  <c r="J25" i="199"/>
  <c r="J29" i="199"/>
  <c r="J32" i="199"/>
  <c r="J35" i="199"/>
  <c r="J37" i="197"/>
  <c r="E8" i="197"/>
  <c r="D6" i="197"/>
  <c r="B8" i="197"/>
  <c r="J41" i="197"/>
  <c r="J44" i="197"/>
  <c r="I47" i="197"/>
  <c r="J47" i="197"/>
  <c r="J48" i="197"/>
  <c r="K48" i="197"/>
  <c r="J51" i="197"/>
  <c r="B72" i="197"/>
  <c r="E71" i="197"/>
  <c r="B69" i="197"/>
  <c r="E68" i="197"/>
  <c r="I53" i="197"/>
  <c r="J53" i="197"/>
  <c r="J54" i="197"/>
  <c r="I56" i="197"/>
  <c r="J56" i="197"/>
  <c r="J57" i="197"/>
  <c r="I59" i="197"/>
  <c r="J59" i="197"/>
  <c r="J60" i="197"/>
  <c r="I62" i="197"/>
  <c r="J62" i="197"/>
  <c r="J63" i="197"/>
  <c r="I65" i="197"/>
  <c r="J65" i="197"/>
  <c r="J66" i="197"/>
  <c r="J33" i="42"/>
  <c r="D13" i="195"/>
  <c r="B6" i="195"/>
  <c r="J18" i="150"/>
  <c r="J16" i="184"/>
  <c r="J12" i="184"/>
  <c r="J4" i="195"/>
  <c r="J6" i="195"/>
  <c r="J8" i="195"/>
  <c r="J10" i="195"/>
  <c r="I4" i="195"/>
  <c r="I6" i="195"/>
  <c r="I8" i="195"/>
  <c r="I10" i="195"/>
  <c r="F16" i="161"/>
  <c r="F18" i="161"/>
  <c r="F20" i="161"/>
  <c r="F22" i="161"/>
  <c r="F24" i="161"/>
  <c r="F26" i="161"/>
  <c r="F28" i="161"/>
  <c r="F30" i="161"/>
  <c r="F32" i="161"/>
  <c r="I14" i="161"/>
  <c r="E18" i="161"/>
  <c r="D16" i="161"/>
  <c r="J38" i="161"/>
  <c r="D22" i="46"/>
  <c r="B24" i="46"/>
  <c r="E24" i="46"/>
  <c r="H14" i="195"/>
  <c r="G14" i="195"/>
  <c r="F14" i="195"/>
  <c r="J22" i="46"/>
  <c r="J24" i="46"/>
  <c r="J26" i="46"/>
  <c r="I22" i="46"/>
  <c r="I24" i="46"/>
  <c r="I26" i="46"/>
  <c r="K31" i="206"/>
  <c r="J27" i="206"/>
  <c r="K27" i="206"/>
  <c r="E20" i="206"/>
  <c r="D18" i="206"/>
  <c r="B20" i="206"/>
  <c r="I18" i="157"/>
  <c r="J18" i="157"/>
  <c r="I17" i="157"/>
  <c r="J17" i="157"/>
  <c r="D8" i="195"/>
  <c r="B10" i="195"/>
  <c r="E10" i="195"/>
  <c r="D10" i="195"/>
  <c r="I13" i="202"/>
  <c r="J13" i="202"/>
  <c r="I12" i="202"/>
  <c r="J12" i="202"/>
  <c r="D15" i="199"/>
  <c r="E69" i="197"/>
  <c r="H68" i="197"/>
  <c r="G68" i="197"/>
  <c r="F68" i="197"/>
  <c r="E72" i="197"/>
  <c r="H71" i="197"/>
  <c r="G71" i="197"/>
  <c r="F71" i="197"/>
  <c r="K51" i="197"/>
  <c r="K54" i="197"/>
  <c r="K57" i="197"/>
  <c r="K60" i="197"/>
  <c r="K63" i="197"/>
  <c r="K66" i="197"/>
  <c r="E10" i="197"/>
  <c r="D8" i="197"/>
  <c r="B10" i="197"/>
  <c r="B15" i="195"/>
  <c r="E13" i="195"/>
  <c r="D18" i="161"/>
  <c r="E20" i="161"/>
  <c r="I16" i="161"/>
  <c r="I18" i="161"/>
  <c r="I20" i="161"/>
  <c r="I22" i="161"/>
  <c r="I24" i="161"/>
  <c r="I26" i="161"/>
  <c r="I28" i="161"/>
  <c r="I30" i="161"/>
  <c r="I32" i="161"/>
  <c r="J14" i="161"/>
  <c r="J16" i="161"/>
  <c r="J18" i="161"/>
  <c r="J20" i="161"/>
  <c r="J22" i="161"/>
  <c r="J24" i="161"/>
  <c r="J26" i="161"/>
  <c r="J28" i="161"/>
  <c r="J30" i="161"/>
  <c r="J32" i="161"/>
  <c r="D24" i="46"/>
  <c r="B26" i="46"/>
  <c r="E26" i="46"/>
  <c r="D26" i="46"/>
  <c r="I14" i="195"/>
  <c r="J14" i="195"/>
  <c r="E22" i="206"/>
  <c r="D20" i="206"/>
  <c r="J19" i="157"/>
  <c r="J20" i="157"/>
  <c r="J14" i="202"/>
  <c r="J15" i="202"/>
  <c r="D10" i="197"/>
  <c r="I71" i="197"/>
  <c r="J71" i="197"/>
  <c r="J72" i="197"/>
  <c r="I68" i="197"/>
  <c r="J68" i="197"/>
  <c r="J69" i="197"/>
  <c r="K69" i="197"/>
  <c r="K72" i="197"/>
  <c r="H13" i="195"/>
  <c r="G13" i="195"/>
  <c r="F13" i="195"/>
  <c r="E15" i="195"/>
  <c r="D20" i="161"/>
  <c r="E22" i="161"/>
  <c r="E24" i="206"/>
  <c r="D22" i="206"/>
  <c r="B24" i="206"/>
  <c r="I13" i="195"/>
  <c r="J13" i="195"/>
  <c r="J15" i="195"/>
  <c r="J16" i="195"/>
  <c r="D22" i="161"/>
  <c r="E24" i="161"/>
  <c r="D24" i="206"/>
  <c r="D24" i="161"/>
  <c r="B26" i="161"/>
  <c r="E26" i="161"/>
  <c r="E28" i="161"/>
  <c r="B22" i="206"/>
  <c r="D28" i="161"/>
  <c r="B30" i="161"/>
  <c r="E30" i="161"/>
  <c r="D26" i="161"/>
  <c r="B28" i="161"/>
  <c r="D30" i="161"/>
  <c r="B32" i="161"/>
  <c r="E32" i="161"/>
  <c r="D32" i="161"/>
  <c r="E16" i="194" l="1"/>
  <c r="D16" i="194" s="1"/>
  <c r="H15" i="194"/>
  <c r="H16" i="194" s="1"/>
  <c r="G15" i="194"/>
  <c r="G16" i="194" s="1"/>
  <c r="F15" i="194"/>
  <c r="B13" i="196"/>
  <c r="B6" i="196"/>
  <c r="C6" i="196"/>
  <c r="E8" i="196"/>
  <c r="H7" i="196"/>
  <c r="H8" i="196" s="1"/>
  <c r="G7" i="196"/>
  <c r="G8" i="196" s="1"/>
  <c r="F7" i="196"/>
  <c r="E44" i="57"/>
  <c r="D44" i="57" s="1"/>
  <c r="H43" i="57"/>
  <c r="H44" i="57" s="1"/>
  <c r="G43" i="57"/>
  <c r="G44" i="57" s="1"/>
  <c r="F43" i="57"/>
  <c r="H42" i="57"/>
  <c r="G42" i="57"/>
  <c r="F42" i="57"/>
  <c r="E41" i="57"/>
  <c r="H40" i="57"/>
  <c r="G40" i="57"/>
  <c r="F40" i="57"/>
  <c r="H39" i="57"/>
  <c r="G39" i="57"/>
  <c r="F39" i="57"/>
  <c r="E38" i="57"/>
  <c r="E14" i="194"/>
  <c r="D14" i="194" s="1"/>
  <c r="H13" i="194"/>
  <c r="H14" i="194" s="1"/>
  <c r="G13" i="194"/>
  <c r="G14" i="194" s="1"/>
  <c r="F13" i="194"/>
  <c r="E4" i="207"/>
  <c r="D4" i="207" s="1"/>
  <c r="H2" i="207"/>
  <c r="G2" i="207"/>
  <c r="F2" i="207"/>
  <c r="H3" i="207"/>
  <c r="G3" i="207"/>
  <c r="F3" i="207"/>
  <c r="C7" i="207"/>
  <c r="J6" i="207"/>
  <c r="E8" i="203"/>
  <c r="D8" i="203" s="1"/>
  <c r="H7" i="203"/>
  <c r="H8" i="203" s="1"/>
  <c r="G7" i="203"/>
  <c r="G8" i="203" s="1"/>
  <c r="F7" i="203"/>
  <c r="F16" i="194" l="1"/>
  <c r="I15" i="194"/>
  <c r="I16" i="194" s="1"/>
  <c r="J15" i="194"/>
  <c r="J16" i="194" s="1"/>
  <c r="C8" i="196"/>
  <c r="D8" i="196" s="1"/>
  <c r="D6" i="196"/>
  <c r="B8" i="196" s="1"/>
  <c r="C12" i="196"/>
  <c r="E12" i="196" s="1"/>
  <c r="E11" i="196"/>
  <c r="F8" i="196"/>
  <c r="I7" i="196"/>
  <c r="I8" i="196" s="1"/>
  <c r="J7" i="196"/>
  <c r="J8" i="196" s="1"/>
  <c r="F44" i="57"/>
  <c r="I43" i="57"/>
  <c r="I44" i="57" s="1"/>
  <c r="J43" i="57"/>
  <c r="J44" i="57" s="1"/>
  <c r="I42" i="57"/>
  <c r="J42" i="57"/>
  <c r="I40" i="57"/>
  <c r="J40" i="57"/>
  <c r="I39" i="57"/>
  <c r="J39" i="57"/>
  <c r="H38" i="57"/>
  <c r="G38" i="57"/>
  <c r="F38" i="57"/>
  <c r="F14" i="194"/>
  <c r="I13" i="194"/>
  <c r="I14" i="194" s="1"/>
  <c r="J13" i="194"/>
  <c r="J14" i="194" s="1"/>
  <c r="C8" i="207"/>
  <c r="E8" i="207" s="1"/>
  <c r="E7" i="207"/>
  <c r="I3" i="207"/>
  <c r="J3" i="207"/>
  <c r="F4" i="207"/>
  <c r="I2" i="207"/>
  <c r="I4" i="207" s="1"/>
  <c r="J2" i="207"/>
  <c r="J4" i="207" s="1"/>
  <c r="G4" i="207"/>
  <c r="H4" i="207"/>
  <c r="F8" i="203"/>
  <c r="I7" i="203"/>
  <c r="I8" i="203" s="1"/>
  <c r="J7" i="203"/>
  <c r="J8" i="203" s="1"/>
  <c r="H11" i="196" l="1"/>
  <c r="G11" i="196"/>
  <c r="F11" i="196"/>
  <c r="I11" i="196" s="1"/>
  <c r="J11" i="196"/>
  <c r="E13" i="196"/>
  <c r="H12" i="196"/>
  <c r="G12" i="196"/>
  <c r="F12" i="196"/>
  <c r="I12" i="196" s="1"/>
  <c r="J12" i="196"/>
  <c r="J13" i="196" s="1"/>
  <c r="J14" i="196" s="1"/>
  <c r="J41" i="57"/>
  <c r="I38" i="57"/>
  <c r="H7" i="207"/>
  <c r="G7" i="207"/>
  <c r="F7" i="207"/>
  <c r="E9" i="207"/>
  <c r="H8" i="207"/>
  <c r="G8" i="207"/>
  <c r="F8" i="207"/>
  <c r="J38" i="57" l="1"/>
  <c r="I8" i="207"/>
  <c r="J8" i="207"/>
  <c r="I7" i="207"/>
  <c r="J7" i="207"/>
  <c r="J9" i="207" l="1"/>
  <c r="J10" i="207" s="1"/>
</calcChain>
</file>

<file path=xl/sharedStrings.xml><?xml version="1.0" encoding="utf-8"?>
<sst xmlns="http://schemas.openxmlformats.org/spreadsheetml/2006/main" count="421" uniqueCount="33">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</sst>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6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  <font>
      <b/>
      <sz val="12"/>
      <name val="Calibri"/>
      <family val="2"/>
    </font>
    <font>
      <b/>
      <sz val="12"/>
      <name val="Cordia New"/>
      <family val="2"/>
    </font>
    <font>
      <sz val="12"/>
      <name val="Calibri"/>
      <family val="2"/>
    </font>
    <font>
      <sz val="12"/>
      <color indexed="8"/>
      <name val="Calibri"/>
      <family val="2"/>
    </font>
    <font>
      <sz val="12"/>
      <color rgb="FF333333"/>
      <name val="Verdana"/>
      <family val="2"/>
    </font>
    <font>
      <sz val="12"/>
      <color indexed="8"/>
      <name val="Calibri"/>
      <family val="2"/>
      <charset val="22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  <xf numFmtId="193" fontId="20" fillId="0" borderId="0" xfId="0" applyNumberFormat="1" applyFont="1"/>
    <xf numFmtId="10" fontId="21" fillId="0" borderId="0" xfId="0" applyNumberFormat="1" applyFont="1"/>
    <xf numFmtId="3" fontId="20" fillId="0" borderId="0" xfId="0" applyNumberFormat="1" applyFont="1"/>
    <xf numFmtId="192" fontId="20" fillId="0" borderId="0" xfId="0" applyNumberFormat="1" applyFont="1"/>
    <xf numFmtId="188" fontId="22" fillId="0" borderId="0" xfId="0" applyNumberFormat="1" applyFont="1"/>
    <xf numFmtId="0" fontId="22" fillId="0" borderId="0" xfId="0" applyFont="1"/>
    <xf numFmtId="194" fontId="22" fillId="0" borderId="0" xfId="0" applyNumberFormat="1" applyFont="1"/>
    <xf numFmtId="187" fontId="22" fillId="0" borderId="0" xfId="0" applyNumberFormat="1" applyFont="1"/>
    <xf numFmtId="3" fontId="22" fillId="0" borderId="0" xfId="0" applyNumberFormat="1" applyFont="1"/>
    <xf numFmtId="189" fontId="22" fillId="0" borderId="0" xfId="0" applyNumberFormat="1" applyFont="1"/>
    <xf numFmtId="2" fontId="22" fillId="0" borderId="0" xfId="0" applyNumberFormat="1" applyFont="1"/>
    <xf numFmtId="10" fontId="22" fillId="0" borderId="0" xfId="0" applyNumberFormat="1" applyFont="1"/>
    <xf numFmtId="193" fontId="22" fillId="0" borderId="0" xfId="0" applyNumberFormat="1" applyFont="1"/>
    <xf numFmtId="10" fontId="7" fillId="0" borderId="0" xfId="0" applyNumberFormat="1" applyFont="1"/>
    <xf numFmtId="192" fontId="22" fillId="0" borderId="0" xfId="0" applyNumberFormat="1" applyFont="1"/>
    <xf numFmtId="187" fontId="23" fillId="0" borderId="0" xfId="0" applyNumberFormat="1" applyFont="1"/>
    <xf numFmtId="0" fontId="23" fillId="0" borderId="0" xfId="0" applyFont="1"/>
    <xf numFmtId="10" fontId="23" fillId="0" borderId="0" xfId="0" applyNumberFormat="1" applyFont="1"/>
    <xf numFmtId="4" fontId="24" fillId="0" borderId="0" xfId="0" applyNumberFormat="1" applyFont="1"/>
    <xf numFmtId="188" fontId="7" fillId="0" borderId="0" xfId="0" applyNumberFormat="1" applyFont="1"/>
    <xf numFmtId="191" fontId="22" fillId="0" borderId="0" xfId="0" applyNumberFormat="1" applyFont="1"/>
    <xf numFmtId="0" fontId="25" fillId="0" borderId="0" xfId="0" applyFont="1"/>
    <xf numFmtId="4" fontId="22" fillId="0" borderId="0" xfId="0" applyNumberFormat="1" applyFont="1"/>
    <xf numFmtId="190" fontId="22" fillId="0" borderId="0" xfId="0" applyNumberFormat="1" applyFont="1"/>
    <xf numFmtId="193" fontId="25" fillId="0" borderId="0" xfId="0" applyNumberFormat="1" applyFont="1"/>
    <xf numFmtId="191" fontId="25" fillId="0" borderId="0" xfId="0" applyNumberFormat="1" applyFont="1"/>
    <xf numFmtId="189" fontId="25" fillId="0" borderId="0" xfId="0" applyNumberFormat="1" applyFont="1"/>
    <xf numFmtId="0" fontId="20" fillId="0" borderId="0" xfId="0" applyFont="1"/>
    <xf numFmtId="191" fontId="20" fillId="0" borderId="0" xfId="0" applyNumberFormat="1" applyFont="1"/>
    <xf numFmtId="189" fontId="20" fillId="0" borderId="0" xfId="0" applyNumberFormat="1" applyFont="1"/>
    <xf numFmtId="187" fontId="20" fillId="0" borderId="0" xfId="0" applyNumberFormat="1" applyFont="1"/>
    <xf numFmtId="188" fontId="2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88" workbookViewId="0">
      <selection activeCell="D42" sqref="D4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6.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>
      <c r="A3" s="39">
        <v>44476</v>
      </c>
      <c r="B3" s="15" t="s">
        <v>1</v>
      </c>
      <c r="C3" s="87">
        <v>2400</v>
      </c>
      <c r="D3" s="68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>
      <c r="A4" s="69"/>
      <c r="B4" s="7">
        <f>(D3-D2)/D2</f>
        <v>-3.0864197530864196E-2</v>
      </c>
      <c r="C4" s="5">
        <f>SUM(C2:C3)</f>
        <v>6000</v>
      </c>
      <c r="D4" s="70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>
      <c r="A5" s="39">
        <v>44502</v>
      </c>
      <c r="B5" s="15" t="s">
        <v>2</v>
      </c>
      <c r="C5" s="16">
        <v>4000</v>
      </c>
      <c r="D5" s="68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>
      <c r="A6" s="39">
        <v>44529</v>
      </c>
      <c r="B6" s="15" t="s">
        <v>2</v>
      </c>
      <c r="C6" s="16">
        <v>3000</v>
      </c>
      <c r="D6" s="68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>
      <c r="A7" s="39">
        <v>44538</v>
      </c>
      <c r="B7" s="15" t="s">
        <v>2</v>
      </c>
      <c r="C7" s="16">
        <v>2000</v>
      </c>
      <c r="D7" s="68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>
      <c r="A8" s="39">
        <v>44544</v>
      </c>
      <c r="B8" s="15" t="s">
        <v>1</v>
      </c>
      <c r="C8" s="87">
        <v>2000</v>
      </c>
      <c r="D8" s="68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>
      <c r="A9" s="69"/>
      <c r="B9" s="7">
        <f>(D8-D7)/D7</f>
        <v>0.15</v>
      </c>
      <c r="C9" s="5">
        <f>SUM(C7:C8)</f>
        <v>4000</v>
      </c>
      <c r="D9" s="70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>
      <c r="A10" s="39">
        <v>44545</v>
      </c>
      <c r="B10" s="15" t="s">
        <v>1</v>
      </c>
      <c r="C10" s="87">
        <v>1000</v>
      </c>
      <c r="D10" s="68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>
      <c r="A11" s="69"/>
      <c r="B11" s="7">
        <f>(D10-D9)/D9</f>
        <v>5.8139534883720929E-2</v>
      </c>
      <c r="C11" s="5">
        <f>SUM(C9:C10)</f>
        <v>5000</v>
      </c>
      <c r="D11" s="70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>
      <c r="A12" s="39">
        <v>44558</v>
      </c>
      <c r="B12" s="15" t="s">
        <v>2</v>
      </c>
      <c r="C12" s="16">
        <v>4000</v>
      </c>
      <c r="D12" s="68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>
      <c r="A13" s="49">
        <v>44579</v>
      </c>
      <c r="B13" s="15" t="s">
        <v>1</v>
      </c>
      <c r="C13" s="87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>
      <c r="A14" s="54"/>
      <c r="B14" s="73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>
      <c r="A15" s="49">
        <v>44601</v>
      </c>
      <c r="B15" s="15" t="s">
        <v>1</v>
      </c>
      <c r="C15" s="87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>
      <c r="A16" s="54"/>
      <c r="B16" s="73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>
      <c r="A17" s="49">
        <v>44603</v>
      </c>
      <c r="B17" s="15" t="s">
        <v>1</v>
      </c>
      <c r="C17" s="87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>
      <c r="A18" s="54"/>
      <c r="B18" s="73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>
      <c r="A19" s="49">
        <v>44623</v>
      </c>
      <c r="B19" s="15" t="s">
        <v>1</v>
      </c>
      <c r="C19" s="87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>
      <c r="A20" s="54"/>
      <c r="B20" s="73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>
      <c r="A21" s="49">
        <v>44638</v>
      </c>
      <c r="B21" s="15" t="s">
        <v>1</v>
      </c>
      <c r="C21" s="87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>
      <c r="A22" s="95"/>
      <c r="B22" s="96">
        <f>(D21-D28)/D28</f>
        <v>-0.12767624020887736</v>
      </c>
      <c r="C22" s="97">
        <f>SUM(C20:C21)</f>
        <v>12000</v>
      </c>
      <c r="D22" s="98">
        <f>E22/C22</f>
        <v>74.5625</v>
      </c>
      <c r="E22" s="97">
        <f t="shared" ref="E22:J22" si="7">SUM(E20:E21)</f>
        <v>894750</v>
      </c>
      <c r="F22" s="97">
        <f t="shared" si="7"/>
        <v>1789.5</v>
      </c>
      <c r="G22" s="97">
        <f t="shared" si="7"/>
        <v>53.684999999999995</v>
      </c>
      <c r="H22" s="97">
        <f t="shared" si="7"/>
        <v>8.9475000000000016</v>
      </c>
      <c r="I22" s="97">
        <f t="shared" si="7"/>
        <v>129.64927499999999</v>
      </c>
      <c r="J22" s="97">
        <f t="shared" si="7"/>
        <v>896731.78177500004</v>
      </c>
    </row>
    <row r="23" spans="1:11">
      <c r="A23" s="49">
        <v>44658</v>
      </c>
      <c r="B23" s="15" t="s">
        <v>1</v>
      </c>
      <c r="C23" s="87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>
      <c r="A24" s="54"/>
      <c r="B24" s="73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>
      <c r="A25" s="49">
        <v>44726</v>
      </c>
      <c r="B25" s="15" t="s">
        <v>1</v>
      </c>
      <c r="C25" s="87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>
      <c r="A28" s="49">
        <v>44957</v>
      </c>
      <c r="B28" s="73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>
      <c r="A29" s="49">
        <v>44658</v>
      </c>
      <c r="B29" s="15" t="s">
        <v>1</v>
      </c>
      <c r="C29" s="87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>
      <c r="A32" s="54"/>
      <c r="B32" s="73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>
      <c r="A33" s="49">
        <v>44638</v>
      </c>
      <c r="B33" s="15" t="s">
        <v>1</v>
      </c>
      <c r="C33" s="87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>
      <c r="A36" s="49">
        <v>44965</v>
      </c>
      <c r="B36" s="73" t="s">
        <v>2</v>
      </c>
      <c r="C36" s="87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>
      <c r="A37" s="49">
        <v>44623</v>
      </c>
      <c r="B37" s="15" t="s">
        <v>1</v>
      </c>
      <c r="C37" s="87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1" customFormat="1" ht="15.7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99"/>
      <c r="L40" s="100"/>
      <c r="M40" s="100"/>
      <c r="N40" s="100"/>
      <c r="O40" s="100"/>
    </row>
    <row r="41" spans="1:15">
      <c r="A41" s="55">
        <v>44603</v>
      </c>
      <c r="B41" s="13" t="s">
        <v>1</v>
      </c>
      <c r="C41" s="90">
        <v>1000</v>
      </c>
      <c r="D41" s="46">
        <v>44.25</v>
      </c>
      <c r="E41" s="20">
        <f>C41*D41</f>
        <v>44250</v>
      </c>
      <c r="F41" s="20">
        <f>E41*0.002</f>
        <v>88.5</v>
      </c>
      <c r="G41" s="20">
        <f>E41*0.00006</f>
        <v>2.6550000000000002</v>
      </c>
      <c r="H41" s="20">
        <f>E41*0.00001</f>
        <v>0.44250000000000006</v>
      </c>
      <c r="I41" s="20">
        <f>(F41+G41+H41)*0.07</f>
        <v>6.4118250000000003</v>
      </c>
      <c r="J41" s="20">
        <f>E41+F41+I41+G41+H41</f>
        <v>44348.009324999999</v>
      </c>
    </row>
    <row r="42" spans="1:15">
      <c r="B42" s="3">
        <f>(D41-D40)/D40</f>
        <v>-0.42718446601941745</v>
      </c>
      <c r="C42" s="2">
        <f>SUM(C40:C41)</f>
        <v>11000</v>
      </c>
      <c r="D42" s="47">
        <f>E42/C42</f>
        <v>74.25</v>
      </c>
      <c r="E42" s="2">
        <f t="shared" ref="E42:J42" si="9">SUM(E40:E41)</f>
        <v>816750</v>
      </c>
      <c r="F42" s="2">
        <f t="shared" si="9"/>
        <v>1633.5</v>
      </c>
      <c r="G42" s="2">
        <f t="shared" si="9"/>
        <v>49.005000000000003</v>
      </c>
      <c r="H42" s="2">
        <f t="shared" si="9"/>
        <v>8.1675000000000022</v>
      </c>
      <c r="I42" s="2">
        <f t="shared" si="9"/>
        <v>118.34707499999999</v>
      </c>
      <c r="J42" s="2">
        <f t="shared" si="9"/>
        <v>818559.01957499993</v>
      </c>
    </row>
    <row r="43" spans="1:15" s="19" customFormat="1" ht="16.5">
      <c r="A43" s="55"/>
      <c r="B43" s="13"/>
      <c r="C43" s="10"/>
      <c r="D43" s="46"/>
      <c r="E43" s="20"/>
      <c r="F43" s="20"/>
      <c r="G43" s="20"/>
      <c r="H43" s="20"/>
      <c r="I43" s="20"/>
      <c r="J43" s="20"/>
      <c r="K43" s="56"/>
      <c r="L43" s="57"/>
      <c r="M43" s="57"/>
      <c r="N43" s="57"/>
      <c r="O43" s="57"/>
    </row>
    <row r="44" spans="1:15" s="13" customFormat="1">
      <c r="A44" s="55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5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6.5">
      <c r="A46" s="55"/>
      <c r="B46" s="13"/>
      <c r="C46" s="10"/>
      <c r="D46" s="46"/>
      <c r="E46" s="20"/>
      <c r="F46" s="20"/>
      <c r="G46" s="20"/>
      <c r="H46" s="20"/>
      <c r="I46" s="20"/>
      <c r="J46" s="20"/>
      <c r="K46" s="56"/>
      <c r="L46" s="57"/>
      <c r="M46" s="57"/>
      <c r="N46" s="57"/>
      <c r="O46" s="57"/>
    </row>
    <row r="47" spans="1:15" s="13" customFormat="1">
      <c r="A47" s="55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5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6.5">
      <c r="A49" s="55"/>
      <c r="B49" s="13"/>
      <c r="C49" s="10"/>
      <c r="D49" s="46"/>
      <c r="E49" s="20"/>
      <c r="F49" s="20"/>
      <c r="G49" s="20"/>
      <c r="H49" s="20"/>
      <c r="I49" s="20"/>
      <c r="J49" s="20"/>
      <c r="K49" s="56"/>
      <c r="L49" s="57"/>
      <c r="M49" s="57"/>
      <c r="N49" s="57"/>
      <c r="O49" s="57"/>
    </row>
    <row r="50" spans="1:15" s="13" customFormat="1">
      <c r="A50" s="55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5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6.5">
      <c r="A52" s="55"/>
      <c r="B52" s="13"/>
      <c r="C52" s="10"/>
      <c r="D52" s="46"/>
      <c r="E52" s="20"/>
      <c r="F52" s="20"/>
      <c r="G52" s="20"/>
      <c r="H52" s="20"/>
      <c r="I52" s="20"/>
      <c r="J52" s="20"/>
      <c r="K52" s="56"/>
      <c r="L52" s="57"/>
      <c r="M52" s="57"/>
      <c r="N52" s="57"/>
      <c r="O52" s="57"/>
    </row>
    <row r="53" spans="1:15" s="13" customFormat="1">
      <c r="A53" s="55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5"/>
      <c r="B54" s="25"/>
      <c r="C54" s="10"/>
      <c r="D54" s="11"/>
      <c r="E54" s="20"/>
      <c r="F54" s="20"/>
      <c r="G54" s="20"/>
      <c r="H54" s="20"/>
      <c r="I54" s="20"/>
      <c r="J54" s="20"/>
      <c r="K54" s="91"/>
    </row>
    <row r="55" spans="1:15" s="19" customFormat="1" ht="16.5">
      <c r="A55" s="55"/>
      <c r="B55" s="13"/>
      <c r="C55" s="10"/>
      <c r="D55" s="46"/>
      <c r="E55" s="20"/>
      <c r="F55" s="20"/>
      <c r="G55" s="20"/>
      <c r="H55" s="20"/>
      <c r="I55" s="20"/>
      <c r="J55" s="20"/>
      <c r="K55" s="56"/>
      <c r="L55" s="57"/>
      <c r="M55" s="57"/>
      <c r="N55" s="57"/>
      <c r="O55" s="57"/>
    </row>
    <row r="56" spans="1:15" s="13" customFormat="1">
      <c r="A56" s="55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5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6.5">
      <c r="A58" s="55"/>
      <c r="B58" s="13"/>
      <c r="C58" s="10"/>
      <c r="D58" s="46"/>
      <c r="E58" s="20"/>
      <c r="F58" s="20"/>
      <c r="G58" s="20"/>
      <c r="H58" s="20"/>
      <c r="I58" s="20"/>
      <c r="J58" s="20"/>
      <c r="K58" s="56"/>
      <c r="L58" s="57"/>
      <c r="M58" s="57"/>
      <c r="N58" s="57"/>
      <c r="O58" s="57"/>
    </row>
    <row r="59" spans="1:15" s="13" customFormat="1">
      <c r="A59" s="55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5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5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5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8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5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8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5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8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5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89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89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89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89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8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89"/>
      <c r="B22" s="7">
        <f>(D21-D20)/D20</f>
        <v>-0.11235955056179775</v>
      </c>
      <c r="C22" s="5">
        <f>SUM(C20:C21)</f>
        <v>6000</v>
      </c>
      <c r="D22" s="70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8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>
      <c r="A26" s="49">
        <v>44943</v>
      </c>
      <c r="B26" s="7" t="s">
        <v>6</v>
      </c>
      <c r="C26" s="5">
        <v>6000</v>
      </c>
      <c r="D26" s="70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6.5">
      <c r="A27" s="55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6"/>
      <c r="L27" s="57"/>
      <c r="M27" s="57"/>
      <c r="N27" s="57"/>
      <c r="O27" s="57"/>
    </row>
    <row r="28" spans="1:1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6"/>
      <c r="L28" s="57"/>
      <c r="M28" s="57"/>
      <c r="N28" s="58"/>
      <c r="O28" s="58"/>
    </row>
    <row r="29" spans="1:15" s="21" customFormat="1">
      <c r="A29" s="89"/>
      <c r="B29" s="7"/>
      <c r="C29" s="5"/>
      <c r="D29" s="70"/>
      <c r="E29" s="5"/>
      <c r="F29" s="5"/>
      <c r="G29" s="5"/>
      <c r="H29" s="5"/>
      <c r="I29" s="5"/>
      <c r="J29" s="5"/>
      <c r="L29" s="25"/>
    </row>
    <row r="30" spans="1:15" s="21" customFormat="1">
      <c r="A30" s="89"/>
      <c r="B30" s="7"/>
      <c r="C30" s="5"/>
      <c r="D30" s="70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8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5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6"/>
      <c r="L36" s="57"/>
      <c r="M36" s="57"/>
      <c r="N36" s="57"/>
      <c r="O36" s="57"/>
    </row>
    <row r="37" spans="1:15" s="13" customFormat="1">
      <c r="A37" s="55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5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6"/>
      <c r="L39" s="57"/>
      <c r="M39" s="57"/>
      <c r="N39" s="57"/>
      <c r="O39" s="57"/>
    </row>
    <row r="40" spans="1:15" s="13" customFormat="1">
      <c r="A40" s="55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5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5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6"/>
      <c r="L42" s="57"/>
      <c r="M42" s="57"/>
      <c r="N42" s="57"/>
      <c r="O42" s="57"/>
    </row>
    <row r="43" spans="1:15" s="13" customFormat="1">
      <c r="A43" s="55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5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5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6"/>
      <c r="L45" s="57"/>
      <c r="M45" s="57"/>
      <c r="N45" s="57"/>
      <c r="O45" s="57"/>
    </row>
    <row r="46" spans="1:15" s="13" customFormat="1">
      <c r="A46" s="55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5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5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6"/>
      <c r="L48" s="57"/>
      <c r="M48" s="57"/>
      <c r="N48" s="57"/>
      <c r="O48" s="57"/>
    </row>
    <row r="49" spans="1:11" s="13" customFormat="1">
      <c r="A49" s="55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5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4.25"/>
  <cols>
    <col min="1" max="1" width="10.625" style="8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6.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6"/>
      <c r="L3" s="57"/>
      <c r="M3" s="57"/>
      <c r="N3" s="57"/>
      <c r="O3" s="57"/>
    </row>
    <row r="4" spans="1:15" s="1" customFormat="1">
      <c r="A4" s="54"/>
      <c r="B4" s="73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6"/>
      <c r="L4" s="57"/>
      <c r="M4" s="57"/>
      <c r="N4" s="58"/>
      <c r="O4" s="58"/>
    </row>
    <row r="5" spans="1:15" s="19" customFormat="1" ht="16.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6"/>
      <c r="L5" s="57"/>
      <c r="M5" s="57"/>
      <c r="N5" s="57"/>
      <c r="O5" s="57"/>
    </row>
    <row r="6" spans="1:15" s="1" customFormat="1">
      <c r="A6" s="54"/>
      <c r="B6" s="73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6"/>
      <c r="L6" s="57"/>
      <c r="M6" s="57"/>
      <c r="N6" s="58"/>
      <c r="O6" s="58"/>
    </row>
    <row r="7" spans="1:15" s="19" customFormat="1" ht="16.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6"/>
      <c r="L7" s="57"/>
      <c r="M7" s="57"/>
      <c r="N7" s="57"/>
      <c r="O7" s="57"/>
    </row>
    <row r="8" spans="1:15" s="1" customFormat="1">
      <c r="A8" s="54"/>
      <c r="B8" s="73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6"/>
      <c r="L8" s="57"/>
      <c r="M8" s="57"/>
      <c r="N8" s="58"/>
      <c r="O8" s="58"/>
    </row>
    <row r="9" spans="1:15" s="19" customFormat="1" ht="16.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6"/>
      <c r="L9" s="57"/>
      <c r="M9" s="57"/>
      <c r="N9" s="57"/>
      <c r="O9" s="57"/>
    </row>
    <row r="10" spans="1:15" s="1" customFormat="1">
      <c r="A10" s="54"/>
      <c r="B10" s="73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6"/>
      <c r="L10" s="57"/>
      <c r="M10" s="57"/>
      <c r="N10" s="58"/>
      <c r="O10" s="58"/>
    </row>
    <row r="11" spans="1:15" s="19" customFormat="1" ht="16.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6"/>
      <c r="L11" s="57"/>
      <c r="M11" s="57"/>
      <c r="N11" s="57"/>
      <c r="O11" s="57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>
      <c r="A14" s="50"/>
      <c r="B14" s="73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6"/>
      <c r="L14" s="57"/>
      <c r="M14" s="57"/>
      <c r="N14" s="58"/>
      <c r="O14" s="58"/>
    </row>
    <row r="15" spans="1:15" s="1" customFormat="1">
      <c r="A15" s="50">
        <v>44462</v>
      </c>
      <c r="B15" s="73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6"/>
      <c r="L15" s="57"/>
      <c r="M15" s="57"/>
      <c r="N15" s="58"/>
      <c r="O15" s="58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>
      <c r="A18" s="50"/>
      <c r="B18" s="73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6"/>
      <c r="L18" s="57"/>
      <c r="M18" s="57"/>
      <c r="N18" s="58"/>
      <c r="O18" s="58"/>
    </row>
    <row r="19" spans="1:15" s="19" customFormat="1" ht="16.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6"/>
      <c r="L19" s="57"/>
      <c r="M19" s="57"/>
      <c r="N19" s="57"/>
      <c r="O19" s="57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>
      <c r="A22" s="49">
        <v>44951</v>
      </c>
      <c r="B22" s="73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6"/>
      <c r="L22" s="57"/>
      <c r="M22" s="57"/>
      <c r="N22" s="58"/>
      <c r="O22" s="58"/>
    </row>
    <row r="23" spans="1:15" s="19" customFormat="1" ht="16.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6"/>
      <c r="L23" s="57"/>
      <c r="M23" s="57"/>
      <c r="N23" s="57"/>
      <c r="O23" s="57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>
      <c r="A26" s="54"/>
      <c r="B26" s="73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6"/>
      <c r="L26" s="57"/>
      <c r="M26" s="57"/>
      <c r="N26" s="58"/>
      <c r="O26" s="58"/>
    </row>
    <row r="27" spans="1:15" s="19" customFormat="1" ht="16.5">
      <c r="A27" s="55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6"/>
      <c r="L27" s="57"/>
      <c r="M27" s="57"/>
      <c r="N27" s="57"/>
      <c r="O27" s="57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6"/>
      <c r="L28" s="57"/>
      <c r="M28" s="57"/>
      <c r="N28" s="58"/>
      <c r="O28" s="58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>
      <c r="A30" s="54"/>
      <c r="B30" s="73"/>
      <c r="C30" s="51"/>
      <c r="D30" s="52"/>
      <c r="E30" s="51"/>
      <c r="F30" s="51"/>
      <c r="G30" s="51"/>
      <c r="H30" s="51"/>
      <c r="I30" s="51"/>
      <c r="J30" s="51"/>
      <c r="K30" s="56"/>
      <c r="L30" s="57"/>
      <c r="M30" s="57"/>
      <c r="N30" s="58"/>
      <c r="O30" s="58"/>
    </row>
    <row r="31" spans="1:15" s="19" customFormat="1" ht="16.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6"/>
      <c r="L31" s="57"/>
      <c r="M31" s="57"/>
      <c r="N31" s="57"/>
      <c r="O31" s="57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6"/>
      <c r="L34" s="57"/>
      <c r="M34" s="57"/>
      <c r="N34" s="58"/>
      <c r="O34" s="58"/>
    </row>
    <row r="35" spans="1:15" s="19" customFormat="1" ht="16.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6"/>
      <c r="L35" s="57"/>
      <c r="M35" s="57"/>
      <c r="N35" s="57"/>
      <c r="O35" s="57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5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5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5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5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5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5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5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>
      <c r="A45" s="50"/>
      <c r="D45" s="47"/>
      <c r="J45" s="53"/>
    </row>
    <row r="46" spans="1:15" s="19" customFormat="1" ht="16.5">
      <c r="A46" s="55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6"/>
      <c r="L46" s="57"/>
      <c r="M46" s="57"/>
      <c r="N46" s="57"/>
      <c r="O46" s="57"/>
    </row>
    <row r="47" spans="1:15" s="13" customFormat="1">
      <c r="A47" s="55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5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6.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6"/>
      <c r="L49" s="57"/>
      <c r="M49" s="57"/>
      <c r="N49" s="57"/>
      <c r="O49" s="57"/>
    </row>
    <row r="50" spans="1:15" s="13" customFormat="1">
      <c r="A50" s="55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5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6.5">
      <c r="A52" s="55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6"/>
      <c r="L52" s="57"/>
      <c r="M52" s="57"/>
      <c r="N52" s="57"/>
      <c r="O52" s="57"/>
    </row>
    <row r="53" spans="1:15" s="13" customFormat="1">
      <c r="A53" s="55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5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6.5">
      <c r="A55" s="55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6"/>
      <c r="L55" s="57"/>
      <c r="M55" s="57"/>
      <c r="N55" s="57"/>
      <c r="O55" s="57"/>
    </row>
    <row r="56" spans="1:15" s="13" customFormat="1">
      <c r="A56" s="55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5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6.5">
      <c r="A58" s="55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6"/>
      <c r="L58" s="57"/>
      <c r="M58" s="57"/>
      <c r="N58" s="57"/>
      <c r="O58" s="57"/>
    </row>
    <row r="59" spans="1:15" s="13" customFormat="1">
      <c r="A59" s="55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5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6.5">
      <c r="A61" s="55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6"/>
      <c r="L61" s="57"/>
      <c r="M61" s="57"/>
      <c r="N61" s="57"/>
      <c r="O61" s="57"/>
    </row>
    <row r="62" spans="1:15" s="13" customFormat="1">
      <c r="A62" s="55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0">
        <f>K59+C62</f>
        <v>15000</v>
      </c>
    </row>
    <row r="63" spans="1:15" s="31" customFormat="1" ht="18.75">
      <c r="A63" s="55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6.5">
      <c r="A64" s="55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6"/>
      <c r="L64" s="57"/>
      <c r="M64" s="57"/>
      <c r="N64" s="57"/>
      <c r="O64" s="57"/>
    </row>
    <row r="65" spans="1:15" s="13" customFormat="1">
      <c r="A65" s="55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5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6.5">
      <c r="A67" s="55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6"/>
      <c r="L67" s="57"/>
      <c r="M67" s="57"/>
      <c r="N67" s="57"/>
      <c r="O67" s="57"/>
    </row>
    <row r="68" spans="1:15" s="13" customFormat="1">
      <c r="A68" s="55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5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6.5">
      <c r="A70" s="55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6"/>
      <c r="L70" s="57"/>
      <c r="M70" s="57"/>
      <c r="N70" s="57"/>
      <c r="O70" s="57"/>
    </row>
    <row r="71" spans="1:15" s="13" customFormat="1">
      <c r="A71" s="55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5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824FF-B02C-4578-B01E-5589DADB9D1A}">
  <dimension ref="A1:N10"/>
  <sheetViews>
    <sheetView workbookViewId="0">
      <selection activeCell="Q15" sqref="Q15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44973</v>
      </c>
      <c r="B2" s="15" t="s">
        <v>1</v>
      </c>
      <c r="C2" s="16">
        <v>4500</v>
      </c>
      <c r="D2" s="41">
        <v>31</v>
      </c>
      <c r="E2" s="18">
        <f>C2*D2</f>
        <v>139500</v>
      </c>
      <c r="F2" s="18">
        <f>E2*0.002</f>
        <v>279</v>
      </c>
      <c r="G2" s="18">
        <f>E2*0.00006</f>
        <v>8.370000000000001</v>
      </c>
      <c r="H2" s="18">
        <f>E2*0.00001</f>
        <v>1.395</v>
      </c>
      <c r="I2" s="18">
        <f>(F2+G2+H2)*0.07</f>
        <v>20.213550000000001</v>
      </c>
      <c r="J2" s="18">
        <f>E2+F2+I2+G2+H2</f>
        <v>139808.97854999997</v>
      </c>
    </row>
    <row r="3" spans="1:14" s="13" customFormat="1">
      <c r="A3" s="66">
        <v>44473</v>
      </c>
      <c r="B3" s="13" t="s">
        <v>1</v>
      </c>
      <c r="C3" s="10">
        <v>4500</v>
      </c>
      <c r="D3" s="11">
        <v>28</v>
      </c>
      <c r="E3" s="20">
        <f>C3*D3</f>
        <v>126000</v>
      </c>
      <c r="F3" s="20">
        <f>E3*0.002</f>
        <v>252</v>
      </c>
      <c r="G3" s="20">
        <f>E3*0.00006</f>
        <v>7.5600000000000005</v>
      </c>
      <c r="H3" s="20">
        <f>E3*0.00001</f>
        <v>1.26</v>
      </c>
      <c r="I3" s="20">
        <f>(F3+G3+H3)*0.07</f>
        <v>18.257400000000001</v>
      </c>
      <c r="J3" s="20">
        <f>E3+F3+I3+G3+H3</f>
        <v>126279.07739999999</v>
      </c>
      <c r="K3" s="32"/>
      <c r="L3" s="11"/>
      <c r="M3" s="12"/>
    </row>
    <row r="4" spans="1:14" s="62" customFormat="1" ht="21.75">
      <c r="A4" s="55"/>
      <c r="B4" s="75">
        <f>(D3-D2)/D2</f>
        <v>-9.6774193548387094E-2</v>
      </c>
      <c r="C4" s="10">
        <f>SUM(C2:C3)</f>
        <v>9000</v>
      </c>
      <c r="D4" s="63">
        <f>E4/C4</f>
        <v>29.5</v>
      </c>
      <c r="E4" s="10">
        <f t="shared" ref="E4:J4" si="0">SUM(E2:E3)</f>
        <v>265500</v>
      </c>
      <c r="F4" s="10">
        <f t="shared" si="0"/>
        <v>531</v>
      </c>
      <c r="G4" s="10">
        <f t="shared" si="0"/>
        <v>15.930000000000001</v>
      </c>
      <c r="H4" s="10">
        <f t="shared" si="0"/>
        <v>2.6550000000000002</v>
      </c>
      <c r="I4" s="10">
        <f t="shared" si="0"/>
        <v>38.470950000000002</v>
      </c>
      <c r="J4" s="10">
        <f t="shared" si="0"/>
        <v>266088.05594999995</v>
      </c>
      <c r="K4" s="11"/>
      <c r="L4" s="13"/>
      <c r="M4" s="61"/>
      <c r="N4" s="61"/>
    </row>
    <row r="6" spans="1:14" s="62" customFormat="1" ht="21.75">
      <c r="A6" s="55">
        <v>44985</v>
      </c>
      <c r="C6" s="10">
        <f>C2</f>
        <v>4500</v>
      </c>
      <c r="D6" s="63">
        <v>1.44</v>
      </c>
      <c r="E6" s="59">
        <v>0</v>
      </c>
      <c r="F6" s="32">
        <v>0</v>
      </c>
      <c r="G6" s="59">
        <v>0</v>
      </c>
      <c r="H6" s="11">
        <f>G6-E6</f>
        <v>0</v>
      </c>
      <c r="I6" s="12">
        <v>0</v>
      </c>
      <c r="J6" s="60">
        <f>C6*D6</f>
        <v>6480</v>
      </c>
      <c r="K6" s="11"/>
      <c r="L6" s="13"/>
      <c r="M6" s="61"/>
      <c r="N6" s="61"/>
    </row>
    <row r="7" spans="1:14" s="1" customFormat="1">
      <c r="A7" s="55">
        <v>44627</v>
      </c>
      <c r="B7" s="13" t="s">
        <v>1</v>
      </c>
      <c r="C7" s="10">
        <f>C6</f>
        <v>4500</v>
      </c>
      <c r="D7" s="46">
        <f>D2</f>
        <v>31</v>
      </c>
      <c r="E7" s="20">
        <f>C7*D7</f>
        <v>139500</v>
      </c>
      <c r="F7" s="20">
        <f>E7*0.002</f>
        <v>279</v>
      </c>
      <c r="G7" s="20">
        <f>E7*0.00006</f>
        <v>8.370000000000001</v>
      </c>
      <c r="H7" s="20">
        <f>E7*0.00001</f>
        <v>1.395</v>
      </c>
      <c r="I7" s="20">
        <f>(F7+G7+H7)*0.07</f>
        <v>20.213550000000001</v>
      </c>
      <c r="J7" s="20">
        <f>E7+F7+I7+G7+H7</f>
        <v>139808.97854999997</v>
      </c>
    </row>
    <row r="8" spans="1:14" s="1" customFormat="1">
      <c r="A8" s="55">
        <v>44277</v>
      </c>
      <c r="B8" s="13" t="s">
        <v>3</v>
      </c>
      <c r="C8" s="10">
        <f>C7</f>
        <v>4500</v>
      </c>
      <c r="D8" s="34">
        <v>31.25</v>
      </c>
      <c r="E8" s="11">
        <f>C8*D8</f>
        <v>140625</v>
      </c>
      <c r="F8" s="35">
        <f>E8*0.002</f>
        <v>281.25</v>
      </c>
      <c r="G8" s="34">
        <f>E8*0.000068</f>
        <v>9.5625</v>
      </c>
      <c r="H8" s="34">
        <f>E8*0.00001</f>
        <v>1.4062500000000002</v>
      </c>
      <c r="I8" s="34">
        <f>(F8+G8+H8)*0.07</f>
        <v>20.455312500000002</v>
      </c>
      <c r="J8" s="34">
        <f>E8-F8-G8-H8-I8</f>
        <v>140312.32593749999</v>
      </c>
    </row>
    <row r="9" spans="1:14" s="1" customFormat="1">
      <c r="A9" s="55" t="s">
        <v>4</v>
      </c>
      <c r="B9" s="13"/>
      <c r="C9" s="10"/>
      <c r="D9" s="11"/>
      <c r="E9" s="20">
        <f>E8-E7</f>
        <v>1125</v>
      </c>
      <c r="F9" s="20"/>
      <c r="G9" s="20"/>
      <c r="H9" s="20"/>
      <c r="I9" s="20"/>
      <c r="J9" s="20">
        <f>J8-J7</f>
        <v>503.34738750001998</v>
      </c>
    </row>
    <row r="10" spans="1:14" s="1" customFormat="1" ht="12">
      <c r="A10" s="50"/>
      <c r="D10" s="47"/>
      <c r="J10" s="53">
        <f>J6+J9</f>
        <v>6983.34738750002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6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2" customFormat="1" ht="21.75">
      <c r="A4" s="55"/>
      <c r="B4" s="75">
        <f>(D3-D2)/D2</f>
        <v>-0.21052631578947364</v>
      </c>
      <c r="C4" s="10">
        <f>SUM(C2:C3)</f>
        <v>40000</v>
      </c>
      <c r="D4" s="63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1"/>
      <c r="N4" s="61"/>
    </row>
    <row r="6" spans="1:14" s="62" customFormat="1" ht="21.75">
      <c r="A6" s="55">
        <v>44630</v>
      </c>
      <c r="C6" s="10">
        <f>C2</f>
        <v>30000</v>
      </c>
      <c r="D6" s="63">
        <v>0.2</v>
      </c>
      <c r="E6" s="59">
        <v>0</v>
      </c>
      <c r="F6" s="32">
        <v>0</v>
      </c>
      <c r="G6" s="59">
        <v>0</v>
      </c>
      <c r="H6" s="11">
        <f>G6-E6</f>
        <v>0</v>
      </c>
      <c r="I6" s="12">
        <v>0</v>
      </c>
      <c r="J6" s="60">
        <f>C6*D6</f>
        <v>6000</v>
      </c>
      <c r="K6" s="11"/>
      <c r="L6" s="13"/>
      <c r="M6" s="61"/>
      <c r="N6" s="61"/>
    </row>
    <row r="7" spans="1:14" s="1" customFormat="1">
      <c r="A7" s="55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5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5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5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5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5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30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 ht="15.75">
      <c r="A1" s="117"/>
      <c r="B1" s="118" t="s">
        <v>10</v>
      </c>
      <c r="C1" s="118"/>
      <c r="D1" s="118"/>
      <c r="E1" s="118"/>
      <c r="F1" s="118"/>
      <c r="G1" s="118"/>
      <c r="H1" s="118"/>
      <c r="I1" s="118"/>
      <c r="J1" s="118"/>
    </row>
    <row r="2" spans="1:14" s="1" customFormat="1" ht="15.75">
      <c r="A2" s="102">
        <v>44932</v>
      </c>
      <c r="B2" s="129" t="s">
        <v>1</v>
      </c>
      <c r="C2" s="104">
        <v>12000</v>
      </c>
      <c r="D2" s="130">
        <v>12.3</v>
      </c>
      <c r="E2" s="131">
        <f>C2*D2</f>
        <v>147600</v>
      </c>
      <c r="F2" s="131">
        <f>E2*0.002</f>
        <v>295.2</v>
      </c>
      <c r="G2" s="131">
        <f>E2*0.00006</f>
        <v>8.8559999999999999</v>
      </c>
      <c r="H2" s="131">
        <f>E2*0.00001</f>
        <v>1.4760000000000002</v>
      </c>
      <c r="I2" s="131">
        <f>(F2+G2+H2)*0.07</f>
        <v>21.387240000000002</v>
      </c>
      <c r="J2" s="131">
        <f>E2+F2+I2+G2+H2</f>
        <v>147926.91924000002</v>
      </c>
    </row>
    <row r="3" spans="1:14" s="13" customFormat="1" ht="15.75">
      <c r="A3" s="132">
        <v>44957</v>
      </c>
      <c r="B3" s="129" t="s">
        <v>1</v>
      </c>
      <c r="C3" s="104">
        <v>6000</v>
      </c>
      <c r="D3" s="133">
        <v>11.4</v>
      </c>
      <c r="E3" s="131">
        <f>C3*D3</f>
        <v>68400</v>
      </c>
      <c r="F3" s="131">
        <f>E3*0.002</f>
        <v>136.80000000000001</v>
      </c>
      <c r="G3" s="131">
        <f>E3*0.00006</f>
        <v>4.1040000000000001</v>
      </c>
      <c r="H3" s="131">
        <f>E3*0.00001</f>
        <v>0.68400000000000005</v>
      </c>
      <c r="I3" s="131">
        <f>(F3+G3+H3)*0.07</f>
        <v>9.9111600000000024</v>
      </c>
      <c r="J3" s="131">
        <f>E3+F3+I3+G3+H3</f>
        <v>68551.499160000007</v>
      </c>
      <c r="K3" s="32"/>
      <c r="L3" s="11"/>
      <c r="M3" s="12"/>
    </row>
    <row r="4" spans="1:14" s="62" customFormat="1" ht="21.75">
      <c r="A4" s="102"/>
      <c r="B4" s="103">
        <f>(D3-D2)/D2</f>
        <v>-7.3170731707317097E-2</v>
      </c>
      <c r="C4" s="104">
        <f>SUM(C2:C3)</f>
        <v>18000</v>
      </c>
      <c r="D4" s="105">
        <f>E4/C4</f>
        <v>12</v>
      </c>
      <c r="E4" s="104">
        <f t="shared" ref="E4:J4" si="0">SUM(E2:E3)</f>
        <v>216000</v>
      </c>
      <c r="F4" s="104">
        <f t="shared" si="0"/>
        <v>432</v>
      </c>
      <c r="G4" s="104">
        <f t="shared" si="0"/>
        <v>12.96</v>
      </c>
      <c r="H4" s="104">
        <f t="shared" si="0"/>
        <v>2.16</v>
      </c>
      <c r="I4" s="104">
        <f t="shared" si="0"/>
        <v>31.298400000000004</v>
      </c>
      <c r="J4" s="104">
        <f t="shared" si="0"/>
        <v>216478.41840000002</v>
      </c>
      <c r="K4" s="106"/>
      <c r="L4" s="107"/>
      <c r="M4" s="108"/>
      <c r="N4" s="108"/>
    </row>
    <row r="5" spans="1:14" s="13" customFormat="1" ht="15.75">
      <c r="A5" s="109">
        <v>44957</v>
      </c>
      <c r="B5" s="107" t="s">
        <v>1</v>
      </c>
      <c r="C5" s="110">
        <v>6000</v>
      </c>
      <c r="D5" s="106">
        <v>10.4</v>
      </c>
      <c r="E5" s="111">
        <f>C5*D5</f>
        <v>62400</v>
      </c>
      <c r="F5" s="111">
        <f>E5*0.002</f>
        <v>124.8</v>
      </c>
      <c r="G5" s="111">
        <f>E5*0.00006</f>
        <v>3.7440000000000002</v>
      </c>
      <c r="H5" s="111">
        <f>E5*0.00001</f>
        <v>0.624</v>
      </c>
      <c r="I5" s="111">
        <f>(F5+G5+H5)*0.07</f>
        <v>9.0417600000000018</v>
      </c>
      <c r="J5" s="111">
        <f>E5+F5+I5+G5+H5</f>
        <v>62538.209760000005</v>
      </c>
      <c r="K5" s="112"/>
      <c r="L5" s="106"/>
      <c r="M5" s="113"/>
      <c r="N5" s="107"/>
    </row>
    <row r="6" spans="1:14" s="62" customFormat="1" ht="21.75">
      <c r="A6" s="114"/>
      <c r="B6" s="115">
        <f>(D5-D4)/D4</f>
        <v>-0.1333333333333333</v>
      </c>
      <c r="C6" s="110">
        <f>SUM(C4:C5)</f>
        <v>24000</v>
      </c>
      <c r="D6" s="116">
        <f>E6/C6</f>
        <v>11.6</v>
      </c>
      <c r="E6" s="110">
        <f t="shared" ref="E6:J6" si="1">SUM(E4:E5)</f>
        <v>278400</v>
      </c>
      <c r="F6" s="110">
        <f t="shared" si="1"/>
        <v>556.79999999999995</v>
      </c>
      <c r="G6" s="110">
        <f t="shared" si="1"/>
        <v>16.704000000000001</v>
      </c>
      <c r="H6" s="110">
        <f t="shared" si="1"/>
        <v>2.7840000000000003</v>
      </c>
      <c r="I6" s="110">
        <f t="shared" si="1"/>
        <v>40.340160000000004</v>
      </c>
      <c r="J6" s="110">
        <f t="shared" si="1"/>
        <v>279016.62816000002</v>
      </c>
      <c r="K6" s="106"/>
      <c r="L6" s="107"/>
      <c r="M6" s="108"/>
      <c r="N6" s="108"/>
    </row>
    <row r="7" spans="1:14" ht="15.75">
      <c r="A7" s="117"/>
      <c r="B7" s="118"/>
      <c r="C7" s="118"/>
      <c r="D7" s="118"/>
      <c r="E7" s="118"/>
      <c r="F7" s="118"/>
      <c r="G7" s="118"/>
      <c r="H7" s="118"/>
      <c r="I7" s="118"/>
      <c r="J7" s="118"/>
      <c r="K7" s="118"/>
      <c r="L7" s="118"/>
      <c r="M7" s="119"/>
      <c r="N7" s="118"/>
    </row>
    <row r="8" spans="1:14" ht="15.75">
      <c r="A8" s="117"/>
      <c r="B8" s="118"/>
      <c r="C8" s="118"/>
      <c r="D8" s="118"/>
      <c r="E8" s="118"/>
      <c r="F8" s="118"/>
      <c r="G8" s="118"/>
      <c r="H8" s="118"/>
      <c r="I8" s="118"/>
      <c r="J8" s="118"/>
      <c r="K8" s="118"/>
      <c r="L8" s="118"/>
      <c r="M8" s="119"/>
      <c r="N8" s="118"/>
    </row>
    <row r="9" spans="1:14" ht="15.75">
      <c r="A9" s="117"/>
      <c r="B9" s="118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9"/>
      <c r="N9" s="118"/>
    </row>
    <row r="10" spans="1:14" ht="15.75">
      <c r="A10" s="117"/>
      <c r="B10" s="118"/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19"/>
      <c r="N10" s="118"/>
    </row>
    <row r="11" spans="1:14" s="62" customFormat="1" ht="21.75">
      <c r="A11" s="114">
        <v>44630</v>
      </c>
      <c r="B11" s="31"/>
      <c r="C11" s="110">
        <f>C2</f>
        <v>12000</v>
      </c>
      <c r="D11" s="116">
        <v>0.2</v>
      </c>
      <c r="E11" s="120">
        <v>0</v>
      </c>
      <c r="F11" s="112">
        <v>0</v>
      </c>
      <c r="G11" s="120">
        <v>0</v>
      </c>
      <c r="H11" s="106">
        <f>G11-E11</f>
        <v>0</v>
      </c>
      <c r="I11" s="113">
        <v>0</v>
      </c>
      <c r="J11" s="121">
        <f>C11*D11</f>
        <v>2400</v>
      </c>
      <c r="K11" s="106"/>
      <c r="L11" s="107"/>
      <c r="M11" s="108"/>
      <c r="N11" s="108"/>
    </row>
    <row r="12" spans="1:14" s="1" customFormat="1" ht="15.75">
      <c r="A12" s="114">
        <v>44627</v>
      </c>
      <c r="B12" s="107" t="s">
        <v>1</v>
      </c>
      <c r="C12" s="110">
        <f>C11</f>
        <v>12000</v>
      </c>
      <c r="D12" s="122">
        <f>D2</f>
        <v>12.3</v>
      </c>
      <c r="E12" s="111">
        <f>C12*D12</f>
        <v>147600</v>
      </c>
      <c r="F12" s="111">
        <f>E12*0.002</f>
        <v>295.2</v>
      </c>
      <c r="G12" s="111">
        <f>E12*0.00006</f>
        <v>8.8559999999999999</v>
      </c>
      <c r="H12" s="111">
        <f>E12*0.00001</f>
        <v>1.4760000000000002</v>
      </c>
      <c r="I12" s="111">
        <f>(F12+G12+H12)*0.07</f>
        <v>21.387240000000002</v>
      </c>
      <c r="J12" s="111">
        <f>E12+F12+I12+G12+H12</f>
        <v>147926.91924000002</v>
      </c>
      <c r="K12" s="123"/>
      <c r="L12" s="123"/>
      <c r="M12" s="123"/>
      <c r="N12" s="123"/>
    </row>
    <row r="13" spans="1:14" s="1" customFormat="1" ht="15.75">
      <c r="A13" s="114">
        <v>44277</v>
      </c>
      <c r="B13" s="107" t="s">
        <v>3</v>
      </c>
      <c r="C13" s="110">
        <f>C12</f>
        <v>12000</v>
      </c>
      <c r="D13" s="124">
        <v>13</v>
      </c>
      <c r="E13" s="106">
        <f>C13*D13</f>
        <v>156000</v>
      </c>
      <c r="F13" s="125">
        <f>E13*0.002</f>
        <v>312</v>
      </c>
      <c r="G13" s="124">
        <f>E13*0.000068</f>
        <v>10.608000000000001</v>
      </c>
      <c r="H13" s="124">
        <f>E13*0.00001</f>
        <v>1.56</v>
      </c>
      <c r="I13" s="124">
        <f>(F13+G13+H13)*0.07</f>
        <v>22.691760000000002</v>
      </c>
      <c r="J13" s="124">
        <f>E13-F13-G13-H13-I13</f>
        <v>155653.14024000001</v>
      </c>
      <c r="K13" s="123"/>
      <c r="L13" s="123"/>
      <c r="M13" s="123"/>
      <c r="N13" s="123"/>
    </row>
    <row r="14" spans="1:14" s="1" customFormat="1" ht="15.75">
      <c r="A14" s="114" t="s">
        <v>4</v>
      </c>
      <c r="B14" s="113">
        <f>(D13-D12)/D12</f>
        <v>5.6910569105690999E-2</v>
      </c>
      <c r="C14" s="110"/>
      <c r="D14" s="106"/>
      <c r="E14" s="111">
        <f>E13-E12</f>
        <v>8400</v>
      </c>
      <c r="F14" s="111"/>
      <c r="G14" s="111"/>
      <c r="H14" s="111"/>
      <c r="I14" s="111"/>
      <c r="J14" s="111">
        <f>J13-J12</f>
        <v>7726.2209999999905</v>
      </c>
      <c r="K14" s="123"/>
      <c r="L14" s="123"/>
      <c r="M14" s="123"/>
      <c r="N14" s="123"/>
    </row>
    <row r="15" spans="1:14" s="1" customFormat="1">
      <c r="A15" s="126"/>
      <c r="B15" s="123"/>
      <c r="C15" s="123"/>
      <c r="D15" s="127"/>
      <c r="E15" s="123"/>
      <c r="F15" s="123"/>
      <c r="G15" s="123"/>
      <c r="H15" s="123"/>
      <c r="I15" s="123"/>
      <c r="J15" s="128">
        <f>J11+J14</f>
        <v>10126.22099999999</v>
      </c>
      <c r="K15" s="123"/>
      <c r="L15" s="123"/>
      <c r="M15" s="123"/>
      <c r="N15" s="123"/>
    </row>
    <row r="16" spans="1:14" ht="15.75">
      <c r="A16" s="117"/>
      <c r="B16" s="118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9"/>
      <c r="N16" s="118"/>
    </row>
    <row r="17" spans="1:14" s="1" customFormat="1" ht="15.75">
      <c r="A17" s="114">
        <v>44627</v>
      </c>
      <c r="B17" s="107" t="s">
        <v>1</v>
      </c>
      <c r="C17" s="110">
        <v>30000</v>
      </c>
      <c r="D17" s="122">
        <v>3.8</v>
      </c>
      <c r="E17" s="111">
        <f>C17*D17</f>
        <v>114000</v>
      </c>
      <c r="F17" s="111">
        <f>E17*0.002</f>
        <v>228</v>
      </c>
      <c r="G17" s="111">
        <f>E17*0.00006</f>
        <v>6.84</v>
      </c>
      <c r="H17" s="111">
        <f>E17*0.00001</f>
        <v>1.1400000000000001</v>
      </c>
      <c r="I17" s="111">
        <f>(F17+G17+H17)*0.07</f>
        <v>16.518599999999999</v>
      </c>
      <c r="J17" s="111">
        <f>E17+F17+I17+G17+H17</f>
        <v>114252.49859999999</v>
      </c>
      <c r="K17" s="123"/>
      <c r="L17" s="123"/>
      <c r="M17" s="123"/>
      <c r="N17" s="123"/>
    </row>
    <row r="18" spans="1:14" s="1" customFormat="1" ht="15.75">
      <c r="A18" s="114">
        <v>44633</v>
      </c>
      <c r="B18" s="107" t="s">
        <v>3</v>
      </c>
      <c r="C18" s="110">
        <f>C17</f>
        <v>30000</v>
      </c>
      <c r="D18" s="124">
        <v>4.0199999999999996</v>
      </c>
      <c r="E18" s="106">
        <f>C18*D18</f>
        <v>120599.99999999999</v>
      </c>
      <c r="F18" s="125">
        <f>E18*0.002</f>
        <v>241.2</v>
      </c>
      <c r="G18" s="124">
        <f>E18*0.000068</f>
        <v>8.2007999999999992</v>
      </c>
      <c r="H18" s="124">
        <f>E18*0.00001</f>
        <v>1.206</v>
      </c>
      <c r="I18" s="124">
        <f>(F18+G18+H18)*0.07</f>
        <v>17.542476000000001</v>
      </c>
      <c r="J18" s="124">
        <f>E18-F18-G18-H18-I18</f>
        <v>120331.85072399997</v>
      </c>
      <c r="K18" s="123"/>
      <c r="L18" s="123"/>
      <c r="M18" s="123"/>
      <c r="N18" s="123"/>
    </row>
    <row r="19" spans="1:14" s="1" customFormat="1" ht="15.75">
      <c r="A19" s="114" t="s">
        <v>4</v>
      </c>
      <c r="B19" s="107"/>
      <c r="C19" s="110"/>
      <c r="D19" s="106"/>
      <c r="E19" s="111">
        <f>E18-E17</f>
        <v>6599.9999999999854</v>
      </c>
      <c r="F19" s="111"/>
      <c r="G19" s="111"/>
      <c r="H19" s="111"/>
      <c r="I19" s="111"/>
      <c r="J19" s="111">
        <f>J18-J17</f>
        <v>6079.3521239999827</v>
      </c>
      <c r="K19" s="123"/>
      <c r="L19" s="123"/>
      <c r="M19" s="123"/>
      <c r="N19" s="123"/>
    </row>
    <row r="20" spans="1:14" ht="15.75">
      <c r="A20" s="117"/>
      <c r="B20" s="118"/>
      <c r="C20" s="118"/>
      <c r="D20" s="118"/>
      <c r="E20" s="118"/>
      <c r="F20" s="118"/>
      <c r="G20" s="118"/>
      <c r="H20" s="118"/>
      <c r="I20" s="118"/>
      <c r="J20" s="118"/>
      <c r="K20" s="118"/>
      <c r="L20" s="118"/>
      <c r="M20" s="119"/>
      <c r="N20" s="118"/>
    </row>
    <row r="21" spans="1:14" ht="15.75">
      <c r="A21" s="117"/>
      <c r="B21" s="118"/>
      <c r="C21" s="118"/>
      <c r="D21" s="118"/>
      <c r="E21" s="118"/>
      <c r="F21" s="118"/>
      <c r="G21" s="118"/>
      <c r="H21" s="118"/>
      <c r="I21" s="118"/>
      <c r="J21" s="118"/>
      <c r="K21" s="118"/>
      <c r="L21" s="118"/>
      <c r="M21" s="119"/>
      <c r="N21" s="118"/>
    </row>
    <row r="22" spans="1:14" ht="15.75">
      <c r="A22" s="117"/>
      <c r="B22" s="118"/>
      <c r="C22" s="118"/>
      <c r="D22" s="118"/>
      <c r="E22" s="118"/>
      <c r="F22" s="118"/>
      <c r="G22" s="118"/>
      <c r="H22" s="118"/>
      <c r="I22" s="118"/>
      <c r="J22" s="118"/>
      <c r="K22" s="118"/>
      <c r="L22" s="118"/>
      <c r="M22" s="119"/>
      <c r="N22" s="118"/>
    </row>
    <row r="23" spans="1:14" ht="15.75">
      <c r="A23" s="117"/>
      <c r="B23" s="118"/>
      <c r="C23" s="118"/>
      <c r="D23" s="118"/>
      <c r="E23" s="118"/>
      <c r="F23" s="118"/>
      <c r="G23" s="118"/>
      <c r="H23" s="118"/>
      <c r="I23" s="118"/>
      <c r="J23" s="118"/>
      <c r="K23" s="118"/>
      <c r="L23" s="118"/>
      <c r="M23" s="119"/>
      <c r="N23" s="118"/>
    </row>
    <row r="24" spans="1:14" ht="15.75">
      <c r="A24" s="117"/>
      <c r="B24" s="118"/>
      <c r="C24" s="118"/>
      <c r="D24" s="118"/>
      <c r="E24" s="118"/>
      <c r="F24" s="118"/>
      <c r="G24" s="118"/>
      <c r="H24" s="118"/>
      <c r="I24" s="118"/>
      <c r="J24" s="118"/>
      <c r="K24" s="118"/>
      <c r="L24" s="118"/>
      <c r="M24" s="119"/>
      <c r="N24" s="118"/>
    </row>
    <row r="25" spans="1:14" ht="15.75">
      <c r="A25" s="117"/>
      <c r="B25" s="118"/>
      <c r="C25" s="118"/>
      <c r="D25" s="118"/>
      <c r="E25" s="118"/>
      <c r="F25" s="118"/>
      <c r="G25" s="118"/>
      <c r="H25" s="118"/>
      <c r="I25" s="118"/>
      <c r="J25" s="118"/>
      <c r="K25" s="118"/>
      <c r="L25" s="118"/>
      <c r="M25" s="119"/>
      <c r="N25" s="118"/>
    </row>
    <row r="26" spans="1:14" ht="15.75">
      <c r="A26" s="117"/>
      <c r="B26" s="118"/>
      <c r="C26" s="118"/>
      <c r="D26" s="118"/>
      <c r="E26" s="118"/>
      <c r="F26" s="118"/>
      <c r="G26" s="118"/>
      <c r="H26" s="118"/>
      <c r="I26" s="118"/>
      <c r="J26" s="118"/>
      <c r="K26" s="118"/>
      <c r="L26" s="118"/>
      <c r="M26" s="119"/>
      <c r="N26" s="118"/>
    </row>
    <row r="27" spans="1:14" ht="15.75">
      <c r="A27" s="117"/>
      <c r="B27" s="118"/>
      <c r="C27" s="118"/>
      <c r="D27" s="118"/>
      <c r="E27" s="118"/>
      <c r="F27" s="118"/>
      <c r="G27" s="118"/>
      <c r="H27" s="118"/>
      <c r="I27" s="118"/>
      <c r="J27" s="118"/>
      <c r="K27" s="118"/>
      <c r="L27" s="118"/>
      <c r="M27" s="119"/>
      <c r="N27" s="118"/>
    </row>
    <row r="28" spans="1:14" ht="15.75">
      <c r="A28" s="117"/>
      <c r="B28" s="118"/>
      <c r="C28" s="118"/>
      <c r="D28" s="118"/>
      <c r="E28" s="118"/>
      <c r="F28" s="118"/>
      <c r="G28" s="118"/>
      <c r="H28" s="118"/>
      <c r="I28" s="118"/>
      <c r="J28" s="118"/>
      <c r="K28" s="118"/>
      <c r="L28" s="118"/>
      <c r="M28" s="119"/>
      <c r="N28" s="118"/>
    </row>
    <row r="29" spans="1:14" ht="15.75">
      <c r="A29" s="117"/>
      <c r="B29" s="118"/>
      <c r="C29" s="118"/>
      <c r="D29" s="118"/>
      <c r="E29" s="118"/>
      <c r="F29" s="118"/>
      <c r="G29" s="118"/>
      <c r="H29" s="118"/>
      <c r="I29" s="118"/>
      <c r="J29" s="118"/>
      <c r="K29" s="118"/>
      <c r="L29" s="118"/>
      <c r="M29" s="119"/>
      <c r="N29" s="118"/>
    </row>
    <row r="30" spans="1:14" ht="15.75">
      <c r="A30" s="117"/>
      <c r="B30" s="118"/>
      <c r="C30" s="118"/>
      <c r="D30" s="118"/>
      <c r="E30" s="118"/>
      <c r="F30" s="118"/>
      <c r="G30" s="118"/>
      <c r="H30" s="118"/>
      <c r="I30" s="118"/>
      <c r="J30" s="118"/>
      <c r="K30" s="118"/>
      <c r="L30" s="118"/>
      <c r="M30" s="119"/>
      <c r="N30" s="118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7"/>
      <c r="L4" s="57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7"/>
      <c r="L6" s="57"/>
    </row>
    <row r="7" spans="1:13" s="19" customFormat="1" ht="16.5">
      <c r="A7" s="55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6.5">
      <c r="A8" s="55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7"/>
      <c r="L8" s="57"/>
    </row>
    <row r="9" spans="1:13">
      <c r="A9" s="55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6.5">
      <c r="A10" s="55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>
      <c r="A11" s="55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topLeftCell="A6" workbookViewId="0">
      <selection activeCell="J14" sqref="J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7" customFormat="1">
      <c r="A3" s="81">
        <v>44818</v>
      </c>
      <c r="B3" s="82" t="s">
        <v>1</v>
      </c>
      <c r="C3" s="83">
        <v>5000</v>
      </c>
      <c r="D3" s="84">
        <v>19</v>
      </c>
      <c r="E3" s="85">
        <f>C3*D3</f>
        <v>95000</v>
      </c>
      <c r="F3" s="85">
        <f>E3*0.002</f>
        <v>190</v>
      </c>
      <c r="G3" s="85">
        <f>E3*0.000068</f>
        <v>6.46</v>
      </c>
      <c r="H3" s="85">
        <f>E3*0.00001</f>
        <v>0.95000000000000007</v>
      </c>
      <c r="I3" s="85">
        <f>(F3+G3+H3)*0.07</f>
        <v>13.818700000000002</v>
      </c>
      <c r="J3" s="85">
        <f>E3+F3+I3+G3+H3</f>
        <v>95211.228700000007</v>
      </c>
    </row>
    <row r="4" spans="1:14" s="77" customFormat="1">
      <c r="A4" s="81"/>
      <c r="B4" s="86">
        <f>(D3-D2)/D2</f>
        <v>-2.0618556701030855E-2</v>
      </c>
      <c r="C4" s="83">
        <f>SUM(C2:C3)</f>
        <v>10000</v>
      </c>
      <c r="D4" s="84">
        <f>E4/C4</f>
        <v>19.2</v>
      </c>
      <c r="E4" s="83">
        <f t="shared" ref="E4:J4" si="0">SUM(E2:E3)</f>
        <v>192000</v>
      </c>
      <c r="F4" s="83">
        <f t="shared" si="0"/>
        <v>384</v>
      </c>
      <c r="G4" s="83">
        <f t="shared" si="0"/>
        <v>12.280000000000001</v>
      </c>
      <c r="H4" s="83">
        <f t="shared" si="0"/>
        <v>1.9200000000000002</v>
      </c>
      <c r="I4" s="83">
        <f t="shared" si="0"/>
        <v>27.874000000000002</v>
      </c>
      <c r="J4" s="83">
        <f t="shared" si="0"/>
        <v>192426.07400000002</v>
      </c>
      <c r="K4" s="80"/>
    </row>
    <row r="5" spans="1:14" s="77" customFormat="1">
      <c r="A5" s="81">
        <v>44880</v>
      </c>
      <c r="B5" s="82" t="s">
        <v>1</v>
      </c>
      <c r="C5" s="83">
        <v>10000</v>
      </c>
      <c r="D5" s="84">
        <v>18.600000000000001</v>
      </c>
      <c r="E5" s="85">
        <f>C5*D5</f>
        <v>186000</v>
      </c>
      <c r="F5" s="85">
        <f>E5*0.002</f>
        <v>372</v>
      </c>
      <c r="G5" s="85">
        <f>E5*0.000068</f>
        <v>12.648</v>
      </c>
      <c r="H5" s="85">
        <f>E5*0.00001</f>
        <v>1.86</v>
      </c>
      <c r="I5" s="85">
        <f>(F5+G5+H5)*0.07</f>
        <v>27.055560000000007</v>
      </c>
      <c r="J5" s="85">
        <f>E5+F5+I5+G5+H5</f>
        <v>186413.56355999998</v>
      </c>
    </row>
    <row r="6" spans="1:14" s="77" customFormat="1">
      <c r="A6" s="81"/>
      <c r="B6" s="86">
        <f>(D5-D4)/D4</f>
        <v>-3.1249999999999889E-2</v>
      </c>
      <c r="C6" s="83">
        <f>SUM(C4:C5)</f>
        <v>20000</v>
      </c>
      <c r="D6" s="84">
        <f>E6/C6</f>
        <v>18.899999999999999</v>
      </c>
      <c r="E6" s="83">
        <f t="shared" ref="E6:J6" si="1">SUM(E4:E5)</f>
        <v>378000</v>
      </c>
      <c r="F6" s="83">
        <f t="shared" si="1"/>
        <v>756</v>
      </c>
      <c r="G6" s="83">
        <f t="shared" si="1"/>
        <v>24.928000000000001</v>
      </c>
      <c r="H6" s="83">
        <f t="shared" si="1"/>
        <v>3.7800000000000002</v>
      </c>
      <c r="I6" s="83">
        <f t="shared" si="1"/>
        <v>54.929560000000009</v>
      </c>
      <c r="J6" s="83">
        <f t="shared" si="1"/>
        <v>378839.63756</v>
      </c>
      <c r="K6" s="80"/>
    </row>
    <row r="7" spans="1:14">
      <c r="A7" s="81">
        <v>44950</v>
      </c>
      <c r="B7" s="82" t="s">
        <v>1</v>
      </c>
      <c r="C7" s="83">
        <v>10000</v>
      </c>
      <c r="D7" s="84">
        <v>19.5</v>
      </c>
      <c r="E7" s="85">
        <f>C7*D7</f>
        <v>195000</v>
      </c>
      <c r="F7" s="85">
        <f>E7*0.002</f>
        <v>390</v>
      </c>
      <c r="G7" s="85">
        <f>E7*0.000068</f>
        <v>13.26</v>
      </c>
      <c r="H7" s="85">
        <f>E7*0.00001</f>
        <v>1.9500000000000002</v>
      </c>
      <c r="I7" s="85">
        <f>(F7+G7+H7)*0.07</f>
        <v>28.364700000000003</v>
      </c>
      <c r="J7" s="85">
        <f>E7+F7+I7+G7+H7</f>
        <v>195433.57470000003</v>
      </c>
    </row>
    <row r="8" spans="1:14" s="62" customFormat="1" ht="21.75">
      <c r="A8" s="81"/>
      <c r="B8" s="86">
        <f>(D7-D6)/D6</f>
        <v>3.1746031746031821E-2</v>
      </c>
      <c r="C8" s="83">
        <f>SUM(C6:C7)</f>
        <v>30000</v>
      </c>
      <c r="D8" s="84">
        <f>E8/C8</f>
        <v>19.100000000000001</v>
      </c>
      <c r="E8" s="83">
        <f t="shared" ref="E8:J8" si="2">SUM(E6:E7)</f>
        <v>573000</v>
      </c>
      <c r="F8" s="83">
        <f t="shared" si="2"/>
        <v>1146</v>
      </c>
      <c r="G8" s="83">
        <f t="shared" si="2"/>
        <v>38.188000000000002</v>
      </c>
      <c r="H8" s="83">
        <f t="shared" si="2"/>
        <v>5.73</v>
      </c>
      <c r="I8" s="83">
        <f t="shared" si="2"/>
        <v>83.294260000000008</v>
      </c>
      <c r="J8" s="83">
        <f t="shared" si="2"/>
        <v>574273.21226000006</v>
      </c>
      <c r="K8" s="11"/>
      <c r="L8" s="13"/>
      <c r="M8" s="61"/>
      <c r="N8" s="61"/>
    </row>
    <row r="9" spans="1:14">
      <c r="A9" s="81">
        <v>44964</v>
      </c>
      <c r="B9" s="82" t="s">
        <v>1</v>
      </c>
      <c r="C9" s="83">
        <v>10000</v>
      </c>
      <c r="D9" s="84">
        <v>18.3</v>
      </c>
      <c r="E9" s="85">
        <f>C9*D9</f>
        <v>183000</v>
      </c>
      <c r="F9" s="85">
        <f>E9*0.002</f>
        <v>366</v>
      </c>
      <c r="G9" s="85">
        <f>E9*0.000068</f>
        <v>12.443999999999999</v>
      </c>
      <c r="H9" s="85">
        <f>E9*0.00001</f>
        <v>1.83</v>
      </c>
      <c r="I9" s="85">
        <f>(F9+G9+H9)*0.07</f>
        <v>26.619180000000004</v>
      </c>
      <c r="J9" s="85">
        <f>E9+F9+I9+G9+H9</f>
        <v>183406.89317999998</v>
      </c>
    </row>
    <row r="10" spans="1:14">
      <c r="A10" s="81"/>
      <c r="B10" s="86">
        <f>(D9-D8)/D8</f>
        <v>-4.1884816753926739E-2</v>
      </c>
      <c r="C10" s="83">
        <f>SUM(C8:C9)</f>
        <v>40000</v>
      </c>
      <c r="D10" s="84">
        <f>E10/C10</f>
        <v>18.899999999999999</v>
      </c>
      <c r="E10" s="83">
        <f t="shared" ref="E10:J10" si="3">SUM(E8:E9)</f>
        <v>756000</v>
      </c>
      <c r="F10" s="83">
        <f t="shared" si="3"/>
        <v>1512</v>
      </c>
      <c r="G10" s="83">
        <f t="shared" si="3"/>
        <v>50.632000000000005</v>
      </c>
      <c r="H10" s="83">
        <f t="shared" si="3"/>
        <v>7.5600000000000005</v>
      </c>
      <c r="I10" s="83">
        <f t="shared" si="3"/>
        <v>109.91344000000001</v>
      </c>
      <c r="J10" s="83">
        <f t="shared" si="3"/>
        <v>757680.10544000007</v>
      </c>
    </row>
    <row r="11" spans="1:14" ht="12.75">
      <c r="A11" s="81">
        <v>44986</v>
      </c>
      <c r="B11" s="82" t="s">
        <v>1</v>
      </c>
      <c r="C11" s="83">
        <v>10000</v>
      </c>
      <c r="D11" s="84">
        <v>16.399999999999999</v>
      </c>
      <c r="E11" s="85">
        <f>C11*D11</f>
        <v>164000</v>
      </c>
      <c r="F11" s="85">
        <f>E11*0.002</f>
        <v>328</v>
      </c>
      <c r="G11" s="85">
        <f>E11*0.000068</f>
        <v>11.151999999999999</v>
      </c>
      <c r="H11" s="85">
        <f>E11*0.00001</f>
        <v>1.6400000000000001</v>
      </c>
      <c r="I11" s="85">
        <f>(F11+G11+H11)*0.07</f>
        <v>23.855440000000002</v>
      </c>
      <c r="J11" s="85">
        <f>E11+F11+I11+G11+H11</f>
        <v>164364.64744000003</v>
      </c>
    </row>
    <row r="12" spans="1:14" ht="12.75">
      <c r="A12" s="81"/>
      <c r="B12" s="86">
        <f>(D11-D10)/D10</f>
        <v>-0.1322751322751323</v>
      </c>
      <c r="C12" s="83">
        <f>SUM(C10:C11)</f>
        <v>50000</v>
      </c>
      <c r="D12" s="84">
        <f>E12/C12</f>
        <v>18.399999999999999</v>
      </c>
      <c r="E12" s="83">
        <f t="shared" ref="E12:J12" si="4">SUM(E10:E11)</f>
        <v>920000</v>
      </c>
      <c r="F12" s="83">
        <f t="shared" si="4"/>
        <v>1840</v>
      </c>
      <c r="G12" s="83">
        <f t="shared" si="4"/>
        <v>61.784000000000006</v>
      </c>
      <c r="H12" s="83">
        <f t="shared" si="4"/>
        <v>9.2000000000000011</v>
      </c>
      <c r="I12" s="83">
        <f t="shared" si="4"/>
        <v>133.76888000000002</v>
      </c>
      <c r="J12" s="83">
        <f t="shared" si="4"/>
        <v>922044.75288000004</v>
      </c>
    </row>
    <row r="13" spans="1:14" ht="12.75">
      <c r="A13" s="81">
        <v>44994</v>
      </c>
      <c r="B13" s="82" t="s">
        <v>1</v>
      </c>
      <c r="C13" s="83">
        <v>5000</v>
      </c>
      <c r="D13" s="84">
        <v>14</v>
      </c>
      <c r="E13" s="85">
        <f>C13*D13</f>
        <v>70000</v>
      </c>
      <c r="F13" s="85">
        <f>E13*0.002</f>
        <v>140</v>
      </c>
      <c r="G13" s="85">
        <f>E13*0.000068</f>
        <v>4.76</v>
      </c>
      <c r="H13" s="85">
        <f>E13*0.00001</f>
        <v>0.70000000000000007</v>
      </c>
      <c r="I13" s="85">
        <f>(F13+G13+H13)*0.07</f>
        <v>10.1822</v>
      </c>
      <c r="J13" s="85">
        <f>E13+F13+I13+G13+H13</f>
        <v>70155.642199999987</v>
      </c>
    </row>
    <row r="14" spans="1:14" ht="12.75">
      <c r="A14" s="81"/>
      <c r="B14" s="86">
        <f>(D13-D12)/D12</f>
        <v>-0.23913043478260865</v>
      </c>
      <c r="C14" s="83">
        <f>SUM(C12:C13)</f>
        <v>55000</v>
      </c>
      <c r="D14" s="84">
        <f>E14/C14</f>
        <v>18</v>
      </c>
      <c r="E14" s="83">
        <f t="shared" ref="E14:J14" si="5">SUM(E12:E13)</f>
        <v>990000</v>
      </c>
      <c r="F14" s="83">
        <f t="shared" si="5"/>
        <v>1980</v>
      </c>
      <c r="G14" s="83">
        <f t="shared" si="5"/>
        <v>66.544000000000011</v>
      </c>
      <c r="H14" s="83">
        <f t="shared" si="5"/>
        <v>9.9</v>
      </c>
      <c r="I14" s="83">
        <f t="shared" si="5"/>
        <v>143.95108000000002</v>
      </c>
      <c r="J14" s="83">
        <f t="shared" si="5"/>
        <v>992200.39508000005</v>
      </c>
    </row>
    <row r="15" spans="1:14">
      <c r="A15" s="76">
        <v>44964</v>
      </c>
      <c r="B15" s="77" t="s">
        <v>1</v>
      </c>
      <c r="C15" s="78">
        <v>5000</v>
      </c>
      <c r="D15" s="79">
        <v>12.6</v>
      </c>
      <c r="E15" s="93">
        <f>C15*D15</f>
        <v>63000</v>
      </c>
      <c r="F15" s="93">
        <f>E15*0.002</f>
        <v>126</v>
      </c>
      <c r="G15" s="93">
        <f>E15*0.000068</f>
        <v>4.2839999999999998</v>
      </c>
      <c r="H15" s="93">
        <f>E15*0.00001</f>
        <v>0.63</v>
      </c>
      <c r="I15" s="93">
        <f>(F15+G15+H15)*0.07</f>
        <v>9.1639800000000005</v>
      </c>
      <c r="J15" s="93">
        <f>E15+F15+I15+G15+H15</f>
        <v>63140.077979999995</v>
      </c>
    </row>
    <row r="16" spans="1:14">
      <c r="A16" s="76"/>
      <c r="B16" s="80">
        <f>(D15-D14)/D14</f>
        <v>-0.30000000000000004</v>
      </c>
      <c r="C16" s="78">
        <f>SUM(C14:C15)</f>
        <v>60000</v>
      </c>
      <c r="D16" s="79">
        <f>E16/C16</f>
        <v>17.55</v>
      </c>
      <c r="E16" s="78">
        <f t="shared" ref="E16:J16" si="6">SUM(E14:E15)</f>
        <v>1053000</v>
      </c>
      <c r="F16" s="78">
        <f t="shared" si="6"/>
        <v>2106</v>
      </c>
      <c r="G16" s="78">
        <f t="shared" si="6"/>
        <v>70.828000000000017</v>
      </c>
      <c r="H16" s="78">
        <f t="shared" si="6"/>
        <v>10.530000000000001</v>
      </c>
      <c r="I16" s="78">
        <f t="shared" si="6"/>
        <v>153.11506000000003</v>
      </c>
      <c r="J16" s="78">
        <f t="shared" si="6"/>
        <v>1055340.47306</v>
      </c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1"/>
  <sheetViews>
    <sheetView topLeftCell="A32" workbookViewId="0">
      <selection activeCell="B44" sqref="B44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1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1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1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2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14">
        <v>44113</v>
      </c>
      <c r="B39" s="15" t="s">
        <v>1</v>
      </c>
      <c r="C39" s="16">
        <v>10000</v>
      </c>
      <c r="D39" s="41">
        <v>14.7</v>
      </c>
      <c r="E39" s="18">
        <f>C39*D39</f>
        <v>147000</v>
      </c>
      <c r="F39" s="18">
        <f>E39*0.002</f>
        <v>294</v>
      </c>
      <c r="G39" s="18">
        <f>E39*0.000068</f>
        <v>9.9960000000000004</v>
      </c>
      <c r="H39" s="18">
        <f>E39*0.00001</f>
        <v>1.4700000000000002</v>
      </c>
      <c r="I39" s="18">
        <f>(F39+G39+H39)*0.07</f>
        <v>21.382620000000003</v>
      </c>
      <c r="J39" s="18">
        <f>E39+F39+I39+G39+H39</f>
        <v>147326.84862</v>
      </c>
    </row>
    <row r="40" spans="1:11" s="13" customFormat="1">
      <c r="A40" s="14">
        <v>44992</v>
      </c>
      <c r="B40" s="15" t="s">
        <v>3</v>
      </c>
      <c r="C40" s="16">
        <f>C39</f>
        <v>10000</v>
      </c>
      <c r="D40" s="26">
        <v>13.3</v>
      </c>
      <c r="E40" s="17">
        <f>C40*D40</f>
        <v>133000</v>
      </c>
      <c r="F40" s="27">
        <f>E40*0.002</f>
        <v>266</v>
      </c>
      <c r="G40" s="26">
        <f>E40*0.000068</f>
        <v>9.0440000000000005</v>
      </c>
      <c r="H40" s="26">
        <f>E40*0.00001</f>
        <v>1.33</v>
      </c>
      <c r="I40" s="26">
        <f>(F40+G40+H40)*0.07</f>
        <v>19.34618</v>
      </c>
      <c r="J40" s="26">
        <f>E40-F40-G40-H40-I40</f>
        <v>132704.27982000003</v>
      </c>
    </row>
    <row r="41" spans="1:11" s="31" customFormat="1" ht="18.75">
      <c r="A41" s="14" t="s">
        <v>4</v>
      </c>
      <c r="B41" s="15"/>
      <c r="C41" s="16"/>
      <c r="D41" s="17"/>
      <c r="E41" s="18">
        <f>E40-E39</f>
        <v>-14000</v>
      </c>
      <c r="F41" s="18"/>
      <c r="G41" s="18"/>
      <c r="H41" s="18"/>
      <c r="I41" s="18"/>
      <c r="J41" s="18">
        <f>J40-J39</f>
        <v>-14622.568799999979</v>
      </c>
      <c r="K41" s="12"/>
    </row>
    <row r="42" spans="1:11" s="31" customFormat="1" ht="18.75">
      <c r="A42" s="14">
        <v>44992</v>
      </c>
      <c r="B42" s="15" t="s">
        <v>6</v>
      </c>
      <c r="C42" s="16">
        <v>30000</v>
      </c>
      <c r="D42" s="17">
        <v>14.7</v>
      </c>
      <c r="E42" s="18">
        <f>C42*D42</f>
        <v>441000</v>
      </c>
      <c r="F42" s="18">
        <f>E42*0.002</f>
        <v>882</v>
      </c>
      <c r="G42" s="18">
        <f>E42*0.000068</f>
        <v>29.988</v>
      </c>
      <c r="H42" s="18">
        <f>E42*0.00001</f>
        <v>4.41</v>
      </c>
      <c r="I42" s="18">
        <f>(F42+G42+H42)*0.07</f>
        <v>64.147860000000009</v>
      </c>
      <c r="J42" s="18">
        <f>E42+F42+I42+G42+H42</f>
        <v>441980.54586000001</v>
      </c>
      <c r="K42" s="12"/>
    </row>
    <row r="43" spans="1:11" s="21" customFormat="1" ht="12.75">
      <c r="A43" s="8">
        <v>44260</v>
      </c>
      <c r="B43" s="13" t="s">
        <v>1</v>
      </c>
      <c r="C43" s="10">
        <v>10000</v>
      </c>
      <c r="D43" s="46">
        <v>12.7</v>
      </c>
      <c r="E43" s="20">
        <f>C43*D43</f>
        <v>127000</v>
      </c>
      <c r="F43" s="20">
        <f>E43*0.002</f>
        <v>254</v>
      </c>
      <c r="G43" s="20">
        <f>E43*0.000068</f>
        <v>8.6359999999999992</v>
      </c>
      <c r="H43" s="20">
        <f>E43*0.00001</f>
        <v>1.27</v>
      </c>
      <c r="I43" s="20">
        <f>(F43+G43+H43)*0.07</f>
        <v>18.473420000000001</v>
      </c>
      <c r="J43" s="20">
        <f>E43+F43+I43+G43+H43</f>
        <v>127282.37942</v>
      </c>
    </row>
    <row r="44" spans="1:11" s="21" customFormat="1" ht="12.75">
      <c r="A44" s="44"/>
      <c r="B44" s="80">
        <f>(D43-D42)/D42</f>
        <v>-0.1360544217687075</v>
      </c>
      <c r="C44" s="22">
        <f>SUM(C42:C43)</f>
        <v>40000</v>
      </c>
      <c r="D44" s="33">
        <f>E44/C44</f>
        <v>14.2</v>
      </c>
      <c r="E44" s="22">
        <f t="shared" ref="E44:J44" si="12">SUM(E42:E43)</f>
        <v>568000</v>
      </c>
      <c r="F44" s="22">
        <f t="shared" si="12"/>
        <v>1136</v>
      </c>
      <c r="G44" s="22">
        <f t="shared" si="12"/>
        <v>38.623999999999995</v>
      </c>
      <c r="H44" s="22">
        <f t="shared" si="12"/>
        <v>5.68</v>
      </c>
      <c r="I44" s="22">
        <f t="shared" si="12"/>
        <v>82.621280000000013</v>
      </c>
      <c r="J44" s="22">
        <f t="shared" si="12"/>
        <v>569262.92527999997</v>
      </c>
      <c r="K44" s="25"/>
    </row>
    <row r="45" spans="1:11" ht="12"/>
    <row r="46" spans="1:11" s="21" customFormat="1">
      <c r="A46" s="14">
        <v>43630</v>
      </c>
      <c r="B46" s="15" t="s">
        <v>1</v>
      </c>
      <c r="C46" s="16">
        <v>10000</v>
      </c>
      <c r="D46" s="41">
        <v>16.600000000000001</v>
      </c>
      <c r="E46" s="18">
        <f>C46*D46</f>
        <v>166000</v>
      </c>
      <c r="F46" s="18">
        <f>E46*0.002</f>
        <v>332</v>
      </c>
      <c r="G46" s="18">
        <f>E46*0.000068</f>
        <v>11.288</v>
      </c>
      <c r="H46" s="18">
        <f>E46*0.00001</f>
        <v>1.6600000000000001</v>
      </c>
      <c r="I46" s="18">
        <f>(F46+G46+H46)*0.07</f>
        <v>24.146360000000005</v>
      </c>
      <c r="J46" s="18">
        <f>E46+F46+I46+G46+H46</f>
        <v>166369.09436000002</v>
      </c>
    </row>
    <row r="47" spans="1:11" s="13" customFormat="1">
      <c r="A47" s="14">
        <v>43643</v>
      </c>
      <c r="B47" s="15" t="s">
        <v>3</v>
      </c>
      <c r="C47" s="16">
        <f>C46</f>
        <v>10000</v>
      </c>
      <c r="D47" s="26">
        <v>16.7</v>
      </c>
      <c r="E47" s="17">
        <f>C47*D47</f>
        <v>167000</v>
      </c>
      <c r="F47" s="27">
        <f>E47*0.002</f>
        <v>334</v>
      </c>
      <c r="G47" s="26">
        <f>E47*0.000068</f>
        <v>11.356</v>
      </c>
      <c r="H47" s="26">
        <f>E47*0.00001</f>
        <v>1.6700000000000002</v>
      </c>
      <c r="I47" s="26">
        <f>(F47+G47+H47)*0.07</f>
        <v>24.291820000000001</v>
      </c>
      <c r="J47" s="26">
        <f>E47-F47-G47-H47-I47</f>
        <v>166628.68217999997</v>
      </c>
    </row>
    <row r="48" spans="1:11" s="31" customFormat="1" ht="18.75">
      <c r="A48" s="14" t="s">
        <v>4</v>
      </c>
      <c r="B48" s="15"/>
      <c r="C48" s="16"/>
      <c r="D48" s="17"/>
      <c r="E48" s="18">
        <f>E47-E46</f>
        <v>1000</v>
      </c>
      <c r="F48" s="18"/>
      <c r="G48" s="18"/>
      <c r="H48" s="18"/>
      <c r="I48" s="18"/>
      <c r="J48" s="18">
        <f>J47-J46</f>
        <v>259.58781999995699</v>
      </c>
      <c r="K48" s="12"/>
    </row>
    <row r="49" spans="1:11" s="21" customFormat="1">
      <c r="A49" s="8"/>
      <c r="B49" s="13"/>
      <c r="C49" s="10"/>
      <c r="D49" s="46"/>
      <c r="E49" s="20"/>
      <c r="F49" s="20"/>
      <c r="G49" s="20"/>
      <c r="H49" s="20"/>
      <c r="I49" s="20"/>
      <c r="J49" s="20"/>
    </row>
    <row r="50" spans="1:11" s="13" customFormat="1">
      <c r="A50" s="8"/>
      <c r="C50" s="10"/>
      <c r="D50" s="34"/>
      <c r="E50" s="11"/>
      <c r="F50" s="35"/>
      <c r="G50" s="34"/>
      <c r="H50" s="34"/>
      <c r="I50" s="34"/>
      <c r="J50" s="34"/>
    </row>
    <row r="51" spans="1:11" s="31" customFormat="1" ht="18.75">
      <c r="A51" s="8"/>
      <c r="B51" s="13"/>
      <c r="C51" s="10"/>
      <c r="D51" s="11"/>
      <c r="E51" s="20"/>
      <c r="F51" s="20"/>
      <c r="G51" s="20"/>
      <c r="H51" s="20"/>
      <c r="I51" s="20"/>
      <c r="J51" s="20"/>
      <c r="K51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2"/>
  <sheetViews>
    <sheetView workbookViewId="0">
      <selection activeCell="A7" sqref="A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15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>
      <c r="A4" s="42"/>
      <c r="B4" s="7">
        <f>(D3-D2)/D2</f>
        <v>-5.4644808743169397E-2</v>
      </c>
      <c r="C4" s="5">
        <f>SUM(C2:C3)</f>
        <v>20000</v>
      </c>
      <c r="D4" s="65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>
      <c r="A6" s="42"/>
      <c r="B6" s="7">
        <f>(D5-D4)/D4</f>
        <v>0</v>
      </c>
      <c r="C6" s="5">
        <f>SUM(C4:C5)</f>
        <v>30000</v>
      </c>
      <c r="D6" s="65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>
      <c r="A8" s="42"/>
      <c r="B8" s="7">
        <f>(D7-D6)/D6</f>
        <v>0</v>
      </c>
      <c r="C8" s="5">
        <f>SUM(C6:C7)</f>
        <v>40000</v>
      </c>
      <c r="D8" s="65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>
      <c r="A10" s="44"/>
      <c r="B10" s="25">
        <f>(D9-D8)/D8</f>
        <v>-5.6179775280898875E-2</v>
      </c>
      <c r="C10" s="22">
        <f>SUM(C8:C9)</f>
        <v>50000</v>
      </c>
      <c r="D10" s="64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>
      <c r="A11" s="44"/>
      <c r="B11" s="25"/>
      <c r="C11" s="22"/>
      <c r="D11" s="64"/>
      <c r="E11" s="22"/>
      <c r="F11" s="22"/>
      <c r="G11" s="22"/>
      <c r="H11" s="22"/>
      <c r="I11" s="22"/>
      <c r="J11" s="22"/>
      <c r="K11" s="24"/>
      <c r="L11" s="25"/>
    </row>
    <row r="12" spans="1:14" s="62" customFormat="1" ht="21.75">
      <c r="A12" s="55">
        <v>44799</v>
      </c>
      <c r="C12" s="10">
        <f>C4</f>
        <v>20000</v>
      </c>
      <c r="D12" s="63">
        <v>0.19109999999999999</v>
      </c>
      <c r="E12" s="59">
        <v>0</v>
      </c>
      <c r="F12" s="32">
        <v>0</v>
      </c>
      <c r="G12" s="59">
        <v>0</v>
      </c>
      <c r="H12" s="11">
        <f>G12-E12</f>
        <v>0</v>
      </c>
      <c r="I12" s="12">
        <v>0</v>
      </c>
      <c r="J12" s="60">
        <f>C12*D12*0.9</f>
        <v>3439.8</v>
      </c>
      <c r="K12" s="11"/>
      <c r="L12" s="13"/>
      <c r="M12" s="61"/>
      <c r="N12" s="61"/>
    </row>
    <row r="13" spans="1:14">
      <c r="A13" s="55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5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>
      <c r="A15" s="55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7" customFormat="1">
      <c r="A17" s="81"/>
      <c r="B17" s="82"/>
      <c r="C17" s="83"/>
      <c r="D17" s="84"/>
      <c r="E17" s="85"/>
      <c r="F17" s="85"/>
      <c r="G17" s="85"/>
      <c r="H17" s="85"/>
      <c r="I17" s="85"/>
      <c r="J17" s="8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J10" sqref="J10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16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2" customFormat="1" ht="21.75">
      <c r="A4" s="49"/>
      <c r="B4" s="74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1"/>
      <c r="N4" s="61"/>
    </row>
    <row r="5" spans="1:14" s="13" customFormat="1" ht="12.75">
      <c r="A5" s="39">
        <v>44993</v>
      </c>
      <c r="B5" s="15" t="s">
        <v>1</v>
      </c>
      <c r="C5" s="16">
        <v>2400</v>
      </c>
      <c r="D5" s="17">
        <v>36</v>
      </c>
      <c r="E5" s="18">
        <f>C5*D5</f>
        <v>86400</v>
      </c>
      <c r="F5" s="18">
        <f>E5*0.002</f>
        <v>172.8</v>
      </c>
      <c r="G5" s="18">
        <f>E5*0.00006</f>
        <v>5.1840000000000002</v>
      </c>
      <c r="H5" s="18">
        <f>E5*0.00001</f>
        <v>0.8640000000000001</v>
      </c>
      <c r="I5" s="18">
        <f>(F5+G5+H5)*0.07</f>
        <v>12.519360000000002</v>
      </c>
      <c r="J5" s="18">
        <f>E5+F5+I5+G5+H5</f>
        <v>86591.367360000004</v>
      </c>
      <c r="K5" s="32"/>
      <c r="L5" s="11"/>
      <c r="M5" s="12"/>
    </row>
    <row r="6" spans="1:14" s="62" customFormat="1" ht="21.75">
      <c r="A6" s="49"/>
      <c r="B6" s="74">
        <f>(D5-D4)/D4</f>
        <v>-0.14285714285714285</v>
      </c>
      <c r="C6" s="16">
        <f>SUM(C4:C5)</f>
        <v>7200</v>
      </c>
      <c r="D6" s="40">
        <f>E6/C6</f>
        <v>40</v>
      </c>
      <c r="E6" s="16">
        <f>SUM(E4:E5)</f>
        <v>288000</v>
      </c>
      <c r="F6" s="16">
        <f>SUM(F4:F5)</f>
        <v>576</v>
      </c>
      <c r="G6" s="16">
        <f>SUM(G4:G5)</f>
        <v>17.28</v>
      </c>
      <c r="H6" s="16">
        <f>SUM(H4:H5)</f>
        <v>2.88</v>
      </c>
      <c r="I6" s="16">
        <f>SUM(I4:I5)</f>
        <v>41.731200000000008</v>
      </c>
      <c r="J6" s="16">
        <f>SUM(J4:J5)</f>
        <v>288637.89119999995</v>
      </c>
      <c r="K6" s="11"/>
      <c r="L6" s="13"/>
      <c r="M6" s="61"/>
      <c r="N6" s="61"/>
    </row>
    <row r="7" spans="1:14" ht="12.75">
      <c r="A7" s="66">
        <v>44993</v>
      </c>
      <c r="B7" s="13" t="s">
        <v>1</v>
      </c>
      <c r="C7" s="10">
        <v>2400</v>
      </c>
      <c r="D7" s="11">
        <v>34</v>
      </c>
      <c r="E7" s="20">
        <f>C7*D7</f>
        <v>81600</v>
      </c>
      <c r="F7" s="20">
        <f>E7*0.002</f>
        <v>163.20000000000002</v>
      </c>
      <c r="G7" s="20">
        <f>E7*0.00006</f>
        <v>4.8959999999999999</v>
      </c>
      <c r="H7" s="20">
        <f>E7*0.00001</f>
        <v>0.81600000000000006</v>
      </c>
      <c r="I7" s="20">
        <f>(F7+G7+H7)*0.07</f>
        <v>11.823840000000002</v>
      </c>
      <c r="J7" s="20">
        <f>E7+F7+I7+G7+H7</f>
        <v>81780.735839999994</v>
      </c>
    </row>
    <row r="8" spans="1:14" ht="21.75">
      <c r="A8" s="55"/>
      <c r="B8" s="75">
        <f>(D7-D6)/D6</f>
        <v>-0.15</v>
      </c>
      <c r="C8" s="10">
        <f>SUM(C6:C7)</f>
        <v>9600</v>
      </c>
      <c r="D8" s="63">
        <f>E8/C8</f>
        <v>38.5</v>
      </c>
      <c r="E8" s="10">
        <f>SUM(E6:E7)</f>
        <v>369600</v>
      </c>
      <c r="F8" s="10">
        <f>SUM(F6:F7)</f>
        <v>739.2</v>
      </c>
      <c r="G8" s="10">
        <f>SUM(G6:G7)</f>
        <v>22.176000000000002</v>
      </c>
      <c r="H8" s="10">
        <f>SUM(H6:H7)</f>
        <v>3.6959999999999997</v>
      </c>
      <c r="I8" s="10">
        <f>SUM(I6:I7)</f>
        <v>53.555040000000012</v>
      </c>
      <c r="J8" s="10">
        <f>SUM(J6:J7)</f>
        <v>370418.62703999993</v>
      </c>
    </row>
    <row r="9" spans="1:14" ht="21.75">
      <c r="A9" s="55"/>
      <c r="B9" s="75"/>
      <c r="C9" s="10"/>
      <c r="D9" s="63"/>
      <c r="E9" s="10"/>
      <c r="F9" s="10"/>
      <c r="G9" s="10"/>
      <c r="H9" s="10"/>
      <c r="I9" s="10"/>
      <c r="J9" s="10"/>
    </row>
    <row r="10" spans="1:14" s="62" customFormat="1" ht="21.75">
      <c r="A10" s="55">
        <v>44799</v>
      </c>
      <c r="C10" s="10">
        <f>C6</f>
        <v>7200</v>
      </c>
      <c r="D10" s="63">
        <v>0.4</v>
      </c>
      <c r="E10" s="59">
        <v>0</v>
      </c>
      <c r="F10" s="32">
        <v>0</v>
      </c>
      <c r="G10" s="59">
        <v>0</v>
      </c>
      <c r="H10" s="11">
        <f>G10-E10</f>
        <v>0</v>
      </c>
      <c r="I10" s="12">
        <v>0</v>
      </c>
      <c r="J10" s="60">
        <f>C10*D10*0.9</f>
        <v>2592</v>
      </c>
      <c r="K10" s="11"/>
      <c r="L10" s="13"/>
      <c r="M10" s="61"/>
      <c r="N10" s="61"/>
    </row>
    <row r="11" spans="1:14">
      <c r="A11" s="55">
        <v>44242</v>
      </c>
      <c r="B11" s="13" t="s">
        <v>1</v>
      </c>
      <c r="C11" s="10">
        <f>C10</f>
        <v>7200</v>
      </c>
      <c r="D11" s="46">
        <f>D6</f>
        <v>40</v>
      </c>
      <c r="E11" s="20">
        <f>C11*D11</f>
        <v>288000</v>
      </c>
      <c r="F11" s="20">
        <f>E11*0.002</f>
        <v>576</v>
      </c>
      <c r="G11" s="20">
        <f>E11*0.00006</f>
        <v>17.28</v>
      </c>
      <c r="H11" s="20">
        <f>E11*0.00001</f>
        <v>2.8800000000000003</v>
      </c>
      <c r="I11" s="20">
        <f>(F11+G11+H11)*0.07</f>
        <v>41.731200000000001</v>
      </c>
      <c r="J11" s="20">
        <f>E11+F11+I11+G11+H11</f>
        <v>288637.89120000001</v>
      </c>
    </row>
    <row r="12" spans="1:14">
      <c r="A12" s="55">
        <v>44277</v>
      </c>
      <c r="B12" s="13" t="s">
        <v>3</v>
      </c>
      <c r="C12" s="10">
        <f>C11</f>
        <v>7200</v>
      </c>
      <c r="D12" s="34">
        <v>40.25</v>
      </c>
      <c r="E12" s="11">
        <f>C12*D12</f>
        <v>289800</v>
      </c>
      <c r="F12" s="35">
        <f>E12*0.002</f>
        <v>579.6</v>
      </c>
      <c r="G12" s="34">
        <f>E12*0.000068</f>
        <v>19.706399999999999</v>
      </c>
      <c r="H12" s="34">
        <f>E12*0.00001</f>
        <v>2.8980000000000001</v>
      </c>
      <c r="I12" s="34">
        <f>(F12+G12+H12)*0.07</f>
        <v>42.154308000000007</v>
      </c>
      <c r="J12" s="34">
        <f>E12-F12-G12-H12-I12</f>
        <v>289155.64129200001</v>
      </c>
    </row>
    <row r="13" spans="1:14" ht="21.75">
      <c r="A13" s="55" t="s">
        <v>4</v>
      </c>
      <c r="B13" s="75">
        <f>(D12-D11)/D11</f>
        <v>6.2500000000000003E-3</v>
      </c>
      <c r="C13" s="10"/>
      <c r="D13" s="11"/>
      <c r="E13" s="20">
        <f>E12-E11</f>
        <v>1800</v>
      </c>
      <c r="F13" s="20"/>
      <c r="G13" s="20"/>
      <c r="H13" s="20"/>
      <c r="I13" s="20"/>
      <c r="J13" s="20">
        <f>J12-J11</f>
        <v>517.75009200000204</v>
      </c>
    </row>
    <row r="14" spans="1:14">
      <c r="J14" s="53">
        <f>J10+J13</f>
        <v>3109.750092000002</v>
      </c>
    </row>
    <row r="15" spans="1:14" s="77" customFormat="1">
      <c r="A15" s="81"/>
      <c r="B15" s="82"/>
      <c r="C15" s="83"/>
      <c r="D15" s="84"/>
      <c r="E15" s="85"/>
      <c r="F15" s="85"/>
      <c r="G15" s="85"/>
      <c r="H15" s="85"/>
      <c r="I15" s="85"/>
      <c r="J15" s="85"/>
    </row>
    <row r="16" spans="1:14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31" customFormat="1" ht="18.75">
      <c r="A17" s="28"/>
      <c r="B17" s="30"/>
      <c r="C17" s="16"/>
      <c r="D17" s="17"/>
      <c r="E17" s="18"/>
      <c r="F17" s="18"/>
      <c r="G17" s="18"/>
      <c r="H17" s="18"/>
      <c r="I17" s="18"/>
      <c r="J17" s="18"/>
      <c r="K17" s="32"/>
      <c r="L17" s="12"/>
      <c r="M17" s="12"/>
    </row>
    <row r="18" spans="1:13" s="21" customFormat="1">
      <c r="A18" s="49"/>
      <c r="B18" s="15"/>
      <c r="C18" s="16"/>
      <c r="D18" s="17"/>
      <c r="E18" s="18"/>
      <c r="F18" s="18"/>
      <c r="G18" s="18"/>
      <c r="H18" s="18"/>
      <c r="I18" s="18"/>
      <c r="J18" s="18"/>
      <c r="L18" s="25"/>
    </row>
    <row r="19" spans="1:13" s="13" customFormat="1">
      <c r="A19" s="49"/>
      <c r="B19" s="15"/>
      <c r="C19" s="16"/>
      <c r="D19" s="26"/>
      <c r="E19" s="17"/>
      <c r="F19" s="27"/>
      <c r="G19" s="26"/>
      <c r="H19" s="26"/>
      <c r="I19" s="26"/>
      <c r="J19" s="26"/>
    </row>
    <row r="20" spans="1:13" s="31" customFormat="1" ht="18.75">
      <c r="A20" s="28"/>
      <c r="B20" s="30"/>
      <c r="C20" s="16"/>
      <c r="D20" s="17"/>
      <c r="E20" s="18"/>
      <c r="F20" s="18"/>
      <c r="G20" s="18"/>
      <c r="H20" s="18"/>
      <c r="I20" s="18"/>
      <c r="J20" s="18"/>
      <c r="K20" s="32"/>
      <c r="L20" s="12"/>
      <c r="M20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8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17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4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4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>
      <c r="A27" s="9"/>
      <c r="B27" s="12"/>
      <c r="C27" s="22"/>
      <c r="D27" s="33"/>
      <c r="E27" s="94"/>
      <c r="F27" s="22"/>
      <c r="G27" s="22"/>
      <c r="H27" s="22"/>
      <c r="I27" s="22"/>
      <c r="J27" s="22"/>
      <c r="K27" s="25"/>
    </row>
    <row r="28" spans="1:13" s="21" customFormat="1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6"/>
  <sheetViews>
    <sheetView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18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30.5</v>
      </c>
      <c r="E3" s="18">
        <f>C3*D3</f>
        <v>36600</v>
      </c>
      <c r="F3" s="18">
        <f>E3*0.002</f>
        <v>73.2</v>
      </c>
      <c r="G3" s="18">
        <f>E3*0.00006</f>
        <v>2.1960000000000002</v>
      </c>
      <c r="H3" s="18">
        <f>E3*0.00001</f>
        <v>0.36600000000000005</v>
      </c>
      <c r="I3" s="18">
        <f>(F3+G3+H3)*0.07</f>
        <v>5.3033400000000004</v>
      </c>
      <c r="J3" s="18">
        <f>E3+F3+I3+G3+H3</f>
        <v>36681.065340000001</v>
      </c>
    </row>
    <row r="4" spans="1:13" s="1" customFormat="1">
      <c r="A4" s="49"/>
      <c r="B4" s="30">
        <f>(D3-D2)/D2</f>
        <v>-0.22784810126582278</v>
      </c>
      <c r="C4" s="16">
        <f>SUM(C2:C3)</f>
        <v>4800</v>
      </c>
      <c r="D4" s="17">
        <f>E4/C4</f>
        <v>37.25</v>
      </c>
      <c r="E4" s="16">
        <f t="shared" ref="E4:J4" si="0">SUM(E2:E3)</f>
        <v>178800</v>
      </c>
      <c r="F4" s="16">
        <f t="shared" si="0"/>
        <v>357.6</v>
      </c>
      <c r="G4" s="16">
        <f t="shared" si="0"/>
        <v>10.728</v>
      </c>
      <c r="H4" s="16">
        <f t="shared" si="0"/>
        <v>1.7880000000000003</v>
      </c>
      <c r="I4" s="16">
        <f t="shared" si="0"/>
        <v>25.908120000000004</v>
      </c>
      <c r="J4" s="16">
        <f t="shared" si="0"/>
        <v>179196.02411999999</v>
      </c>
    </row>
    <row r="5" spans="1:13" s="1" customFormat="1">
      <c r="A5" s="55">
        <v>44972</v>
      </c>
      <c r="B5" s="13" t="s">
        <v>1</v>
      </c>
      <c r="C5" s="10">
        <v>1200</v>
      </c>
      <c r="D5" s="46">
        <v>23.5</v>
      </c>
      <c r="E5" s="20">
        <f>C5*D5</f>
        <v>28200</v>
      </c>
      <c r="F5" s="20">
        <f>E5*0.002</f>
        <v>56.4</v>
      </c>
      <c r="G5" s="20">
        <f>E5*0.00006</f>
        <v>1.6919999999999999</v>
      </c>
      <c r="H5" s="20">
        <f>E5*0.00001</f>
        <v>0.28200000000000003</v>
      </c>
      <c r="I5" s="20">
        <f>(F5+G5+H5)*0.07</f>
        <v>4.0861799999999997</v>
      </c>
      <c r="J5" s="20">
        <f>E5+F5+I5+G5+H5</f>
        <v>28262.460179999998</v>
      </c>
    </row>
    <row r="6" spans="1:13" s="1" customFormat="1">
      <c r="A6" s="55"/>
      <c r="B6" s="12">
        <f>(D5-D4)/D4</f>
        <v>-0.36912751677852351</v>
      </c>
      <c r="C6" s="10">
        <f>SUM(C4:C5)</f>
        <v>6000</v>
      </c>
      <c r="D6" s="11">
        <f>E6/C6</f>
        <v>34.5</v>
      </c>
      <c r="E6" s="10">
        <f t="shared" ref="E6:J6" si="1">SUM(E4:E5)</f>
        <v>207000</v>
      </c>
      <c r="F6" s="10">
        <f t="shared" si="1"/>
        <v>414</v>
      </c>
      <c r="G6" s="10">
        <f t="shared" si="1"/>
        <v>12.42</v>
      </c>
      <c r="H6" s="10">
        <f t="shared" si="1"/>
        <v>2.0700000000000003</v>
      </c>
      <c r="I6" s="10">
        <f t="shared" si="1"/>
        <v>29.994300000000003</v>
      </c>
      <c r="J6" s="10">
        <f t="shared" si="1"/>
        <v>207458.48429999998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workbookViewId="0">
      <selection activeCell="D8" sqref="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7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7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19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8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8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8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8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8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8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8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8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8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8">
        <f t="shared" si="1"/>
        <v>233616.29319</v>
      </c>
    </row>
    <row r="7" spans="1:13">
      <c r="A7" s="55">
        <v>44970</v>
      </c>
      <c r="B7" s="13" t="s">
        <v>1</v>
      </c>
      <c r="C7" s="10">
        <v>1200</v>
      </c>
      <c r="D7" s="46">
        <v>42</v>
      </c>
      <c r="E7" s="61">
        <f>C7*D7</f>
        <v>50400</v>
      </c>
      <c r="F7" s="20">
        <f>E7*0.002</f>
        <v>100.8</v>
      </c>
      <c r="G7" s="20">
        <f>E7*0.00006</f>
        <v>3.024</v>
      </c>
      <c r="H7" s="20">
        <f>E7*0.00001</f>
        <v>0.504</v>
      </c>
      <c r="I7" s="20">
        <f>(F7+G7+H7)*0.07</f>
        <v>7.3029600000000006</v>
      </c>
      <c r="J7" s="61">
        <f>E7+F7+I7+G7+H7</f>
        <v>50511.630960000002</v>
      </c>
    </row>
    <row r="8" spans="1:13">
      <c r="A8" s="55"/>
      <c r="B8" s="12">
        <f>(D7-D6)/D6</f>
        <v>-0.24324324324324326</v>
      </c>
      <c r="C8" s="10">
        <f>SUM(C6:C7)</f>
        <v>5400</v>
      </c>
      <c r="D8" s="11">
        <f>E8/C8</f>
        <v>52.5</v>
      </c>
      <c r="E8" s="61">
        <f t="shared" ref="E8:J8" si="2">SUM(E6:E7)</f>
        <v>283500</v>
      </c>
      <c r="F8" s="10">
        <f t="shared" si="2"/>
        <v>567</v>
      </c>
      <c r="G8" s="10">
        <f t="shared" si="2"/>
        <v>17.010000000000002</v>
      </c>
      <c r="H8" s="10">
        <f t="shared" si="2"/>
        <v>2.8350000000000004</v>
      </c>
      <c r="I8" s="10">
        <f t="shared" si="2"/>
        <v>41.079150000000006</v>
      </c>
      <c r="J8" s="61">
        <f t="shared" si="2"/>
        <v>284127.92414999998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4"/>
  <sheetViews>
    <sheetView topLeftCell="A51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20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21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5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21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5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>
      <c r="A56" s="8">
        <v>44740</v>
      </c>
      <c r="B56" s="13" t="s">
        <v>1</v>
      </c>
      <c r="C56" s="10">
        <v>5000</v>
      </c>
      <c r="D56" s="63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>
      <c r="B57" s="12">
        <f>(D56-D55)/D55</f>
        <v>-0.41558441558441561</v>
      </c>
      <c r="C57" s="22">
        <f>SUM(C55:C56)</f>
        <v>80000</v>
      </c>
      <c r="D57" s="64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2" sqref="D12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23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5">
        <v>44676</v>
      </c>
      <c r="B7" s="13" t="s">
        <v>1</v>
      </c>
      <c r="C7" s="10">
        <v>5000</v>
      </c>
      <c r="D7" s="46">
        <v>11</v>
      </c>
      <c r="E7" s="20">
        <f>C7*D7</f>
        <v>55000</v>
      </c>
      <c r="F7" s="20">
        <f>E7*0.002</f>
        <v>110</v>
      </c>
      <c r="G7" s="20">
        <f>E7*0.00006</f>
        <v>3.3000000000000003</v>
      </c>
      <c r="H7" s="20">
        <f>E7*0.00001</f>
        <v>0.55000000000000004</v>
      </c>
      <c r="I7" s="20">
        <f>(F7+G7+H7)*0.07</f>
        <v>7.9695</v>
      </c>
      <c r="J7" s="20">
        <f>E7+F7+I7+G7+H7</f>
        <v>55121.819500000005</v>
      </c>
    </row>
    <row r="8" spans="1:13" s="1" customFormat="1">
      <c r="A8" s="55"/>
      <c r="B8" s="12">
        <f>(D7-D6)/D6</f>
        <v>0</v>
      </c>
      <c r="C8" s="10">
        <f>SUM(C6:C7)</f>
        <v>50000</v>
      </c>
      <c r="D8" s="11">
        <f>E8/C8</f>
        <v>11</v>
      </c>
      <c r="E8" s="10">
        <f t="shared" ref="E8:J8" si="2">SUM(E6:E7)</f>
        <v>550000</v>
      </c>
      <c r="F8" s="10">
        <f t="shared" si="2"/>
        <v>1100</v>
      </c>
      <c r="G8" s="10">
        <f t="shared" si="2"/>
        <v>33</v>
      </c>
      <c r="H8" s="10">
        <f t="shared" si="2"/>
        <v>5.5</v>
      </c>
      <c r="I8" s="10">
        <f t="shared" si="2"/>
        <v>79.694999999999993</v>
      </c>
      <c r="J8" s="10">
        <f t="shared" si="2"/>
        <v>551218.19499999995</v>
      </c>
    </row>
    <row r="10" spans="1:13" s="1" customFormat="1">
      <c r="A10" s="55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>
      <c r="A11" s="55">
        <v>44809</v>
      </c>
      <c r="B11" s="13" t="s">
        <v>3</v>
      </c>
      <c r="C11" s="10">
        <f>C10</f>
        <v>15000</v>
      </c>
      <c r="D11" s="34">
        <v>13.2</v>
      </c>
      <c r="E11" s="11">
        <f>C11*D11</f>
        <v>198000</v>
      </c>
      <c r="F11" s="35">
        <f>E11*0.002</f>
        <v>396</v>
      </c>
      <c r="G11" s="34">
        <f>E11*0.000068</f>
        <v>13.464</v>
      </c>
      <c r="H11" s="34">
        <f>E11*0.00001</f>
        <v>1.9800000000000002</v>
      </c>
      <c r="I11" s="34">
        <f>(F11+G11+H11)*0.07</f>
        <v>28.801080000000002</v>
      </c>
      <c r="J11" s="34">
        <f>E11-F11-G11-H11-I11</f>
        <v>197559.75491999998</v>
      </c>
    </row>
    <row r="12" spans="1:13" s="31" customFormat="1" ht="18.75">
      <c r="A12" s="9">
        <f>DAYS360(A10,A11)</f>
        <v>130</v>
      </c>
      <c r="B12" s="12">
        <f>(D11-D10)/D10</f>
        <v>0.19999999999999993</v>
      </c>
      <c r="C12" s="10"/>
      <c r="D12" s="11"/>
      <c r="E12" s="20">
        <f>E11-E10</f>
        <v>33000</v>
      </c>
      <c r="F12" s="20"/>
      <c r="G12" s="20"/>
      <c r="H12" s="20"/>
      <c r="I12" s="20"/>
      <c r="J12" s="20">
        <f>J11-J10</f>
        <v>32194.296419999999</v>
      </c>
      <c r="K12" s="32"/>
      <c r="L12" s="12"/>
      <c r="M12" s="12"/>
    </row>
    <row r="14" spans="1:13" s="1" customFormat="1">
      <c r="A14" s="55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>
      <c r="A15" s="55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3" customFormat="1">
      <c r="A2" s="55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5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4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5">
        <v>44543</v>
      </c>
      <c r="B5" s="92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5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5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4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5">
        <v>44551</v>
      </c>
      <c r="B9" s="92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5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5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4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5">
        <v>44580</v>
      </c>
      <c r="B13" s="92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89"/>
      <c r="B16" s="7">
        <f>(D15-D12)/D12</f>
        <v>8.98876404494382E-2</v>
      </c>
      <c r="C16" s="5">
        <f>SUM(C14:C15)</f>
        <v>6000</v>
      </c>
      <c r="D16" s="65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89"/>
      <c r="B18" s="7">
        <f>(D17-D15)/D15</f>
        <v>-1.0309278350515464E-2</v>
      </c>
      <c r="C18" s="5">
        <f>SUM(C16:C17)</f>
        <v>7500</v>
      </c>
      <c r="D18" s="65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89"/>
      <c r="B20" s="7">
        <f>(D19-D17)/D17</f>
        <v>-1.0416666666666666E-2</v>
      </c>
      <c r="C20" s="5">
        <f>SUM(C18:C19)</f>
        <v>9000</v>
      </c>
      <c r="D20" s="65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89"/>
      <c r="B22" s="7">
        <f>(D21-D19)/D19</f>
        <v>5.7894736842105263E-2</v>
      </c>
      <c r="C22" s="5">
        <f>SUM(C20:C21)</f>
        <v>12000</v>
      </c>
      <c r="D22" s="65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>
      <c r="A24" s="89"/>
      <c r="B24" s="7">
        <f>(D23-D21)/D21</f>
        <v>-0.20895522388059701</v>
      </c>
      <c r="C24" s="5">
        <f>SUM(C22:C23)</f>
        <v>15000</v>
      </c>
      <c r="D24" s="65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>
      <c r="A26" s="89"/>
      <c r="B26" s="7">
        <f>(D25-D24)/D24</f>
        <v>-0.39344262295081966</v>
      </c>
      <c r="C26" s="5">
        <f>SUM(C24:C25)</f>
        <v>18000</v>
      </c>
      <c r="D26" s="65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>
      <c r="A28" s="89"/>
      <c r="B28" s="7">
        <f>(D27-D26)/D26</f>
        <v>-0.28654970760233917</v>
      </c>
      <c r="C28" s="5">
        <f>SUM(C26:C27)</f>
        <v>21000</v>
      </c>
      <c r="D28" s="65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>
      <c r="A30" s="89"/>
      <c r="B30" s="7">
        <f>(D29-D28)/D28</f>
        <v>-0.23170731707317074</v>
      </c>
      <c r="C30" s="5">
        <f>SUM(C28:C29)</f>
        <v>24000</v>
      </c>
      <c r="D30" s="65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>
      <c r="A32" s="89"/>
      <c r="B32" s="7">
        <f>(D31-D30)/D30</f>
        <v>-0.24018838304552589</v>
      </c>
      <c r="C32" s="5">
        <f>SUM(C30:C31)</f>
        <v>27000</v>
      </c>
      <c r="D32" s="65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>
      <c r="A33" s="55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>
      <c r="B34" s="25">
        <f>(D33-D32)/D32</f>
        <v>-0.25806451612903225</v>
      </c>
      <c r="C34" s="22">
        <f>SUM(C32:C33)</f>
        <v>30000</v>
      </c>
      <c r="D34" s="64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>
      <c r="A35" s="88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5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>
      <c r="A41" s="55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>
      <c r="A42" s="55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69"/>
      <c r="B4" s="7">
        <f>(D3-D2)/D2</f>
        <v>-2.4390243902439025E-2</v>
      </c>
      <c r="C4" s="5">
        <f>SUM(C2:C3)</f>
        <v>600</v>
      </c>
      <c r="D4" s="70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69"/>
      <c r="B6" s="7">
        <f>(D5-D4)/D4</f>
        <v>-5.185185185185185E-2</v>
      </c>
      <c r="C6" s="5">
        <f>SUM(C4:C5)</f>
        <v>900</v>
      </c>
      <c r="D6" s="70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6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7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D14" sqref="D14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4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69"/>
      <c r="B4" s="7">
        <f>(D3-D2)/D2</f>
        <v>0</v>
      </c>
      <c r="C4" s="5">
        <f>SUM(C2:C3)</f>
        <v>45000</v>
      </c>
      <c r="D4" s="65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69"/>
      <c r="B6" s="7">
        <f>(D5-D4)/D4</f>
        <v>-8.3333333333333232E-2</v>
      </c>
      <c r="C6" s="5">
        <f>SUM(C4:C5)</f>
        <v>60000</v>
      </c>
      <c r="D6" s="65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69"/>
      <c r="B8" s="7">
        <f>(D7-D6)/D6</f>
        <v>-6.3829787234042507E-2</v>
      </c>
      <c r="C8" s="5">
        <f>SUM(C6:C7)</f>
        <v>75000</v>
      </c>
      <c r="D8" s="65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69"/>
      <c r="B10" s="7">
        <f>(D9-D8)/D8</f>
        <v>-7.7586206896551602E-2</v>
      </c>
      <c r="C10" s="5">
        <f>SUM(C8:C9)</f>
        <v>90000</v>
      </c>
      <c r="D10" s="65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69"/>
      <c r="B12" s="7">
        <f>(D11-D10)/D10</f>
        <v>-0.15283842794759828</v>
      </c>
      <c r="C12" s="5">
        <f>SUM(C10:C11)</f>
        <v>105000</v>
      </c>
      <c r="D12" s="65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6">
        <v>44693</v>
      </c>
      <c r="B13" s="13" t="s">
        <v>1</v>
      </c>
      <c r="C13" s="10">
        <v>15000</v>
      </c>
      <c r="D13" s="63">
        <v>3.52</v>
      </c>
      <c r="E13" s="20">
        <f>C13*D13</f>
        <v>52800</v>
      </c>
      <c r="F13" s="20">
        <f>E13*0.002</f>
        <v>105.60000000000001</v>
      </c>
      <c r="G13" s="20">
        <f>E13*0.00006</f>
        <v>3.1680000000000001</v>
      </c>
      <c r="H13" s="20">
        <f>E13*0.00001</f>
        <v>0.52800000000000002</v>
      </c>
      <c r="I13" s="20">
        <f>(F13+G13+H13)*0.07</f>
        <v>7.6507200000000024</v>
      </c>
      <c r="J13" s="20">
        <f>E13+F13+I13+G13+H13</f>
        <v>52916.946719999993</v>
      </c>
    </row>
    <row r="14" spans="1:13">
      <c r="B14" s="25">
        <f>(D13-D12)/D12</f>
        <v>-0.21428571428571436</v>
      </c>
      <c r="C14" s="22">
        <f>SUM(C12:C13)</f>
        <v>120000</v>
      </c>
      <c r="D14" s="64">
        <f>E14/C14</f>
        <v>4.3600000000000003</v>
      </c>
      <c r="E14" s="22">
        <f t="shared" ref="E14:J14" si="5">SUM(E12:E13)</f>
        <v>523200</v>
      </c>
      <c r="F14" s="22">
        <f t="shared" si="5"/>
        <v>1046.3999999999999</v>
      </c>
      <c r="G14" s="22">
        <f t="shared" si="5"/>
        <v>31.392000000000003</v>
      </c>
      <c r="H14" s="22">
        <f t="shared" si="5"/>
        <v>5.2320000000000011</v>
      </c>
      <c r="I14" s="22">
        <f t="shared" si="5"/>
        <v>75.81168000000001</v>
      </c>
      <c r="J14" s="22">
        <f t="shared" si="5"/>
        <v>524358.83568000002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8"/>
  <sheetViews>
    <sheetView tabSelected="1" workbookViewId="0">
      <selection activeCell="D8" sqref="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21</v>
      </c>
      <c r="E3" s="18">
        <f>C3*D3</f>
        <v>25200</v>
      </c>
      <c r="F3" s="18">
        <f>E3*0.002</f>
        <v>50.4</v>
      </c>
      <c r="G3" s="18">
        <f>E3*0.00006</f>
        <v>1.512</v>
      </c>
      <c r="H3" s="18">
        <f>E3*0.00001</f>
        <v>0.252</v>
      </c>
      <c r="I3" s="18">
        <f>(F3+G3+H3)*0.07</f>
        <v>3.6514800000000003</v>
      </c>
      <c r="J3" s="18">
        <f>E3+F3+I3+G3+H3</f>
        <v>25255.815480000001</v>
      </c>
    </row>
    <row r="4" spans="1:13" s="1" customFormat="1">
      <c r="A4" s="49"/>
      <c r="B4" s="30">
        <f>(D3-D2)/D2</f>
        <v>-0.25</v>
      </c>
      <c r="C4" s="16">
        <f>SUM(C2:C3)</f>
        <v>4800</v>
      </c>
      <c r="D4" s="17">
        <f>E4/C4</f>
        <v>26.25</v>
      </c>
      <c r="E4" s="16">
        <f t="shared" ref="E4:J4" si="0">SUM(E2:E3)</f>
        <v>126000</v>
      </c>
      <c r="F4" s="16">
        <f t="shared" si="0"/>
        <v>252</v>
      </c>
      <c r="G4" s="16">
        <f t="shared" si="0"/>
        <v>7.5600000000000005</v>
      </c>
      <c r="H4" s="16">
        <f t="shared" si="0"/>
        <v>1.26</v>
      </c>
      <c r="I4" s="16">
        <f t="shared" si="0"/>
        <v>18.257400000000001</v>
      </c>
      <c r="J4" s="16">
        <f t="shared" si="0"/>
        <v>126279.07740000001</v>
      </c>
    </row>
    <row r="5" spans="1:13" s="1" customFormat="1" ht="12.75">
      <c r="A5" s="49">
        <v>44676</v>
      </c>
      <c r="B5" s="15" t="s">
        <v>1</v>
      </c>
      <c r="C5" s="16">
        <v>1200</v>
      </c>
      <c r="D5" s="41">
        <v>19</v>
      </c>
      <c r="E5" s="18">
        <f>C5*D5</f>
        <v>22800</v>
      </c>
      <c r="F5" s="18">
        <f>E5*0.002</f>
        <v>45.6</v>
      </c>
      <c r="G5" s="18">
        <f>E5*0.00006</f>
        <v>1.3680000000000001</v>
      </c>
      <c r="H5" s="18">
        <f>E5*0.00001</f>
        <v>0.22800000000000001</v>
      </c>
      <c r="I5" s="18">
        <f>(F5+G5+H5)*0.07</f>
        <v>3.3037200000000007</v>
      </c>
      <c r="J5" s="18">
        <f>E5+F5+I5+G5+H5</f>
        <v>22850.499719999996</v>
      </c>
    </row>
    <row r="6" spans="1:13" s="1" customFormat="1" ht="12.75">
      <c r="A6" s="49"/>
      <c r="B6" s="30">
        <f>(D5-D4)/D4</f>
        <v>-0.27619047619047621</v>
      </c>
      <c r="C6" s="16">
        <f>SUM(C4:C5)</f>
        <v>6000</v>
      </c>
      <c r="D6" s="17">
        <f>E6/C6</f>
        <v>24.8</v>
      </c>
      <c r="E6" s="16">
        <f t="shared" ref="E6:J6" si="1">SUM(E4:E5)</f>
        <v>148800</v>
      </c>
      <c r="F6" s="16">
        <f t="shared" si="1"/>
        <v>297.60000000000002</v>
      </c>
      <c r="G6" s="16">
        <f t="shared" si="1"/>
        <v>8.9280000000000008</v>
      </c>
      <c r="H6" s="16">
        <f t="shared" si="1"/>
        <v>1.488</v>
      </c>
      <c r="I6" s="16">
        <f t="shared" si="1"/>
        <v>21.561120000000003</v>
      </c>
      <c r="J6" s="16">
        <f t="shared" si="1"/>
        <v>149129.57712</v>
      </c>
    </row>
    <row r="7" spans="1:13" s="1" customFormat="1">
      <c r="A7" s="55">
        <v>44676</v>
      </c>
      <c r="B7" s="13" t="s">
        <v>1</v>
      </c>
      <c r="C7" s="10">
        <v>1200</v>
      </c>
      <c r="D7" s="46">
        <v>19.399999999999999</v>
      </c>
      <c r="E7" s="20">
        <f>C7*D7</f>
        <v>23280</v>
      </c>
      <c r="F7" s="20">
        <f>E7*0.002</f>
        <v>46.56</v>
      </c>
      <c r="G7" s="20">
        <f>E7*0.00006</f>
        <v>1.3968</v>
      </c>
      <c r="H7" s="20">
        <f>E7*0.00001</f>
        <v>0.23280000000000001</v>
      </c>
      <c r="I7" s="20">
        <f>(F7+G7+H7)*0.07</f>
        <v>3.373272</v>
      </c>
      <c r="J7" s="20">
        <f>E7+F7+I7+G7+H7</f>
        <v>23331.562872000002</v>
      </c>
    </row>
    <row r="8" spans="1:13" s="1" customFormat="1">
      <c r="A8" s="55"/>
      <c r="B8" s="12">
        <f>(D7-D6)/D6</f>
        <v>-0.21774193548387105</v>
      </c>
      <c r="C8" s="10">
        <f>SUM(C6:C7)</f>
        <v>7200</v>
      </c>
      <c r="D8" s="11">
        <f>E8/C8</f>
        <v>23.9</v>
      </c>
      <c r="E8" s="10">
        <f t="shared" ref="E8:J8" si="2">SUM(E6:E7)</f>
        <v>172080</v>
      </c>
      <c r="F8" s="10">
        <f t="shared" si="2"/>
        <v>344.16</v>
      </c>
      <c r="G8" s="10">
        <f t="shared" si="2"/>
        <v>10.324800000000002</v>
      </c>
      <c r="H8" s="10">
        <f t="shared" si="2"/>
        <v>1.7208000000000001</v>
      </c>
      <c r="I8" s="10">
        <f t="shared" si="2"/>
        <v>24.934392000000003</v>
      </c>
      <c r="J8" s="10">
        <f t="shared" si="2"/>
        <v>172461.13999200001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5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5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5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5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5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4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9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29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>
      <c r="A3" s="55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2" customFormat="1" ht="21.75">
      <c r="A5" s="55">
        <v>44904</v>
      </c>
      <c r="C5" s="10">
        <f>C2</f>
        <v>10000</v>
      </c>
      <c r="D5" s="63">
        <v>0.1003</v>
      </c>
      <c r="E5" s="59">
        <v>0</v>
      </c>
      <c r="F5" s="32">
        <v>0</v>
      </c>
      <c r="G5" s="59">
        <v>0</v>
      </c>
      <c r="H5" s="11">
        <f>G5-E5</f>
        <v>0</v>
      </c>
      <c r="I5" s="12">
        <v>0</v>
      </c>
      <c r="J5" s="60">
        <f>C5*D5</f>
        <v>1003</v>
      </c>
      <c r="K5" s="11"/>
      <c r="L5" s="13"/>
      <c r="M5" s="61"/>
      <c r="N5" s="61"/>
    </row>
    <row r="6" spans="1:14" s="1" customFormat="1">
      <c r="A6" s="55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5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5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30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2" customFormat="1" ht="21.75">
      <c r="A4" s="49"/>
      <c r="B4" s="74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1"/>
      <c r="N4" s="61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2" customFormat="1" ht="21.75">
      <c r="A6" s="49"/>
      <c r="B6" s="74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1"/>
      <c r="N6" s="61"/>
    </row>
    <row r="7" spans="1:14" s="13" customFormat="1">
      <c r="A7" s="66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2" customFormat="1" ht="21.75">
      <c r="A8" s="55"/>
      <c r="B8" s="75">
        <f>(D7-D6)/D6</f>
        <v>-0.27450980392156854</v>
      </c>
      <c r="C8" s="10">
        <f>SUM(C6:C7)</f>
        <v>48000</v>
      </c>
      <c r="D8" s="63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1"/>
      <c r="N8" s="61"/>
    </row>
    <row r="9" spans="1:14" s="62" customFormat="1" ht="21.75">
      <c r="A9" s="49"/>
      <c r="B9" s="74"/>
      <c r="C9" s="16"/>
      <c r="D9" s="40"/>
      <c r="E9" s="16"/>
      <c r="F9" s="16"/>
      <c r="G9" s="16"/>
      <c r="H9" s="16"/>
      <c r="I9" s="16"/>
      <c r="J9" s="16"/>
      <c r="K9" s="11"/>
      <c r="L9" s="13"/>
      <c r="M9" s="61"/>
      <c r="N9" s="61"/>
    </row>
    <row r="10" spans="1:14" s="13" customFormat="1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2" customFormat="1" ht="21.75">
      <c r="A13" s="55"/>
      <c r="B13" s="75"/>
      <c r="C13" s="10"/>
      <c r="D13" s="63"/>
      <c r="E13" s="10"/>
      <c r="F13" s="10"/>
      <c r="G13" s="10"/>
      <c r="H13" s="10"/>
      <c r="I13" s="10"/>
      <c r="J13" s="10"/>
      <c r="K13" s="11"/>
      <c r="L13" s="13"/>
      <c r="M13" s="61"/>
      <c r="N13" s="6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31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3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3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3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3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3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6" spans="1:14" s="62" customFormat="1" ht="21.75">
      <c r="A16" s="55">
        <v>44629</v>
      </c>
      <c r="C16" s="10">
        <f>C13</f>
        <v>10000</v>
      </c>
      <c r="D16" s="63">
        <v>0.17380000000000001</v>
      </c>
      <c r="E16" s="59"/>
      <c r="F16" s="32"/>
      <c r="G16" s="59"/>
      <c r="H16" s="11"/>
      <c r="I16" s="60">
        <f>C16*D16</f>
        <v>1738</v>
      </c>
      <c r="J16" s="60">
        <f>I16*0.9</f>
        <v>1564.2</v>
      </c>
      <c r="K16" s="11"/>
      <c r="L16" s="13"/>
      <c r="M16" s="61"/>
      <c r="N16" s="61"/>
    </row>
    <row r="17" spans="1:10">
      <c r="A17" s="55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5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5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3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3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4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5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5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5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2" customFormat="1" ht="21.75">
      <c r="A12" s="55">
        <v>44629</v>
      </c>
      <c r="C12" s="10">
        <f>C5</f>
        <v>10000</v>
      </c>
      <c r="D12" s="63">
        <v>0.38350000000000001</v>
      </c>
      <c r="E12" s="59"/>
      <c r="F12" s="32"/>
      <c r="G12" s="59"/>
      <c r="H12" s="11"/>
      <c r="I12" s="60">
        <f>C12*D12</f>
        <v>3835</v>
      </c>
      <c r="J12" s="60">
        <f>I12*0.9</f>
        <v>3451.5</v>
      </c>
      <c r="K12" s="11"/>
      <c r="L12" s="13"/>
      <c r="M12" s="61"/>
      <c r="N12" s="61"/>
    </row>
    <row r="13" spans="1:14" s="1" customFormat="1">
      <c r="A13" s="55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5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5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2023-03-10T15:05:24Z</dcterms:modified>
  <cp:category/>
  <cp:contentStatus/>
</cp:coreProperties>
</file>