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5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161" documentId="8_{9A02EB98-7EB2-4F6F-BBDA-0A28C0527E53}" xr6:coauthVersionLast="47" xr6:coauthVersionMax="47" xr10:uidLastSave="{812235DD-90B8-40E8-A7BE-82AD5E6FC68F}"/>
  <bookViews>
    <workbookView xWindow="-120" yWindow="-120" windowWidth="15600" windowHeight="11760" tabRatio="461" firstSheet="13" activeTab="6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MAKRO" sheetId="179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SYNEX" sheetId="199" r:id="rId22"/>
    <sheet name="TFFIF" sheetId="110" r:id="rId23"/>
    <sheet name="TMT" sheetId="145" r:id="rId24"/>
    <sheet name="WHAIR" sheetId="157" r:id="rId25"/>
    <sheet name="WHART" sheetId="171" r:id="rId2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96" l="1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E13" i="197"/>
  <c r="C17" i="197"/>
  <c r="E17" i="197" s="1"/>
  <c r="C21" i="197"/>
  <c r="E21" i="197" s="1"/>
  <c r="E20" i="199"/>
  <c r="E21" i="199" s="1"/>
  <c r="C8" i="195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4" i="197"/>
  <c r="C25" i="197"/>
  <c r="E25" i="197" s="1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E20" i="197"/>
  <c r="E16" i="197"/>
  <c r="E11" i="197"/>
  <c r="E9" i="197"/>
  <c r="E7" i="197"/>
  <c r="E5" i="197"/>
  <c r="C4" i="197"/>
  <c r="C6" i="197" s="1"/>
  <c r="C8" i="197" s="1"/>
  <c r="C10" i="197" s="1"/>
  <c r="C12" i="197" s="1"/>
  <c r="C14" i="197" s="1"/>
  <c r="B4" i="197"/>
  <c r="E3" i="197"/>
  <c r="E2" i="197"/>
  <c r="E28" i="42"/>
  <c r="B30" i="42"/>
  <c r="C29" i="42"/>
  <c r="E29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8" i="195"/>
  <c r="J8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E25" i="42"/>
  <c r="B35" i="42"/>
  <c r="C34" i="42"/>
  <c r="E34" i="42"/>
  <c r="E33" i="42"/>
  <c r="D46" i="42"/>
  <c r="B47" i="42"/>
  <c r="C46" i="42"/>
  <c r="E46" i="42"/>
  <c r="E45" i="42"/>
  <c r="D43" i="42"/>
  <c r="B44" i="42"/>
  <c r="C43" i="42"/>
  <c r="E43" i="42"/>
  <c r="E42" i="42"/>
  <c r="D40" i="42"/>
  <c r="B41" i="42"/>
  <c r="C40" i="42"/>
  <c r="E40" i="42"/>
  <c r="E39" i="42"/>
  <c r="B38" i="42"/>
  <c r="C37" i="42"/>
  <c r="E37" i="42"/>
  <c r="E36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C24" i="42"/>
  <c r="C26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25" i="42"/>
  <c r="G25" i="42"/>
  <c r="F25" i="42"/>
  <c r="H33" i="42"/>
  <c r="G33" i="42"/>
  <c r="F33" i="42"/>
  <c r="E35" i="42"/>
  <c r="H34" i="42"/>
  <c r="G34" i="42"/>
  <c r="F34" i="42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25" i="42"/>
  <c r="J25" i="42"/>
  <c r="I34" i="42"/>
  <c r="J34" i="42"/>
  <c r="I33" i="42"/>
  <c r="J33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I37" i="42"/>
  <c r="J37" i="42"/>
  <c r="I36" i="42"/>
  <c r="J36" i="42"/>
  <c r="D22" i="42"/>
  <c r="B24" i="42"/>
  <c r="E24" i="42"/>
  <c r="E26" i="42"/>
  <c r="D26" i="42"/>
  <c r="G24" i="42"/>
  <c r="G26" i="42"/>
  <c r="H24" i="42"/>
  <c r="H26" i="42"/>
  <c r="D24" i="42"/>
  <c r="B26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F24" i="42"/>
  <c r="F26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5" i="42"/>
  <c r="J38" i="42"/>
  <c r="J41" i="42"/>
  <c r="J44" i="42"/>
  <c r="J47" i="42"/>
  <c r="J24" i="42"/>
  <c r="J26" i="42"/>
  <c r="I24" i="42"/>
  <c r="I26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38" i="42"/>
  <c r="K41" i="42"/>
  <c r="K44" i="42"/>
  <c r="K47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H3" i="196" l="1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H13" i="197"/>
  <c r="G13" i="197"/>
  <c r="F13" i="197"/>
  <c r="E18" i="197"/>
  <c r="H17" i="197"/>
  <c r="G17" i="197"/>
  <c r="F17" i="197"/>
  <c r="E22" i="197"/>
  <c r="H21" i="197"/>
  <c r="G21" i="197"/>
  <c r="F21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4" i="197"/>
  <c r="G24" i="197"/>
  <c r="F24" i="197"/>
  <c r="E26" i="197"/>
  <c r="H25" i="197"/>
  <c r="G25" i="197"/>
  <c r="F2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6" i="197"/>
  <c r="G16" i="197"/>
  <c r="F16" i="197"/>
  <c r="H20" i="197"/>
  <c r="G20" i="197"/>
  <c r="F20" i="197"/>
  <c r="H28" i="197"/>
  <c r="G28" i="197"/>
  <c r="F28" i="197"/>
  <c r="E30" i="197"/>
  <c r="H29" i="197"/>
  <c r="G29" i="197"/>
  <c r="F29" i="197"/>
  <c r="H31" i="197"/>
  <c r="G31" i="197"/>
  <c r="F31" i="197"/>
  <c r="E33" i="197"/>
  <c r="H32" i="197"/>
  <c r="G32" i="197"/>
  <c r="F32" i="197"/>
  <c r="H35" i="197"/>
  <c r="G35" i="197"/>
  <c r="F35" i="197"/>
  <c r="K36" i="197"/>
  <c r="K39" i="197" s="1"/>
  <c r="K42" i="197" s="1"/>
  <c r="K45" i="197" s="1"/>
  <c r="K48" i="197" s="1"/>
  <c r="K51" i="197" s="1"/>
  <c r="K54" i="197" s="1"/>
  <c r="K57" i="197" s="1"/>
  <c r="K60" i="197" s="1"/>
  <c r="E36" i="197"/>
  <c r="H38" i="197"/>
  <c r="G38" i="197"/>
  <c r="F38" i="197"/>
  <c r="E40" i="197"/>
  <c r="H39" i="197"/>
  <c r="G39" i="197"/>
  <c r="F39" i="197"/>
  <c r="D54" i="197"/>
  <c r="B55" i="197" s="1"/>
  <c r="D51" i="197"/>
  <c r="B52" i="197" s="1"/>
  <c r="D48" i="197"/>
  <c r="B49" i="197" s="1"/>
  <c r="D45" i="197"/>
  <c r="D42" i="197"/>
  <c r="B40" i="197"/>
  <c r="H41" i="197"/>
  <c r="G41" i="197"/>
  <c r="F41" i="197"/>
  <c r="E42" i="197"/>
  <c r="H44" i="197"/>
  <c r="G44" i="197"/>
  <c r="F44" i="197"/>
  <c r="E45" i="197"/>
  <c r="H47" i="197"/>
  <c r="G47" i="197"/>
  <c r="F47" i="197"/>
  <c r="E48" i="197"/>
  <c r="H50" i="197"/>
  <c r="G50" i="197"/>
  <c r="F50" i="197"/>
  <c r="E51" i="197"/>
  <c r="H53" i="197"/>
  <c r="G53" i="197"/>
  <c r="F53" i="197"/>
  <c r="E54" i="197"/>
  <c r="H56" i="197"/>
  <c r="G56" i="197"/>
  <c r="F56" i="197"/>
  <c r="H59" i="197"/>
  <c r="G59" i="197"/>
  <c r="F59" i="197"/>
  <c r="H28" i="42"/>
  <c r="G28" i="42"/>
  <c r="F28" i="42"/>
  <c r="E30" i="42"/>
  <c r="H29" i="42"/>
  <c r="G29" i="42"/>
  <c r="F29" i="42"/>
  <c r="H9" i="170"/>
  <c r="G9" i="170"/>
  <c r="F9" i="170"/>
  <c r="C9" i="195"/>
  <c r="C6" i="195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I3" i="196" l="1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13" i="197"/>
  <c r="J13" i="197"/>
  <c r="I17" i="197"/>
  <c r="J17" i="197"/>
  <c r="I21" i="197"/>
  <c r="J21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4" i="197"/>
  <c r="J24" i="197"/>
  <c r="I25" i="197"/>
  <c r="J25" i="197"/>
  <c r="I59" i="197"/>
  <c r="J59" i="197"/>
  <c r="I56" i="197"/>
  <c r="J56" i="197"/>
  <c r="E55" i="197"/>
  <c r="H54" i="197"/>
  <c r="G54" i="197"/>
  <c r="F54" i="197"/>
  <c r="I53" i="197"/>
  <c r="J53" i="197"/>
  <c r="E52" i="197"/>
  <c r="H51" i="197"/>
  <c r="G51" i="197"/>
  <c r="F51" i="197"/>
  <c r="I50" i="197"/>
  <c r="J50" i="197"/>
  <c r="E49" i="197"/>
  <c r="H48" i="197"/>
  <c r="G48" i="197"/>
  <c r="F48" i="197"/>
  <c r="I47" i="197"/>
  <c r="J47" i="197"/>
  <c r="E46" i="197"/>
  <c r="H45" i="197"/>
  <c r="G45" i="197"/>
  <c r="F45" i="197"/>
  <c r="I44" i="197"/>
  <c r="J44" i="197"/>
  <c r="E43" i="197"/>
  <c r="H42" i="197"/>
  <c r="G42" i="197"/>
  <c r="F42" i="197"/>
  <c r="I41" i="197"/>
  <c r="J41" i="197"/>
  <c r="D57" i="197"/>
  <c r="B43" i="197"/>
  <c r="D60" i="197"/>
  <c r="B46" i="197"/>
  <c r="I39" i="197"/>
  <c r="J39" i="197"/>
  <c r="I38" i="197"/>
  <c r="J38" i="197"/>
  <c r="E37" i="197"/>
  <c r="H36" i="197"/>
  <c r="G36" i="197"/>
  <c r="F36" i="197"/>
  <c r="I35" i="197"/>
  <c r="J35" i="197"/>
  <c r="I32" i="197"/>
  <c r="J32" i="197"/>
  <c r="I31" i="197"/>
  <c r="J31" i="197"/>
  <c r="I29" i="197"/>
  <c r="J29" i="197"/>
  <c r="I28" i="197"/>
  <c r="J28" i="197"/>
  <c r="I20" i="197"/>
  <c r="J20" i="197"/>
  <c r="I16" i="197"/>
  <c r="J1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F12" i="197" s="1"/>
  <c r="F14" i="197" s="1"/>
  <c r="I2" i="197"/>
  <c r="I4" i="197" s="1"/>
  <c r="I6" i="197" s="1"/>
  <c r="I8" i="197" s="1"/>
  <c r="I10" i="197" s="1"/>
  <c r="I12" i="197" s="1"/>
  <c r="J2" i="197"/>
  <c r="J4" i="197" s="1"/>
  <c r="J6" i="197" s="1"/>
  <c r="J8" i="197" s="1"/>
  <c r="J10" i="197" s="1"/>
  <c r="J12" i="197" s="1"/>
  <c r="G4" i="197"/>
  <c r="G6" i="197" s="1"/>
  <c r="G8" i="197" s="1"/>
  <c r="G10" i="197" s="1"/>
  <c r="G12" i="197" s="1"/>
  <c r="G14" i="197" s="1"/>
  <c r="H4" i="197"/>
  <c r="H6" i="197" s="1"/>
  <c r="H8" i="197" s="1"/>
  <c r="H10" i="197" s="1"/>
  <c r="H12" i="197" s="1"/>
  <c r="H14" i="197" s="1"/>
  <c r="E6" i="197"/>
  <c r="D4" i="197"/>
  <c r="B6" i="197" s="1"/>
  <c r="I28" i="42"/>
  <c r="J28" i="42"/>
  <c r="I29" i="42"/>
  <c r="J29" i="42"/>
  <c r="I9" i="170"/>
  <c r="J9" i="170"/>
  <c r="D4" i="195"/>
  <c r="E6" i="195"/>
  <c r="D6" i="195" s="1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H4" i="195"/>
  <c r="H6" i="195" s="1"/>
  <c r="F4" i="195"/>
  <c r="F6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0" i="195"/>
  <c r="E10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H7" i="202" l="1"/>
  <c r="G7" i="202"/>
  <c r="F7" i="202"/>
  <c r="E9" i="202"/>
  <c r="H8" i="202"/>
  <c r="G8" i="202"/>
  <c r="F8" i="202"/>
  <c r="J14" i="202"/>
  <c r="J18" i="199"/>
  <c r="J14" i="197"/>
  <c r="I14" i="197"/>
  <c r="J18" i="197"/>
  <c r="J2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6" i="197"/>
  <c r="E8" i="197"/>
  <c r="D6" i="197"/>
  <c r="B8" i="197" s="1"/>
  <c r="J30" i="197"/>
  <c r="J33" i="197"/>
  <c r="I36" i="197"/>
  <c r="J36" i="197"/>
  <c r="J37" i="197" s="1"/>
  <c r="K37" i="197" s="1"/>
  <c r="J40" i="197"/>
  <c r="B61" i="197"/>
  <c r="E60" i="197"/>
  <c r="B58" i="197"/>
  <c r="E57" i="197"/>
  <c r="I42" i="197"/>
  <c r="J42" i="197"/>
  <c r="J43" i="197" s="1"/>
  <c r="I45" i="197"/>
  <c r="J45" i="197"/>
  <c r="J46" i="197" s="1"/>
  <c r="I48" i="197"/>
  <c r="J48" i="197"/>
  <c r="J49" i="197" s="1"/>
  <c r="I51" i="197"/>
  <c r="J51" i="197"/>
  <c r="J52" i="197" s="1"/>
  <c r="I54" i="197"/>
  <c r="J54" i="197"/>
  <c r="J55" i="197" s="1"/>
  <c r="J30" i="42"/>
  <c r="D9" i="195"/>
  <c r="B6" i="195"/>
  <c r="J15" i="150"/>
  <c r="J16" i="184"/>
  <c r="J12" i="184"/>
  <c r="J4" i="195"/>
  <c r="J6" i="195" s="1"/>
  <c r="I4" i="195"/>
  <c r="I6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0" i="195"/>
  <c r="G10" i="195"/>
  <c r="F10" i="195"/>
  <c r="J22" i="46"/>
  <c r="J24" i="46" s="1"/>
  <c r="J26" i="46" s="1"/>
  <c r="I22" i="46"/>
  <c r="I24" i="46" s="1"/>
  <c r="I26" i="46" s="1"/>
  <c r="I8" i="202" l="1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58" i="197"/>
  <c r="H57" i="197"/>
  <c r="G57" i="197"/>
  <c r="F57" i="197"/>
  <c r="E61" i="197"/>
  <c r="H60" i="197"/>
  <c r="G60" i="197"/>
  <c r="F60" i="197"/>
  <c r="K40" i="197"/>
  <c r="K43" i="197" s="1"/>
  <c r="K46" i="197" s="1"/>
  <c r="K49" i="197" s="1"/>
  <c r="K52" i="197" s="1"/>
  <c r="K55" i="197" s="1"/>
  <c r="E10" i="197"/>
  <c r="D8" i="197"/>
  <c r="B10" i="197" s="1"/>
  <c r="B11" i="195"/>
  <c r="E9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0" i="195"/>
  <c r="J10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E12" i="197"/>
  <c r="E14" i="197" s="1"/>
  <c r="D14" i="197" s="1"/>
  <c r="D10" i="197"/>
  <c r="B12" i="197" s="1"/>
  <c r="I60" i="197"/>
  <c r="J60" i="197"/>
  <c r="J61" i="197" s="1"/>
  <c r="I57" i="197"/>
  <c r="J57" i="197"/>
  <c r="J58" i="197" s="1"/>
  <c r="K58" i="197" s="1"/>
  <c r="K61" i="197" s="1"/>
  <c r="H9" i="195"/>
  <c r="G9" i="195"/>
  <c r="F9" i="195"/>
  <c r="E11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D12" i="197"/>
  <c r="B14" i="197" s="1"/>
  <c r="I9" i="195"/>
  <c r="J9" i="195"/>
  <c r="J11" i="195" s="1"/>
  <c r="J12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<sst xmlns="http://schemas.openxmlformats.org/spreadsheetml/2006/main" count="412" uniqueCount="35">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</sst>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47"/>
  <sheetViews>
    <sheetView topLeftCell="A17" workbookViewId="0">
      <selection activeCell="D26" sqref="D26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2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2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2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2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2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2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2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2" s="21" customFormat="1">
      <c r="A24" s="90"/>
      <c r="B24" s="7">
        <f>(D23-D22)/D22</f>
        <v>-0.16216216216216217</v>
      </c>
      <c r="C24" s="5">
        <f>SUM(C22:C23)</f>
        <v>9000</v>
      </c>
      <c r="D24" s="71">
        <f>E24/C24</f>
        <v>61.25</v>
      </c>
      <c r="E24" s="5">
        <f t="shared" ref="E24:J24" si="11">SUM(E22:E23)</f>
        <v>551250</v>
      </c>
      <c r="F24" s="5">
        <f t="shared" si="11"/>
        <v>1102.5</v>
      </c>
      <c r="G24" s="5">
        <f t="shared" si="11"/>
        <v>35.424599999999998</v>
      </c>
      <c r="H24" s="5">
        <f t="shared" si="11"/>
        <v>5.5125000000000002</v>
      </c>
      <c r="I24" s="5">
        <f t="shared" si="11"/>
        <v>80.040597000000005</v>
      </c>
      <c r="J24" s="5">
        <f t="shared" si="11"/>
        <v>552473.47769700002</v>
      </c>
      <c r="L24" s="25"/>
    </row>
    <row r="25" spans="1:12" s="13" customFormat="1" ht="12.75">
      <c r="A25" s="56">
        <v>44623</v>
      </c>
      <c r="B25" s="13" t="s">
        <v>1</v>
      </c>
      <c r="C25" s="10">
        <v>3000</v>
      </c>
      <c r="D25" s="62">
        <v>41.25</v>
      </c>
      <c r="E25" s="20">
        <f>C25*D25</f>
        <v>123750</v>
      </c>
      <c r="F25" s="20">
        <f>E25*0.002</f>
        <v>247.5</v>
      </c>
      <c r="G25" s="20">
        <f>E25*0.00006</f>
        <v>7.4249999999999998</v>
      </c>
      <c r="H25" s="20">
        <f>E25*0.00001</f>
        <v>1.2375</v>
      </c>
      <c r="I25" s="20">
        <f>(F25+G25+H25)*0.07</f>
        <v>17.931375000000003</v>
      </c>
      <c r="J25" s="20">
        <f>E25+F25+I25+G25+H25</f>
        <v>124024.09387500001</v>
      </c>
      <c r="K25" s="11"/>
      <c r="L25" s="12"/>
    </row>
    <row r="26" spans="1:12" s="21" customFormat="1" ht="12.75">
      <c r="A26" s="89"/>
      <c r="B26" s="25">
        <f>(D25-D24)/D24</f>
        <v>-0.32653061224489793</v>
      </c>
      <c r="C26" s="22">
        <f>SUM(C24:C25)</f>
        <v>12000</v>
      </c>
      <c r="D26" s="68">
        <f>E26/C26</f>
        <v>56.25</v>
      </c>
      <c r="E26" s="22">
        <f t="shared" ref="E26:J26" si="12">SUM(E24:E25)</f>
        <v>675000</v>
      </c>
      <c r="F26" s="22">
        <f t="shared" si="12"/>
        <v>1350</v>
      </c>
      <c r="G26" s="22">
        <f t="shared" si="12"/>
        <v>42.849599999999995</v>
      </c>
      <c r="H26" s="22">
        <f t="shared" si="12"/>
        <v>6.75</v>
      </c>
      <c r="I26" s="22">
        <f t="shared" si="12"/>
        <v>97.971972000000008</v>
      </c>
      <c r="J26" s="22">
        <f t="shared" si="12"/>
        <v>676497.57157200004</v>
      </c>
      <c r="L26" s="25"/>
    </row>
    <row r="27" spans="1:12" s="21" customFormat="1" ht="12.75">
      <c r="A27" s="90"/>
      <c r="B27" s="7"/>
      <c r="C27" s="5"/>
      <c r="D27" s="71"/>
      <c r="E27" s="5"/>
      <c r="F27" s="5"/>
      <c r="G27" s="5"/>
      <c r="H27" s="5"/>
      <c r="I27" s="5"/>
      <c r="J27" s="5"/>
      <c r="L27" s="25"/>
    </row>
    <row r="28" spans="1:12" s="13" customFormat="1">
      <c r="A28" s="49">
        <v>44623</v>
      </c>
      <c r="B28" s="15" t="s">
        <v>1</v>
      </c>
      <c r="C28" s="16">
        <v>3000</v>
      </c>
      <c r="D28" s="69">
        <v>51.25</v>
      </c>
      <c r="E28" s="18">
        <f>C28*D28</f>
        <v>153750</v>
      </c>
      <c r="F28" s="18">
        <f>E28*0.002</f>
        <v>307.5</v>
      </c>
      <c r="G28" s="18">
        <f>E28*0.00006</f>
        <v>9.2249999999999996</v>
      </c>
      <c r="H28" s="18">
        <f>E28*0.00001</f>
        <v>1.5375000000000001</v>
      </c>
      <c r="I28" s="18">
        <f>(F28+G28+H28)*0.07</f>
        <v>22.278375000000004</v>
      </c>
      <c r="J28" s="18">
        <f>E28+F28+I28+G28+H28</f>
        <v>154090.54087500001</v>
      </c>
      <c r="K28" s="11"/>
      <c r="L28" s="12"/>
    </row>
    <row r="29" spans="1:12" s="13" customFormat="1" ht="12.75">
      <c r="A29" s="49">
        <v>44865</v>
      </c>
      <c r="B29" s="15" t="s">
        <v>3</v>
      </c>
      <c r="C29" s="16">
        <f>C28</f>
        <v>3000</v>
      </c>
      <c r="D29" s="26">
        <v>43.5</v>
      </c>
      <c r="E29" s="17">
        <f>C29*D29</f>
        <v>130500</v>
      </c>
      <c r="F29" s="27">
        <f>E29*0.002</f>
        <v>261</v>
      </c>
      <c r="G29" s="26">
        <f>E29*0.000068</f>
        <v>8.8740000000000006</v>
      </c>
      <c r="H29" s="26">
        <f>E29*0.00001</f>
        <v>1.3050000000000002</v>
      </c>
      <c r="I29" s="26">
        <f>(F29+G29+H29)*0.07</f>
        <v>18.982530000000004</v>
      </c>
      <c r="J29" s="26">
        <f>E29-F29-G29-H29-I29</f>
        <v>130209.83847000002</v>
      </c>
    </row>
    <row r="30" spans="1:12" s="31" customFormat="1" ht="18.75">
      <c r="A30" s="49" t="s">
        <v>4</v>
      </c>
      <c r="B30" s="7">
        <f>(D29-D28)/D28</f>
        <v>-0.15121951219512195</v>
      </c>
      <c r="C30" s="16"/>
      <c r="D30" s="17"/>
      <c r="E30" s="18">
        <f>E29-E28</f>
        <v>-23250</v>
      </c>
      <c r="F30" s="18"/>
      <c r="G30" s="18"/>
      <c r="H30" s="18"/>
      <c r="I30" s="18"/>
      <c r="J30" s="18">
        <f>J29-J28</f>
        <v>-23880.702404999989</v>
      </c>
      <c r="K30" s="12"/>
    </row>
    <row r="31" spans="1:12">
      <c r="A31" s="50" t="s">
        <v>7</v>
      </c>
    </row>
    <row r="32" spans="1:12">
      <c r="A32" s="50">
        <v>44620</v>
      </c>
    </row>
    <row r="33" spans="1:15" s="19" customFormat="1" ht="16.5">
      <c r="A33" s="56">
        <v>44619</v>
      </c>
      <c r="B33" s="13" t="s">
        <v>1</v>
      </c>
      <c r="C33" s="16">
        <v>3000</v>
      </c>
      <c r="D33" s="46">
        <v>54.25</v>
      </c>
      <c r="E33" s="20">
        <f>C33*D33</f>
        <v>162750</v>
      </c>
      <c r="F33" s="20">
        <f>E33*0.002</f>
        <v>325.5</v>
      </c>
      <c r="G33" s="20">
        <f>E33*0.00006</f>
        <v>9.7650000000000006</v>
      </c>
      <c r="H33" s="20">
        <f>E33*0.00001</f>
        <v>1.6275000000000002</v>
      </c>
      <c r="I33" s="20">
        <f>(F33+G33+H33)*0.07</f>
        <v>23.582475000000002</v>
      </c>
      <c r="J33" s="20">
        <f>E33+F33+I33+G33+H33</f>
        <v>163110.47497500002</v>
      </c>
      <c r="K33" s="57"/>
      <c r="L33" s="58"/>
      <c r="M33" s="58"/>
      <c r="N33" s="58"/>
      <c r="O33" s="58"/>
    </row>
    <row r="34" spans="1:15" s="13" customFormat="1">
      <c r="A34" s="56">
        <v>44524</v>
      </c>
      <c r="B34" s="13" t="s">
        <v>3</v>
      </c>
      <c r="C34" s="10">
        <f>C33</f>
        <v>3000</v>
      </c>
      <c r="D34" s="26">
        <v>58</v>
      </c>
      <c r="E34" s="11">
        <f>C34*D34</f>
        <v>174000</v>
      </c>
      <c r="F34" s="35">
        <f>E34*0.002</f>
        <v>348</v>
      </c>
      <c r="G34" s="34">
        <f>E34*0.000068</f>
        <v>11.832000000000001</v>
      </c>
      <c r="H34" s="34">
        <f>E34*0.00001</f>
        <v>1.7400000000000002</v>
      </c>
      <c r="I34" s="34">
        <f>(F34+G34+H34)*0.07</f>
        <v>25.310040000000004</v>
      </c>
      <c r="J34" s="34">
        <f>E34-F34-G34-H34-I34</f>
        <v>173613.11796</v>
      </c>
    </row>
    <row r="35" spans="1:15" s="31" customFormat="1" ht="18.75">
      <c r="A35" s="56" t="s">
        <v>4</v>
      </c>
      <c r="B35" s="25">
        <f>(D34-D33)/D33</f>
        <v>6.9124423963133647E-2</v>
      </c>
      <c r="C35" s="10"/>
      <c r="D35" s="11"/>
      <c r="E35" s="20">
        <f>E34-E33</f>
        <v>11250</v>
      </c>
      <c r="F35" s="20"/>
      <c r="G35" s="20"/>
      <c r="H35" s="20"/>
      <c r="I35" s="20"/>
      <c r="J35" s="18">
        <f>J34-J33</f>
        <v>10502.642984999984</v>
      </c>
      <c r="K35" s="12"/>
    </row>
    <row r="36" spans="1:15" s="19" customFormat="1" ht="16.5">
      <c r="A36" s="49">
        <v>44578</v>
      </c>
      <c r="B36" s="13" t="s">
        <v>1</v>
      </c>
      <c r="C36" s="16">
        <v>1600</v>
      </c>
      <c r="D36" s="46">
        <v>59.25</v>
      </c>
      <c r="E36" s="20">
        <f>C36*D36</f>
        <v>94800</v>
      </c>
      <c r="F36" s="20">
        <f>E36*0.002</f>
        <v>189.6</v>
      </c>
      <c r="G36" s="20">
        <f>E36*0.00006</f>
        <v>5.6879999999999997</v>
      </c>
      <c r="H36" s="20">
        <f>E36*0.00001</f>
        <v>0.94800000000000006</v>
      </c>
      <c r="I36" s="20">
        <f>(F36+G36+H36)*0.07</f>
        <v>13.736520000000001</v>
      </c>
      <c r="J36" s="20">
        <f>E36+F36+I36+G36+H36</f>
        <v>95009.97252000001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1600</v>
      </c>
      <c r="D37" s="26">
        <v>58</v>
      </c>
      <c r="E37" s="11">
        <f>C37*D37</f>
        <v>92800</v>
      </c>
      <c r="F37" s="35">
        <f>E37*0.002</f>
        <v>185.6</v>
      </c>
      <c r="G37" s="34">
        <f>E37*0.000068</f>
        <v>6.3103999999999996</v>
      </c>
      <c r="H37" s="34">
        <f>E37*0.00001</f>
        <v>0.92800000000000005</v>
      </c>
      <c r="I37" s="34">
        <f>(F37+G37+H37)*0.07</f>
        <v>13.498688</v>
      </c>
      <c r="J37" s="34">
        <f>E37-F37-G37-H37-I37</f>
        <v>92593.662911999985</v>
      </c>
    </row>
    <row r="38" spans="1:15" s="31" customFormat="1" ht="18.75">
      <c r="A38" s="56" t="s">
        <v>4</v>
      </c>
      <c r="B38" s="25">
        <f>(D37-D36)/D36</f>
        <v>-2.1097046413502109E-2</v>
      </c>
      <c r="C38" s="10"/>
      <c r="D38" s="11"/>
      <c r="E38" s="20">
        <f>E37-E36</f>
        <v>-2000</v>
      </c>
      <c r="F38" s="20"/>
      <c r="G38" s="20"/>
      <c r="H38" s="20"/>
      <c r="I38" s="20"/>
      <c r="J38" s="18">
        <f>J37-J36</f>
        <v>-2416.309608000025</v>
      </c>
      <c r="K38" s="20">
        <f>J35+J38</f>
        <v>8086.333376999959</v>
      </c>
    </row>
    <row r="39" spans="1:15" s="19" customFormat="1" ht="16.5">
      <c r="A39" s="56">
        <v>44295</v>
      </c>
      <c r="B39" s="13" t="s">
        <v>1</v>
      </c>
      <c r="C39" s="16">
        <v>1000</v>
      </c>
      <c r="D39" s="46">
        <v>66.75</v>
      </c>
      <c r="E39" s="20">
        <f>C39*D39</f>
        <v>66750</v>
      </c>
      <c r="F39" s="20">
        <f>E39*0.002</f>
        <v>133.5</v>
      </c>
      <c r="G39" s="20">
        <f>E39*0.00006</f>
        <v>4.0049999999999999</v>
      </c>
      <c r="H39" s="20">
        <f>E39*0.00001</f>
        <v>0.66750000000000009</v>
      </c>
      <c r="I39" s="20">
        <f>(F39+G39+H39)*0.07</f>
        <v>9.6720749999999995</v>
      </c>
      <c r="J39" s="20">
        <f>E39+F39+I39+G39+H39</f>
        <v>66897.844574999996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1000</v>
      </c>
      <c r="D40" s="34">
        <f>D37</f>
        <v>58</v>
      </c>
      <c r="E40" s="11">
        <f>C40*D40</f>
        <v>58000</v>
      </c>
      <c r="F40" s="35">
        <f>E40*0.002</f>
        <v>116</v>
      </c>
      <c r="G40" s="34">
        <f>E40*0.000068</f>
        <v>3.944</v>
      </c>
      <c r="H40" s="34">
        <f>E40*0.00001</f>
        <v>0.58000000000000007</v>
      </c>
      <c r="I40" s="34">
        <f>(F40+G40+H40)*0.07</f>
        <v>8.4366800000000008</v>
      </c>
      <c r="J40" s="34">
        <f>E40-F40-G40-H40-I40</f>
        <v>57871.039319999996</v>
      </c>
    </row>
    <row r="41" spans="1:15" s="31" customFormat="1" ht="18.75">
      <c r="A41" s="56" t="s">
        <v>4</v>
      </c>
      <c r="B41" s="25">
        <f>(D40-D39)/D39</f>
        <v>-0.13108614232209737</v>
      </c>
      <c r="C41" s="10"/>
      <c r="D41" s="11"/>
      <c r="E41" s="20">
        <f>E40-E39</f>
        <v>-8750</v>
      </c>
      <c r="F41" s="20"/>
      <c r="G41" s="20"/>
      <c r="H41" s="20"/>
      <c r="I41" s="20"/>
      <c r="J41" s="18">
        <f>J40-J39</f>
        <v>-9026.8052549999993</v>
      </c>
      <c r="K41" s="20">
        <f>K38+J41</f>
        <v>-940.47187800004031</v>
      </c>
    </row>
    <row r="42" spans="1:15" s="19" customFormat="1" ht="16.5">
      <c r="A42" s="56">
        <v>44274</v>
      </c>
      <c r="B42" s="13" t="s">
        <v>1</v>
      </c>
      <c r="C42" s="16">
        <v>2000</v>
      </c>
      <c r="D42" s="46">
        <v>66.75</v>
      </c>
      <c r="E42" s="20">
        <f>C42*D42</f>
        <v>133500</v>
      </c>
      <c r="F42" s="20">
        <f>E42*0.002</f>
        <v>267</v>
      </c>
      <c r="G42" s="20">
        <f>E42*0.00006</f>
        <v>8.01</v>
      </c>
      <c r="H42" s="20">
        <f>E42*0.00001</f>
        <v>1.3350000000000002</v>
      </c>
      <c r="I42" s="20">
        <f>(F42+G42+H42)*0.07</f>
        <v>19.344149999999999</v>
      </c>
      <c r="J42" s="20">
        <f>E42+F42+I42+G42+H42</f>
        <v>133795.68914999999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2000</v>
      </c>
      <c r="D43" s="34">
        <f>D37</f>
        <v>58</v>
      </c>
      <c r="E43" s="11">
        <f>C43*D43</f>
        <v>116000</v>
      </c>
      <c r="F43" s="35">
        <f>E43*0.002</f>
        <v>232</v>
      </c>
      <c r="G43" s="34">
        <f>E43*0.000068</f>
        <v>7.8879999999999999</v>
      </c>
      <c r="H43" s="34">
        <f>E43*0.00001</f>
        <v>1.1600000000000001</v>
      </c>
      <c r="I43" s="34">
        <f>(F43+G43+H43)*0.07</f>
        <v>16.873360000000002</v>
      </c>
      <c r="J43" s="34">
        <f>E43-F43-G43-H43-I43</f>
        <v>115742.07863999999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-17500</v>
      </c>
      <c r="F44" s="20"/>
      <c r="G44" s="20"/>
      <c r="H44" s="20"/>
      <c r="I44" s="20"/>
      <c r="J44" s="18">
        <f>J43-J42</f>
        <v>-18053.610509999999</v>
      </c>
      <c r="K44" s="20">
        <f>K41+J44</f>
        <v>-18994.082388000039</v>
      </c>
    </row>
    <row r="45" spans="1:15" s="19" customFormat="1" ht="16.5">
      <c r="A45" s="56">
        <v>44272</v>
      </c>
      <c r="B45" s="13" t="s">
        <v>1</v>
      </c>
      <c r="C45" s="16">
        <v>1400</v>
      </c>
      <c r="D45" s="46">
        <v>66.75</v>
      </c>
      <c r="E45" s="20">
        <f>C45*D45</f>
        <v>93450</v>
      </c>
      <c r="F45" s="20">
        <f>E45*0.002</f>
        <v>186.9</v>
      </c>
      <c r="G45" s="20">
        <f>E45*0.00006</f>
        <v>5.6070000000000002</v>
      </c>
      <c r="H45" s="20">
        <f>E45*0.00001</f>
        <v>0.93450000000000011</v>
      </c>
      <c r="I45" s="20">
        <f>(F45+G45+H45)*0.07</f>
        <v>13.540905000000002</v>
      </c>
      <c r="J45" s="20">
        <f>E45+F45+I45+G45+H45</f>
        <v>93656.982405000002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1400</v>
      </c>
      <c r="D46" s="34">
        <f>D37</f>
        <v>58</v>
      </c>
      <c r="E46" s="11">
        <f>C46*D46</f>
        <v>81200</v>
      </c>
      <c r="F46" s="35">
        <f>E46*0.002</f>
        <v>162.4</v>
      </c>
      <c r="G46" s="34">
        <f>E46*0.000068</f>
        <v>5.5216000000000003</v>
      </c>
      <c r="H46" s="34">
        <f>E46*0.00001</f>
        <v>0.81200000000000006</v>
      </c>
      <c r="I46" s="34">
        <f>(F46+G46+H46)*0.07</f>
        <v>11.811352000000003</v>
      </c>
      <c r="J46" s="34">
        <f>E46-F46-G46-H46-I46</f>
        <v>81019.455048000003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-12250</v>
      </c>
      <c r="F47" s="20"/>
      <c r="G47" s="20"/>
      <c r="H47" s="20"/>
      <c r="I47" s="20"/>
      <c r="J47" s="18">
        <f>J46-J45</f>
        <v>-12637.527356999999</v>
      </c>
      <c r="K47" s="20">
        <f>K44+J47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8" workbookViewId="0">
      <selection activeCell="A17" sqref="A17:XFD18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 ht="14.25">
      <c r="A12" s="54"/>
      <c r="B12" s="74">
        <f>(D11-D10)/D10</f>
        <v>-0.12080536912751678</v>
      </c>
      <c r="C12" s="51">
        <f>SUM(C10:C11)</f>
        <v>15000</v>
      </c>
      <c r="D12" s="52">
        <f>E12/C12</f>
        <v>36.5</v>
      </c>
      <c r="E12" s="51">
        <f t="shared" ref="E12:J12" si="4">SUM(E10:E11)</f>
        <v>547500</v>
      </c>
      <c r="F12" s="51">
        <f t="shared" si="4"/>
        <v>1095</v>
      </c>
      <c r="G12" s="51">
        <f t="shared" si="4"/>
        <v>32.85</v>
      </c>
      <c r="H12" s="51">
        <f t="shared" si="4"/>
        <v>5.4749999999999996</v>
      </c>
      <c r="I12" s="51">
        <f t="shared" si="4"/>
        <v>79.332750000000004</v>
      </c>
      <c r="J12" s="51">
        <f t="shared" si="4"/>
        <v>548712.65775000001</v>
      </c>
      <c r="K12" s="57"/>
      <c r="L12" s="58"/>
      <c r="M12" s="58"/>
      <c r="N12" s="59"/>
      <c r="O12" s="59"/>
    </row>
    <row r="13" spans="1:15" s="19" customFormat="1" ht="15">
      <c r="A13" s="56">
        <v>44543</v>
      </c>
      <c r="B13" s="13" t="s">
        <v>1</v>
      </c>
      <c r="C13" s="10">
        <v>2500</v>
      </c>
      <c r="D13" s="46">
        <v>19</v>
      </c>
      <c r="E13" s="20">
        <f>C13*D13</f>
        <v>47500</v>
      </c>
      <c r="F13" s="20">
        <f>E13*0.002</f>
        <v>95</v>
      </c>
      <c r="G13" s="20">
        <f>E13*0.00006</f>
        <v>2.85</v>
      </c>
      <c r="H13" s="20">
        <f>E13*0.00001</f>
        <v>0.47500000000000003</v>
      </c>
      <c r="I13" s="20">
        <f>(F13+G13+H13)*0.07</f>
        <v>6.8827499999999997</v>
      </c>
      <c r="J13" s="20">
        <f>E13+F13+I13+G13+H13</f>
        <v>47605.207749999994</v>
      </c>
      <c r="K13" s="57"/>
      <c r="L13" s="58"/>
      <c r="M13" s="58"/>
      <c r="N13" s="58"/>
      <c r="O13" s="58"/>
    </row>
    <row r="14" spans="1:15" s="1" customFormat="1">
      <c r="A14" s="50"/>
      <c r="B14" s="3">
        <f>(D13-D12)/D12</f>
        <v>-0.47945205479452052</v>
      </c>
      <c r="C14" s="2">
        <f>SUM(C12:C13)</f>
        <v>17500</v>
      </c>
      <c r="D14" s="47">
        <f>E14/C14</f>
        <v>34</v>
      </c>
      <c r="E14" s="2">
        <f t="shared" ref="E14:J14" si="5">SUM(E12:E13)</f>
        <v>595000</v>
      </c>
      <c r="F14" s="2">
        <f t="shared" si="5"/>
        <v>1190</v>
      </c>
      <c r="G14" s="2">
        <f t="shared" si="5"/>
        <v>35.700000000000003</v>
      </c>
      <c r="H14" s="2">
        <f t="shared" si="5"/>
        <v>5.9499999999999993</v>
      </c>
      <c r="I14" s="2">
        <f t="shared" si="5"/>
        <v>86.215500000000006</v>
      </c>
      <c r="J14" s="2">
        <f t="shared" si="5"/>
        <v>596317.86549999996</v>
      </c>
      <c r="K14" s="57"/>
      <c r="L14" s="58"/>
      <c r="M14" s="58"/>
      <c r="N14" s="59"/>
      <c r="O14" s="59"/>
    </row>
    <row r="15" spans="1:15" s="1" customFormat="1">
      <c r="A15" s="50"/>
      <c r="B15" s="3"/>
      <c r="C15" s="2"/>
      <c r="D15" s="47"/>
      <c r="E15" s="2"/>
      <c r="F15" s="2"/>
      <c r="G15" s="2"/>
      <c r="H15" s="2"/>
      <c r="I15" s="2"/>
      <c r="J15" s="2"/>
      <c r="K15" s="57"/>
      <c r="L15" s="58"/>
      <c r="M15" s="58"/>
      <c r="N15" s="59"/>
      <c r="O15" s="59"/>
    </row>
    <row r="16" spans="1:15" s="19" customFormat="1" ht="15">
      <c r="A16" s="49">
        <v>44543</v>
      </c>
      <c r="B16" s="15" t="s">
        <v>1</v>
      </c>
      <c r="C16" s="16">
        <v>2500</v>
      </c>
      <c r="D16" s="41">
        <v>29.5</v>
      </c>
      <c r="E16" s="18">
        <f>C16*D16</f>
        <v>73750</v>
      </c>
      <c r="F16" s="18">
        <f>E16*0.002</f>
        <v>147.5</v>
      </c>
      <c r="G16" s="18">
        <f>E16*0.00006</f>
        <v>4.4249999999999998</v>
      </c>
      <c r="H16" s="18">
        <f>E16*0.00001</f>
        <v>0.73750000000000004</v>
      </c>
      <c r="I16" s="18">
        <f>(F16+G16+H16)*0.07</f>
        <v>10.686375000000002</v>
      </c>
      <c r="J16" s="18">
        <f>E16+F16+I16+G16+H16</f>
        <v>73913.348875000011</v>
      </c>
      <c r="K16" s="57"/>
      <c r="L16" s="58"/>
      <c r="M16" s="58"/>
      <c r="N16" s="58"/>
      <c r="O16" s="58"/>
    </row>
    <row r="17" spans="1:15" s="1" customFormat="1">
      <c r="A17" s="49">
        <v>44923</v>
      </c>
      <c r="B17" s="15" t="s">
        <v>3</v>
      </c>
      <c r="C17" s="16">
        <f>C16</f>
        <v>2500</v>
      </c>
      <c r="D17" s="26">
        <v>20.3</v>
      </c>
      <c r="E17" s="17">
        <f>C17*D17</f>
        <v>50750</v>
      </c>
      <c r="F17" s="27">
        <f>E17*0.002</f>
        <v>101.5</v>
      </c>
      <c r="G17" s="26">
        <f>E17*0.000068</f>
        <v>3.4510000000000001</v>
      </c>
      <c r="H17" s="26">
        <f>E17*0.00001</f>
        <v>0.50750000000000006</v>
      </c>
      <c r="I17" s="26">
        <f>(F17+G17+H17)*0.07</f>
        <v>7.3820949999999996</v>
      </c>
      <c r="J17" s="26">
        <f>E17-F17-G17-H17-I17</f>
        <v>50637.159404999999</v>
      </c>
    </row>
    <row r="18" spans="1:15" s="1" customFormat="1">
      <c r="A18" s="49" t="s">
        <v>4</v>
      </c>
      <c r="B18" s="15"/>
      <c r="C18" s="16"/>
      <c r="D18" s="17"/>
      <c r="E18" s="18">
        <f>E17-E16</f>
        <v>-23000</v>
      </c>
      <c r="F18" s="18"/>
      <c r="G18" s="18"/>
      <c r="H18" s="18"/>
      <c r="I18" s="18"/>
      <c r="J18" s="18">
        <f>J17-J16</f>
        <v>-23276.189470000012</v>
      </c>
    </row>
    <row r="19" spans="1:15" s="1" customFormat="1" ht="14.25">
      <c r="A19" s="54"/>
      <c r="B19" s="74"/>
      <c r="C19" s="51"/>
      <c r="D19" s="52"/>
      <c r="E19" s="51"/>
      <c r="F19" s="51"/>
      <c r="G19" s="51"/>
      <c r="H19" s="51"/>
      <c r="I19" s="51"/>
      <c r="J19" s="51"/>
      <c r="K19" s="57"/>
      <c r="L19" s="58"/>
      <c r="M19" s="58"/>
      <c r="N19" s="59"/>
      <c r="O19" s="59"/>
    </row>
    <row r="20" spans="1:15" s="19" customFormat="1" ht="15">
      <c r="A20" s="49">
        <v>44550</v>
      </c>
      <c r="B20" s="15" t="s">
        <v>1</v>
      </c>
      <c r="C20" s="16">
        <v>2500</v>
      </c>
      <c r="D20" s="41">
        <v>29.5</v>
      </c>
      <c r="E20" s="18">
        <f>C20*D20</f>
        <v>73750</v>
      </c>
      <c r="F20" s="18">
        <f>E20*0.002</f>
        <v>147.5</v>
      </c>
      <c r="G20" s="18">
        <f>E20*0.00006</f>
        <v>4.4249999999999998</v>
      </c>
      <c r="H20" s="18">
        <f>E20*0.00001</f>
        <v>0.73750000000000004</v>
      </c>
      <c r="I20" s="18">
        <f>(F20+G20+H20)*0.07</f>
        <v>10.686375000000002</v>
      </c>
      <c r="J20" s="18">
        <f>E20+F20+I20+G20+H20</f>
        <v>73913.348875000011</v>
      </c>
      <c r="K20" s="57"/>
      <c r="L20" s="58"/>
      <c r="M20" s="58"/>
      <c r="N20" s="58"/>
      <c r="O20" s="58"/>
    </row>
    <row r="21" spans="1:15" s="1" customFormat="1">
      <c r="A21" s="49">
        <v>44922</v>
      </c>
      <c r="B21" s="15" t="s">
        <v>3</v>
      </c>
      <c r="C21" s="16">
        <f>C20</f>
        <v>2500</v>
      </c>
      <c r="D21" s="26">
        <v>19.7</v>
      </c>
      <c r="E21" s="17">
        <f>C21*D21</f>
        <v>49250</v>
      </c>
      <c r="F21" s="27">
        <f>E21*0.002</f>
        <v>98.5</v>
      </c>
      <c r="G21" s="26">
        <f>E21*0.000068</f>
        <v>3.3489999999999998</v>
      </c>
      <c r="H21" s="26">
        <f>E21*0.00001</f>
        <v>0.49250000000000005</v>
      </c>
      <c r="I21" s="26">
        <f>(F21+G21+H21)*0.07</f>
        <v>7.1639050000000015</v>
      </c>
      <c r="J21" s="26">
        <f>E21-F21-G21-H21-I21</f>
        <v>49140.494594999996</v>
      </c>
    </row>
    <row r="22" spans="1:15" s="1" customFormat="1">
      <c r="A22" s="49" t="s">
        <v>4</v>
      </c>
      <c r="B22" s="15"/>
      <c r="C22" s="16"/>
      <c r="D22" s="17"/>
      <c r="E22" s="18">
        <f>E21-E20</f>
        <v>-24500</v>
      </c>
      <c r="F22" s="18"/>
      <c r="G22" s="18"/>
      <c r="H22" s="18"/>
      <c r="I22" s="18"/>
      <c r="J22" s="18">
        <f>J21-J20</f>
        <v>-24772.854280000014</v>
      </c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9" customFormat="1" ht="15">
      <c r="A24" s="49">
        <v>44624</v>
      </c>
      <c r="B24" s="15" t="s">
        <v>1</v>
      </c>
      <c r="C24" s="16">
        <v>2500</v>
      </c>
      <c r="D24" s="41">
        <v>25.75</v>
      </c>
      <c r="E24" s="18">
        <f>C24*D24</f>
        <v>64375</v>
      </c>
      <c r="F24" s="18">
        <f>E24*0.002</f>
        <v>128.75</v>
      </c>
      <c r="G24" s="18">
        <f>E24*0.00006</f>
        <v>3.8625000000000003</v>
      </c>
      <c r="H24" s="18">
        <f>E24*0.00001</f>
        <v>0.64375000000000004</v>
      </c>
      <c r="I24" s="18">
        <f>(F24+G24+H24)*0.07</f>
        <v>9.3279375000000027</v>
      </c>
      <c r="J24" s="18">
        <f>E24+F24+I24+G24+H24</f>
        <v>64517.584187500004</v>
      </c>
      <c r="K24" s="57"/>
      <c r="L24" s="58"/>
      <c r="M24" s="58"/>
      <c r="N24" s="58"/>
      <c r="O24" s="58"/>
    </row>
    <row r="25" spans="1:15" s="1" customFormat="1">
      <c r="A25" s="49">
        <v>44866</v>
      </c>
      <c r="B25" s="15" t="s">
        <v>3</v>
      </c>
      <c r="C25" s="16">
        <f>C24</f>
        <v>2500</v>
      </c>
      <c r="D25" s="26">
        <v>19.2</v>
      </c>
      <c r="E25" s="17">
        <f>C25*D25</f>
        <v>48000</v>
      </c>
      <c r="F25" s="27">
        <f>E25*0.002</f>
        <v>96</v>
      </c>
      <c r="G25" s="26">
        <f>E25*0.000068</f>
        <v>3.2639999999999998</v>
      </c>
      <c r="H25" s="26">
        <f>E25*0.00001</f>
        <v>0.48000000000000004</v>
      </c>
      <c r="I25" s="26">
        <f>(F25+G25+H25)*0.07</f>
        <v>6.9820800000000007</v>
      </c>
      <c r="J25" s="26">
        <f>E25-F25-G25-H25-I25</f>
        <v>47893.273919999992</v>
      </c>
    </row>
    <row r="26" spans="1:15" s="1" customFormat="1">
      <c r="A26" s="49" t="s">
        <v>4</v>
      </c>
      <c r="B26" s="15"/>
      <c r="C26" s="16"/>
      <c r="D26" s="17"/>
      <c r="E26" s="18">
        <f>E25-E24</f>
        <v>-16375</v>
      </c>
      <c r="F26" s="18"/>
      <c r="G26" s="18"/>
      <c r="H26" s="18"/>
      <c r="I26" s="18"/>
      <c r="J26" s="18">
        <f>J25-J24</f>
        <v>-16624.310267500012</v>
      </c>
    </row>
    <row r="27" spans="1:15" s="1" customFormat="1">
      <c r="A27" s="56"/>
      <c r="B27" s="13"/>
      <c r="C27" s="10"/>
      <c r="D27" s="11"/>
      <c r="E27" s="20"/>
      <c r="F27" s="20"/>
      <c r="G27" s="20"/>
      <c r="H27" s="20"/>
      <c r="I27" s="20"/>
      <c r="J27" s="20"/>
    </row>
    <row r="28" spans="1:15" s="1" customFormat="1">
      <c r="A28" s="56">
        <v>44627</v>
      </c>
      <c r="B28" s="13" t="s">
        <v>1</v>
      </c>
      <c r="C28" s="10">
        <v>2500</v>
      </c>
      <c r="D28" s="46">
        <v>25.75</v>
      </c>
      <c r="E28" s="20">
        <f>C28*D28</f>
        <v>64375</v>
      </c>
      <c r="F28" s="20">
        <f>E28*0.002</f>
        <v>128.75</v>
      </c>
      <c r="G28" s="20">
        <f>E28*0.00006</f>
        <v>3.8625000000000003</v>
      </c>
      <c r="H28" s="20">
        <f>E28*0.00001</f>
        <v>0.64375000000000004</v>
      </c>
      <c r="I28" s="20">
        <f>(F28+G28+H28)*0.07</f>
        <v>9.3279375000000027</v>
      </c>
      <c r="J28" s="20">
        <f>E28+F28+I28+G28+H28</f>
        <v>64517.584187500004</v>
      </c>
    </row>
    <row r="29" spans="1:15" s="1" customFormat="1">
      <c r="A29" s="56">
        <v>44634</v>
      </c>
      <c r="B29" s="13" t="s">
        <v>3</v>
      </c>
      <c r="C29" s="10">
        <f>C28</f>
        <v>2500</v>
      </c>
      <c r="D29" s="34">
        <v>20.100000000000001</v>
      </c>
      <c r="E29" s="11">
        <f>C29*D29</f>
        <v>50250</v>
      </c>
      <c r="F29" s="35">
        <f>E29*0.002</f>
        <v>100.5</v>
      </c>
      <c r="G29" s="34">
        <f>E29*0.000068</f>
        <v>3.4169999999999998</v>
      </c>
      <c r="H29" s="34">
        <f>E29*0.00001</f>
        <v>0.50250000000000006</v>
      </c>
      <c r="I29" s="34">
        <f>(F29+G29+H29)*0.07</f>
        <v>7.3093650000000006</v>
      </c>
      <c r="J29" s="34">
        <f>E29-F29-G29-H29-I29</f>
        <v>50138.271134999995</v>
      </c>
    </row>
    <row r="30" spans="1:15" s="1" customFormat="1">
      <c r="A30" s="56" t="s">
        <v>4</v>
      </c>
      <c r="B30" s="13"/>
      <c r="C30" s="10"/>
      <c r="D30" s="11"/>
      <c r="E30" s="20">
        <f>E29-E28</f>
        <v>-14125</v>
      </c>
      <c r="F30" s="20"/>
      <c r="G30" s="20"/>
      <c r="H30" s="20"/>
      <c r="I30" s="20"/>
      <c r="J30" s="20">
        <f>J29-J28</f>
        <v>-14379.313052500009</v>
      </c>
    </row>
    <row r="31" spans="1:15" s="1" customFormat="1">
      <c r="A31" s="56">
        <v>44627</v>
      </c>
      <c r="B31" s="13" t="s">
        <v>1</v>
      </c>
      <c r="C31" s="10">
        <v>2500</v>
      </c>
      <c r="D31" s="46">
        <v>19</v>
      </c>
      <c r="E31" s="20">
        <f>C31*D31</f>
        <v>47500</v>
      </c>
      <c r="F31" s="20">
        <f>E31*0.002</f>
        <v>95</v>
      </c>
      <c r="G31" s="20">
        <f>E31*0.00006</f>
        <v>2.85</v>
      </c>
      <c r="H31" s="20">
        <f>E31*0.00001</f>
        <v>0.47500000000000003</v>
      </c>
      <c r="I31" s="20">
        <f>(F31+G31+H31)*0.07</f>
        <v>6.8827499999999997</v>
      </c>
      <c r="J31" s="20">
        <f>E31+F31+I31+G31+H31</f>
        <v>47605.207749999994</v>
      </c>
    </row>
    <row r="32" spans="1:15" s="1" customFormat="1">
      <c r="A32" s="56">
        <v>44634</v>
      </c>
      <c r="B32" s="13" t="s">
        <v>3</v>
      </c>
      <c r="C32" s="10">
        <f>C31</f>
        <v>2500</v>
      </c>
      <c r="D32" s="34">
        <v>20.100000000000001</v>
      </c>
      <c r="E32" s="11">
        <f>C32*D32</f>
        <v>50250</v>
      </c>
      <c r="F32" s="35">
        <f>E32*0.002</f>
        <v>100.5</v>
      </c>
      <c r="G32" s="34">
        <f>E32*0.000068</f>
        <v>3.4169999999999998</v>
      </c>
      <c r="H32" s="34">
        <f>E32*0.00001</f>
        <v>0.50250000000000006</v>
      </c>
      <c r="I32" s="34">
        <f>(F32+G32+H32)*0.07</f>
        <v>7.3093650000000006</v>
      </c>
      <c r="J32" s="34">
        <f>E32-F32-G32-H32-I32</f>
        <v>50138.271134999995</v>
      </c>
    </row>
    <row r="33" spans="1:15" s="1" customFormat="1">
      <c r="A33" s="56" t="s">
        <v>4</v>
      </c>
      <c r="B33" s="12">
        <f>(D32-D31)/D31</f>
        <v>5.7894736842105339E-2</v>
      </c>
      <c r="C33" s="10"/>
      <c r="D33" s="11"/>
      <c r="E33" s="20">
        <f>E32-E31</f>
        <v>2750</v>
      </c>
      <c r="F33" s="20"/>
      <c r="G33" s="20"/>
      <c r="H33" s="20"/>
      <c r="I33" s="20"/>
      <c r="J33" s="20">
        <f>J32-J31</f>
        <v>2533.0633850000013</v>
      </c>
    </row>
    <row r="34" spans="1:15" s="1" customFormat="1" ht="12">
      <c r="A34" s="50"/>
      <c r="D34" s="47"/>
      <c r="J34" s="53"/>
    </row>
    <row r="35" spans="1:15" s="19" customFormat="1" ht="15">
      <c r="A35" s="56">
        <v>44624</v>
      </c>
      <c r="B35" s="13" t="s">
        <v>1</v>
      </c>
      <c r="C35" s="16">
        <v>2500</v>
      </c>
      <c r="D35" s="46">
        <v>25.75</v>
      </c>
      <c r="E35" s="20">
        <f>C35*D35</f>
        <v>64375</v>
      </c>
      <c r="F35" s="20">
        <f>E35*0.002</f>
        <v>128.75</v>
      </c>
      <c r="G35" s="20">
        <f>E35*0.00006</f>
        <v>3.8625000000000003</v>
      </c>
      <c r="H35" s="20">
        <f>E35*0.00001</f>
        <v>0.64375000000000004</v>
      </c>
      <c r="I35" s="20">
        <f>(F35+G35+H35)*0.07</f>
        <v>9.3279375000000027</v>
      </c>
      <c r="J35" s="20">
        <f>E35+F35+I35+G35+H35</f>
        <v>64517.584187500004</v>
      </c>
      <c r="K35" s="57"/>
      <c r="L35" s="58"/>
      <c r="M35" s="58"/>
      <c r="N35" s="58"/>
      <c r="O35" s="58"/>
    </row>
    <row r="36" spans="1:15" s="13" customFormat="1">
      <c r="A36" s="56" t="e">
        <f>#REF!</f>
        <v>#REF!</v>
      </c>
      <c r="B36" s="13" t="s">
        <v>3</v>
      </c>
      <c r="C36" s="10">
        <f>C35</f>
        <v>2500</v>
      </c>
      <c r="D36" s="26">
        <v>29.5</v>
      </c>
      <c r="E36" s="11">
        <f>C36*D36</f>
        <v>73750</v>
      </c>
      <c r="F36" s="35">
        <f>E36*0.002</f>
        <v>147.5</v>
      </c>
      <c r="G36" s="34">
        <f>E36*0.000068</f>
        <v>5.0149999999999997</v>
      </c>
      <c r="H36" s="34">
        <f>E36*0.00001</f>
        <v>0.73750000000000004</v>
      </c>
      <c r="I36" s="34">
        <f>(F36+G36+H36)*0.07</f>
        <v>10.727675000000001</v>
      </c>
      <c r="J36" s="34">
        <f>E36-F36-G36-H36-I36</f>
        <v>73586.019824999996</v>
      </c>
      <c r="K36" s="10">
        <f>C36</f>
        <v>2500</v>
      </c>
    </row>
    <row r="37" spans="1:15" s="31" customFormat="1" ht="18.75">
      <c r="A37" s="56" t="s">
        <v>4</v>
      </c>
      <c r="B37" s="25">
        <f>(D36-D35)/D35</f>
        <v>0.14563106796116504</v>
      </c>
      <c r="C37" s="10"/>
      <c r="D37" s="11"/>
      <c r="E37" s="20">
        <f>E36-E35</f>
        <v>9375</v>
      </c>
      <c r="F37" s="20"/>
      <c r="G37" s="20"/>
      <c r="H37" s="20"/>
      <c r="I37" s="20"/>
      <c r="J37" s="20">
        <f>J36-J35</f>
        <v>9068.4356374999916</v>
      </c>
      <c r="K37" s="20">
        <f>J37</f>
        <v>9068.4356374999916</v>
      </c>
    </row>
    <row r="38" spans="1:15" s="19" customFormat="1" ht="15">
      <c r="A38" s="49">
        <v>44550</v>
      </c>
      <c r="B38" s="13" t="s">
        <v>1</v>
      </c>
      <c r="C38" s="16">
        <v>2500</v>
      </c>
      <c r="D38" s="46">
        <v>29.5</v>
      </c>
      <c r="E38" s="20">
        <f>C38*D38</f>
        <v>73750</v>
      </c>
      <c r="F38" s="20">
        <f>E38*0.002</f>
        <v>147.5</v>
      </c>
      <c r="G38" s="20">
        <f>E38*0.00006</f>
        <v>4.4249999999999998</v>
      </c>
      <c r="H38" s="20">
        <f>E38*0.00001</f>
        <v>0.73750000000000004</v>
      </c>
      <c r="I38" s="20">
        <f>(F38+G38+H38)*0.07</f>
        <v>10.686375000000002</v>
      </c>
      <c r="J38" s="20">
        <f>E38+F38+I38+G38+H38</f>
        <v>73913.348875000011</v>
      </c>
      <c r="K38" s="57"/>
      <c r="L38" s="58"/>
      <c r="M38" s="58"/>
      <c r="N38" s="58"/>
      <c r="O38" s="58"/>
    </row>
    <row r="39" spans="1:15" s="13" customFormat="1">
      <c r="A39" s="56" t="e">
        <f>A36</f>
        <v>#REF!</v>
      </c>
      <c r="B39" s="13" t="s">
        <v>3</v>
      </c>
      <c r="C39" s="10">
        <f>C38</f>
        <v>2500</v>
      </c>
      <c r="D39" s="34">
        <f>D36</f>
        <v>29.5</v>
      </c>
      <c r="E39" s="11">
        <f>C39*D39</f>
        <v>73750</v>
      </c>
      <c r="F39" s="35">
        <f>E39*0.002</f>
        <v>147.5</v>
      </c>
      <c r="G39" s="34">
        <f>E39*0.000068</f>
        <v>5.0149999999999997</v>
      </c>
      <c r="H39" s="34">
        <f>E39*0.00001</f>
        <v>0.73750000000000004</v>
      </c>
      <c r="I39" s="34">
        <f>(F39+G39+H39)*0.07</f>
        <v>10.727675000000001</v>
      </c>
      <c r="J39" s="34">
        <f>E39-F39-G39-H39-I39</f>
        <v>73586.019824999996</v>
      </c>
      <c r="K39" s="10">
        <f>K36+C39</f>
        <v>5000</v>
      </c>
    </row>
    <row r="40" spans="1:15" s="31" customFormat="1" ht="18.75">
      <c r="A40" s="56" t="s">
        <v>4</v>
      </c>
      <c r="B40" s="25">
        <f>(D39-D38)/D38</f>
        <v>0</v>
      </c>
      <c r="C40" s="10"/>
      <c r="D40" s="11"/>
      <c r="E40" s="20">
        <f>E39-E38</f>
        <v>0</v>
      </c>
      <c r="F40" s="20"/>
      <c r="G40" s="20"/>
      <c r="H40" s="20"/>
      <c r="I40" s="20"/>
      <c r="J40" s="20">
        <f>J39-J38</f>
        <v>-327.32905000001483</v>
      </c>
      <c r="K40" s="20">
        <f>K37+J40</f>
        <v>8741.1065874999767</v>
      </c>
    </row>
    <row r="41" spans="1:15" s="19" customFormat="1" ht="15">
      <c r="A41" s="56">
        <v>44543</v>
      </c>
      <c r="B41" s="13" t="s">
        <v>1</v>
      </c>
      <c r="C41" s="16">
        <v>2500</v>
      </c>
      <c r="D41" s="46">
        <v>29.5</v>
      </c>
      <c r="E41" s="20">
        <f>C41*D41</f>
        <v>73750</v>
      </c>
      <c r="F41" s="20">
        <f>E41*0.002</f>
        <v>147.5</v>
      </c>
      <c r="G41" s="20">
        <f>E41*0.00006</f>
        <v>4.4249999999999998</v>
      </c>
      <c r="H41" s="20">
        <f>E41*0.00001</f>
        <v>0.73750000000000004</v>
      </c>
      <c r="I41" s="20">
        <f>(F41+G41+H41)*0.07</f>
        <v>10.686375000000002</v>
      </c>
      <c r="J41" s="20">
        <f>E41+F41+I41+G41+H41</f>
        <v>73913.348875000011</v>
      </c>
      <c r="K41" s="57"/>
      <c r="L41" s="58"/>
      <c r="M41" s="58"/>
      <c r="N41" s="58"/>
      <c r="O41" s="58"/>
    </row>
    <row r="42" spans="1:15" s="13" customFormat="1">
      <c r="A42" s="56" t="e">
        <f>A39</f>
        <v>#REF!</v>
      </c>
      <c r="B42" s="13" t="s">
        <v>3</v>
      </c>
      <c r="C42" s="10">
        <f>C41</f>
        <v>2500</v>
      </c>
      <c r="D42" s="34">
        <f>D39</f>
        <v>29.5</v>
      </c>
      <c r="E42" s="11">
        <f>C42*D42</f>
        <v>73750</v>
      </c>
      <c r="F42" s="35">
        <f>E42*0.002</f>
        <v>147.5</v>
      </c>
      <c r="G42" s="34">
        <f>E42*0.000068</f>
        <v>5.0149999999999997</v>
      </c>
      <c r="H42" s="34">
        <f>E42*0.00001</f>
        <v>0.73750000000000004</v>
      </c>
      <c r="I42" s="34">
        <f>(F42+G42+H42)*0.07</f>
        <v>10.727675000000001</v>
      </c>
      <c r="J42" s="34">
        <f>E42-F42-G42-H42-I42</f>
        <v>73586.019824999996</v>
      </c>
      <c r="K42" s="10">
        <f>K39+C42</f>
        <v>7500</v>
      </c>
    </row>
    <row r="43" spans="1:15" s="31" customFormat="1" ht="18.75">
      <c r="A43" s="56" t="s">
        <v>4</v>
      </c>
      <c r="B43" s="25">
        <f>(D42-D41)/D41</f>
        <v>0</v>
      </c>
      <c r="C43" s="10"/>
      <c r="D43" s="11"/>
      <c r="E43" s="20">
        <f>E42-E41</f>
        <v>0</v>
      </c>
      <c r="F43" s="20"/>
      <c r="G43" s="20"/>
      <c r="H43" s="20"/>
      <c r="I43" s="20"/>
      <c r="J43" s="20">
        <f>J42-J41</f>
        <v>-327.32905000001483</v>
      </c>
      <c r="K43" s="20">
        <f>K40+J43</f>
        <v>8413.7775374999619</v>
      </c>
    </row>
    <row r="44" spans="1:15" s="19" customFormat="1" ht="15">
      <c r="A44" s="56">
        <v>44496</v>
      </c>
      <c r="B44" s="13" t="s">
        <v>1</v>
      </c>
      <c r="C44" s="16">
        <v>2500</v>
      </c>
      <c r="D44" s="46">
        <v>32.75</v>
      </c>
      <c r="E44" s="20">
        <f>C44*D44</f>
        <v>81875</v>
      </c>
      <c r="F44" s="20">
        <f>E44*0.002</f>
        <v>163.75</v>
      </c>
      <c r="G44" s="20">
        <f>E44*0.00006</f>
        <v>4.9125000000000005</v>
      </c>
      <c r="H44" s="20">
        <f>E44*0.00001</f>
        <v>0.81875000000000009</v>
      </c>
      <c r="I44" s="20">
        <f>(F44+G44+H44)*0.07</f>
        <v>11.863687500000001</v>
      </c>
      <c r="J44" s="20">
        <f>E44+F44+I44+G44+H44</f>
        <v>82056.344937500005</v>
      </c>
      <c r="K44" s="57"/>
      <c r="L44" s="58"/>
      <c r="M44" s="58"/>
      <c r="N44" s="58"/>
      <c r="O44" s="58"/>
    </row>
    <row r="45" spans="1:15" s="13" customFormat="1">
      <c r="A45" s="56" t="e">
        <f>A42</f>
        <v>#REF!</v>
      </c>
      <c r="B45" s="13" t="s">
        <v>3</v>
      </c>
      <c r="C45" s="10">
        <f>C44</f>
        <v>2500</v>
      </c>
      <c r="D45" s="34">
        <f>D39</f>
        <v>29.5</v>
      </c>
      <c r="E45" s="11">
        <f>C45*D45</f>
        <v>73750</v>
      </c>
      <c r="F45" s="35">
        <f>E45*0.002</f>
        <v>147.5</v>
      </c>
      <c r="G45" s="34">
        <f>E45*0.000068</f>
        <v>5.0149999999999997</v>
      </c>
      <c r="H45" s="34">
        <f>E45*0.00001</f>
        <v>0.73750000000000004</v>
      </c>
      <c r="I45" s="34">
        <f>(F45+G45+H45)*0.07</f>
        <v>10.727675000000001</v>
      </c>
      <c r="J45" s="34">
        <f>E45-F45-G45-H45-I45</f>
        <v>73586.019824999996</v>
      </c>
      <c r="K45" s="10">
        <f>K42+C45</f>
        <v>10000</v>
      </c>
    </row>
    <row r="46" spans="1:15" s="31" customFormat="1" ht="18.75">
      <c r="A46" s="56" t="s">
        <v>4</v>
      </c>
      <c r="B46" s="25">
        <f>(D45-D44)/D44</f>
        <v>-9.9236641221374045E-2</v>
      </c>
      <c r="C46" s="10"/>
      <c r="D46" s="11"/>
      <c r="E46" s="20">
        <f>E45-E44</f>
        <v>-8125</v>
      </c>
      <c r="F46" s="20"/>
      <c r="G46" s="20"/>
      <c r="H46" s="20"/>
      <c r="I46" s="20"/>
      <c r="J46" s="20">
        <f>J45-J44</f>
        <v>-8470.3251125000097</v>
      </c>
      <c r="K46" s="20">
        <f>K43+J46</f>
        <v>-56.5475750000478</v>
      </c>
    </row>
    <row r="47" spans="1:15" s="19" customFormat="1" ht="15">
      <c r="A47" s="56">
        <v>44462</v>
      </c>
      <c r="B47" s="13" t="s">
        <v>1</v>
      </c>
      <c r="C47" s="16">
        <v>2500</v>
      </c>
      <c r="D47" s="46">
        <v>33.25</v>
      </c>
      <c r="E47" s="20">
        <f>C47*D47</f>
        <v>83125</v>
      </c>
      <c r="F47" s="20">
        <f>E47*0.002</f>
        <v>166.25</v>
      </c>
      <c r="G47" s="20">
        <f>E47*0.00006</f>
        <v>4.9874999999999998</v>
      </c>
      <c r="H47" s="20">
        <f>E47*0.00001</f>
        <v>0.83125000000000004</v>
      </c>
      <c r="I47" s="20">
        <f>(F47+G47+H47)*0.07</f>
        <v>12.044812500000003</v>
      </c>
      <c r="J47" s="20">
        <f>E47+F47+I47+G47+H47</f>
        <v>83309.113562500002</v>
      </c>
      <c r="K47" s="57"/>
      <c r="L47" s="58"/>
      <c r="M47" s="58"/>
      <c r="N47" s="58"/>
      <c r="O47" s="58"/>
    </row>
    <row r="48" spans="1:15" s="13" customFormat="1">
      <c r="A48" s="56" t="e">
        <f>A45</f>
        <v>#REF!</v>
      </c>
      <c r="B48" s="13" t="s">
        <v>3</v>
      </c>
      <c r="C48" s="10">
        <f>C47</f>
        <v>2500</v>
      </c>
      <c r="D48" s="34">
        <f>D39</f>
        <v>29.5</v>
      </c>
      <c r="E48" s="11">
        <f>C48*D48</f>
        <v>73750</v>
      </c>
      <c r="F48" s="35">
        <f>E48*0.002</f>
        <v>147.5</v>
      </c>
      <c r="G48" s="34">
        <f>E48*0.000068</f>
        <v>5.0149999999999997</v>
      </c>
      <c r="H48" s="34">
        <f>E48*0.00001</f>
        <v>0.73750000000000004</v>
      </c>
      <c r="I48" s="34">
        <f>(F48+G48+H48)*0.07</f>
        <v>10.727675000000001</v>
      </c>
      <c r="J48" s="34">
        <f>E48-F48-G48-H48-I48</f>
        <v>73586.019824999996</v>
      </c>
      <c r="K48" s="10">
        <f>K45+C48</f>
        <v>12500</v>
      </c>
    </row>
    <row r="49" spans="1:15" s="31" customFormat="1" ht="18.75">
      <c r="A49" s="56" t="s">
        <v>4</v>
      </c>
      <c r="B49" s="25">
        <f>(D48-D47)/D47</f>
        <v>-0.11278195488721804</v>
      </c>
      <c r="C49" s="10"/>
      <c r="D49" s="11"/>
      <c r="E49" s="20">
        <f>E48-E47</f>
        <v>-9375</v>
      </c>
      <c r="F49" s="20"/>
      <c r="G49" s="20"/>
      <c r="H49" s="20"/>
      <c r="I49" s="20"/>
      <c r="J49" s="20">
        <f>J48-J47</f>
        <v>-9723.0937375000067</v>
      </c>
      <c r="K49" s="20">
        <f>K46+J49</f>
        <v>-9779.6413125000545</v>
      </c>
    </row>
    <row r="50" spans="1:15" s="19" customFormat="1" ht="15">
      <c r="A50" s="56">
        <v>44452</v>
      </c>
      <c r="B50" s="13" t="s">
        <v>1</v>
      </c>
      <c r="C50" s="16">
        <v>2500</v>
      </c>
      <c r="D50" s="46">
        <v>35.25</v>
      </c>
      <c r="E50" s="20">
        <f>C50*D50</f>
        <v>88125</v>
      </c>
      <c r="F50" s="20">
        <f>E50*0.002</f>
        <v>176.25</v>
      </c>
      <c r="G50" s="20">
        <f>E50*0.00006</f>
        <v>5.2875000000000005</v>
      </c>
      <c r="H50" s="20">
        <f>E50*0.00001</f>
        <v>0.88125000000000009</v>
      </c>
      <c r="I50" s="20">
        <f>(F50+G50+H50)*0.07</f>
        <v>12.7693125</v>
      </c>
      <c r="J50" s="20">
        <f>E50+F50+I50+G50+H50</f>
        <v>88320.188062500005</v>
      </c>
      <c r="K50" s="57"/>
      <c r="L50" s="58"/>
      <c r="M50" s="58"/>
      <c r="N50" s="58"/>
      <c r="O50" s="58"/>
    </row>
    <row r="51" spans="1:15" s="13" customFormat="1">
      <c r="A51" s="56" t="e">
        <f>A48</f>
        <v>#REF!</v>
      </c>
      <c r="B51" s="13" t="s">
        <v>3</v>
      </c>
      <c r="C51" s="10">
        <f>C50</f>
        <v>2500</v>
      </c>
      <c r="D51" s="34">
        <f>D39</f>
        <v>29.5</v>
      </c>
      <c r="E51" s="11">
        <f>C51*D51</f>
        <v>73750</v>
      </c>
      <c r="F51" s="35">
        <f>E51*0.002</f>
        <v>147.5</v>
      </c>
      <c r="G51" s="34">
        <f>E51*0.000068</f>
        <v>5.0149999999999997</v>
      </c>
      <c r="H51" s="34">
        <f>E51*0.00001</f>
        <v>0.73750000000000004</v>
      </c>
      <c r="I51" s="34">
        <f>(F51+G51+H51)*0.07</f>
        <v>10.727675000000001</v>
      </c>
      <c r="J51" s="34">
        <f>E51-F51-G51-H51-I51</f>
        <v>73586.019824999996</v>
      </c>
      <c r="K51" s="91">
        <f>K48+C51</f>
        <v>15000</v>
      </c>
    </row>
    <row r="52" spans="1:15" s="31" customFormat="1" ht="18.75">
      <c r="A52" s="56" t="s">
        <v>4</v>
      </c>
      <c r="B52" s="25">
        <f>(D51-D50)/D50</f>
        <v>-0.16312056737588654</v>
      </c>
      <c r="C52" s="10"/>
      <c r="D52" s="11"/>
      <c r="E52" s="20">
        <f>E51-E50</f>
        <v>-14375</v>
      </c>
      <c r="F52" s="20"/>
      <c r="G52" s="20"/>
      <c r="H52" s="20"/>
      <c r="I52" s="20"/>
      <c r="J52" s="20">
        <f>J51-J50</f>
        <v>-14734.168237500009</v>
      </c>
      <c r="K52" s="20">
        <f>K49+J52</f>
        <v>-24513.809550000064</v>
      </c>
    </row>
    <row r="53" spans="1:15" s="19" customFormat="1" ht="15">
      <c r="A53" s="56">
        <v>44398</v>
      </c>
      <c r="B53" s="13" t="s">
        <v>1</v>
      </c>
      <c r="C53" s="16">
        <v>2500</v>
      </c>
      <c r="D53" s="46">
        <v>37.75</v>
      </c>
      <c r="E53" s="20">
        <f>C53*D53</f>
        <v>94375</v>
      </c>
      <c r="F53" s="20">
        <f>E53*0.002</f>
        <v>188.75</v>
      </c>
      <c r="G53" s="20">
        <f>E53*0.00006</f>
        <v>5.6625000000000005</v>
      </c>
      <c r="H53" s="20">
        <f>E53*0.00001</f>
        <v>0.94375000000000009</v>
      </c>
      <c r="I53" s="20">
        <f>(F53+G53+H53)*0.07</f>
        <v>13.6749375</v>
      </c>
      <c r="J53" s="20">
        <f>E53+F53+I53+G53+H53</f>
        <v>94584.031187500019</v>
      </c>
      <c r="K53" s="57"/>
      <c r="L53" s="58"/>
      <c r="M53" s="58"/>
      <c r="N53" s="58"/>
      <c r="O53" s="58"/>
    </row>
    <row r="54" spans="1:15" s="13" customFormat="1">
      <c r="A54" s="56" t="e">
        <f>A51</f>
        <v>#REF!</v>
      </c>
      <c r="B54" s="13" t="s">
        <v>3</v>
      </c>
      <c r="C54" s="10">
        <f>C53</f>
        <v>2500</v>
      </c>
      <c r="D54" s="34">
        <f>D39</f>
        <v>29.5</v>
      </c>
      <c r="E54" s="11">
        <f>C54*D54</f>
        <v>73750</v>
      </c>
      <c r="F54" s="35">
        <f>E54*0.002</f>
        <v>147.5</v>
      </c>
      <c r="G54" s="34">
        <f>E54*0.000068</f>
        <v>5.0149999999999997</v>
      </c>
      <c r="H54" s="34">
        <f>E54*0.00001</f>
        <v>0.73750000000000004</v>
      </c>
      <c r="I54" s="34">
        <f>(F54+G54+H54)*0.07</f>
        <v>10.727675000000001</v>
      </c>
      <c r="J54" s="34">
        <f>E54-F54-G54-H54-I54</f>
        <v>73586.019824999996</v>
      </c>
      <c r="K54" s="10">
        <f>K51+C54</f>
        <v>17500</v>
      </c>
    </row>
    <row r="55" spans="1:15" s="31" customFormat="1" ht="18.75">
      <c r="A55" s="56" t="s">
        <v>4</v>
      </c>
      <c r="B55" s="25">
        <f>(D54-D53)/D53</f>
        <v>-0.2185430463576159</v>
      </c>
      <c r="C55" s="10"/>
      <c r="D55" s="11"/>
      <c r="E55" s="20">
        <f>E54-E53</f>
        <v>-20625</v>
      </c>
      <c r="F55" s="20"/>
      <c r="G55" s="20"/>
      <c r="H55" s="20"/>
      <c r="I55" s="20"/>
      <c r="J55" s="20">
        <f>J54-J53</f>
        <v>-20998.011362500023</v>
      </c>
      <c r="K55" s="20">
        <f>K52+J55</f>
        <v>-45511.820912500087</v>
      </c>
    </row>
    <row r="56" spans="1:15" s="19" customFormat="1" ht="15">
      <c r="A56" s="56">
        <v>44368</v>
      </c>
      <c r="B56" s="13" t="s">
        <v>1</v>
      </c>
      <c r="C56" s="16">
        <v>2500</v>
      </c>
      <c r="D56" s="46">
        <v>40</v>
      </c>
      <c r="E56" s="20">
        <f>C56*D56</f>
        <v>100000</v>
      </c>
      <c r="F56" s="20">
        <f>E56*0.002</f>
        <v>200</v>
      </c>
      <c r="G56" s="20">
        <f>E56*0.00006</f>
        <v>6</v>
      </c>
      <c r="H56" s="20">
        <f>E56*0.00001</f>
        <v>1</v>
      </c>
      <c r="I56" s="20">
        <f>(F56+G56+H56)*0.07</f>
        <v>14.490000000000002</v>
      </c>
      <c r="J56" s="20">
        <f>E56+F56+I56+G56+H56</f>
        <v>100221.49</v>
      </c>
      <c r="K56" s="57"/>
      <c r="L56" s="58"/>
      <c r="M56" s="58"/>
      <c r="N56" s="58"/>
      <c r="O56" s="58"/>
    </row>
    <row r="57" spans="1:15" s="13" customFormat="1">
      <c r="A57" s="56" t="e">
        <f>A54</f>
        <v>#REF!</v>
      </c>
      <c r="B57" s="13" t="s">
        <v>3</v>
      </c>
      <c r="C57" s="10">
        <f>C56</f>
        <v>2500</v>
      </c>
      <c r="D57" s="34">
        <f>D42</f>
        <v>29.5</v>
      </c>
      <c r="E57" s="11">
        <f>C57*D57</f>
        <v>73750</v>
      </c>
      <c r="F57" s="35">
        <f>E57*0.002</f>
        <v>147.5</v>
      </c>
      <c r="G57" s="34">
        <f>E57*0.000068</f>
        <v>5.0149999999999997</v>
      </c>
      <c r="H57" s="34">
        <f>E57*0.00001</f>
        <v>0.73750000000000004</v>
      </c>
      <c r="I57" s="34">
        <f>(F57+G57+H57)*0.07</f>
        <v>10.727675000000001</v>
      </c>
      <c r="J57" s="34">
        <f>E57-F57-G57-H57-I57</f>
        <v>73586.019824999996</v>
      </c>
      <c r="K57" s="10">
        <f>K54+C57</f>
        <v>20000</v>
      </c>
    </row>
    <row r="58" spans="1:15" s="31" customFormat="1" ht="18.75">
      <c r="A58" s="56" t="s">
        <v>4</v>
      </c>
      <c r="B58" s="25">
        <f>(D57-D56)/D56</f>
        <v>-0.26250000000000001</v>
      </c>
      <c r="C58" s="10"/>
      <c r="D58" s="11"/>
      <c r="E58" s="20">
        <f>E57-E56</f>
        <v>-26250</v>
      </c>
      <c r="F58" s="20"/>
      <c r="G58" s="20"/>
      <c r="H58" s="20"/>
      <c r="I58" s="20"/>
      <c r="J58" s="20">
        <f>J57-J56</f>
        <v>-26635.470175000009</v>
      </c>
      <c r="K58" s="20">
        <f>K55+J58</f>
        <v>-72147.291087500096</v>
      </c>
    </row>
    <row r="59" spans="1:15" s="19" customFormat="1" ht="15">
      <c r="A59" s="56">
        <v>44368</v>
      </c>
      <c r="B59" s="13" t="s">
        <v>1</v>
      </c>
      <c r="C59" s="16">
        <v>2500</v>
      </c>
      <c r="D59" s="46">
        <v>40</v>
      </c>
      <c r="E59" s="20">
        <f>C59*D59</f>
        <v>100000</v>
      </c>
      <c r="F59" s="20">
        <f>E59*0.002</f>
        <v>200</v>
      </c>
      <c r="G59" s="20">
        <f>E59*0.00006</f>
        <v>6</v>
      </c>
      <c r="H59" s="20">
        <f>E59*0.00001</f>
        <v>1</v>
      </c>
      <c r="I59" s="20">
        <f>(F59+G59+H59)*0.07</f>
        <v>14.490000000000002</v>
      </c>
      <c r="J59" s="20">
        <f>E59+F59+I59+G59+H59</f>
        <v>100221.49</v>
      </c>
      <c r="K59" s="57"/>
      <c r="L59" s="58"/>
      <c r="M59" s="58"/>
      <c r="N59" s="58"/>
      <c r="O59" s="58"/>
    </row>
    <row r="60" spans="1:15" s="13" customFormat="1">
      <c r="A60" s="56" t="e">
        <f>A57</f>
        <v>#REF!</v>
      </c>
      <c r="B60" s="13" t="s">
        <v>3</v>
      </c>
      <c r="C60" s="10">
        <f>C59</f>
        <v>2500</v>
      </c>
      <c r="D60" s="34">
        <f>D45</f>
        <v>29.5</v>
      </c>
      <c r="E60" s="11">
        <f>C60*D60</f>
        <v>73750</v>
      </c>
      <c r="F60" s="35">
        <f>E60*0.002</f>
        <v>147.5</v>
      </c>
      <c r="G60" s="34">
        <f>E60*0.000068</f>
        <v>5.0149999999999997</v>
      </c>
      <c r="H60" s="34">
        <f>E60*0.00001</f>
        <v>0.73750000000000004</v>
      </c>
      <c r="I60" s="34">
        <f>(F60+G60+H60)*0.07</f>
        <v>10.727675000000001</v>
      </c>
      <c r="J60" s="34">
        <f>E60-F60-G60-H60-I60</f>
        <v>73586.019824999996</v>
      </c>
      <c r="K60" s="10">
        <f>K57+C60</f>
        <v>22500</v>
      </c>
    </row>
    <row r="61" spans="1:15" s="31" customFormat="1" ht="18.75">
      <c r="A61" s="56" t="s">
        <v>4</v>
      </c>
      <c r="B61" s="25">
        <f>(D60-D59)/D59</f>
        <v>-0.26250000000000001</v>
      </c>
      <c r="C61" s="10"/>
      <c r="D61" s="11"/>
      <c r="E61" s="20">
        <f>E60-E59</f>
        <v>-26250</v>
      </c>
      <c r="F61" s="20"/>
      <c r="G61" s="20"/>
      <c r="H61" s="20"/>
      <c r="I61" s="20"/>
      <c r="J61" s="20">
        <f>J60-J59</f>
        <v>-26635.470175000009</v>
      </c>
      <c r="K61" s="20">
        <f>K58+J61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D4" sqref="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:XFD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tabSelected="1"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18.899999999999999</v>
      </c>
      <c r="E7" s="94">
        <f>C7*D7</f>
        <v>189000</v>
      </c>
      <c r="F7" s="94">
        <f>E7*0.002</f>
        <v>378</v>
      </c>
      <c r="G7" s="94">
        <f>E7*0.000068</f>
        <v>12.852</v>
      </c>
      <c r="H7" s="94">
        <f>E7*0.00001</f>
        <v>1.8900000000000001</v>
      </c>
      <c r="I7" s="94">
        <f>(F7+G7+H7)*0.07</f>
        <v>27.49194</v>
      </c>
      <c r="J7" s="94">
        <f>E7+F7+I7+G7+H7</f>
        <v>189420.23394000003</v>
      </c>
    </row>
    <row r="8" spans="1:14" s="63" customFormat="1" ht="21.75">
      <c r="A8" s="77"/>
      <c r="B8" s="81">
        <f>(D7-D6)/D6</f>
        <v>0</v>
      </c>
      <c r="C8" s="79">
        <f>SUM(C6:C7)</f>
        <v>30000</v>
      </c>
      <c r="D8" s="80">
        <f>E8/C8</f>
        <v>18.899999999999999</v>
      </c>
      <c r="E8" s="79">
        <f t="shared" ref="E8:J8" si="2">SUM(E6:E7)</f>
        <v>567000</v>
      </c>
      <c r="F8" s="79">
        <f t="shared" si="2"/>
        <v>1134</v>
      </c>
      <c r="G8" s="79">
        <f t="shared" si="2"/>
        <v>37.78</v>
      </c>
      <c r="H8" s="79">
        <f t="shared" si="2"/>
        <v>5.67</v>
      </c>
      <c r="I8" s="79">
        <f t="shared" si="2"/>
        <v>82.421500000000009</v>
      </c>
      <c r="J8" s="79">
        <f t="shared" si="2"/>
        <v>568259.87150000001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1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8">
        <v>44860</v>
      </c>
      <c r="B5" s="13" t="s">
        <v>1</v>
      </c>
      <c r="C5" s="10">
        <v>10000</v>
      </c>
      <c r="D5" s="11">
        <v>8.9</v>
      </c>
      <c r="E5" s="20">
        <f>C5*D5</f>
        <v>89000</v>
      </c>
      <c r="F5" s="20">
        <f>E5*0.002</f>
        <v>178</v>
      </c>
      <c r="G5" s="20">
        <f>E5*0.000068</f>
        <v>6.0519999999999996</v>
      </c>
      <c r="H5" s="20">
        <f>E5*0.00001</f>
        <v>0.89000000000000012</v>
      </c>
      <c r="I5" s="20">
        <f>(F5+G5+H5)*0.07</f>
        <v>12.94594</v>
      </c>
      <c r="J5" s="20">
        <f>E5+F5+I5+G5+H5</f>
        <v>89197.887940000001</v>
      </c>
    </row>
    <row r="6" spans="1:14" s="21" customFormat="1" ht="12.75">
      <c r="A6" s="44"/>
      <c r="B6" s="25">
        <f>(D5-D4)/D4</f>
        <v>0</v>
      </c>
      <c r="C6" s="22">
        <f>SUM(C4:C5)</f>
        <v>30000</v>
      </c>
      <c r="D6" s="65">
        <f>E6/C6</f>
        <v>8.9</v>
      </c>
      <c r="E6" s="22">
        <f t="shared" ref="E6:J6" si="1">SUM(E4:E5)</f>
        <v>267000</v>
      </c>
      <c r="F6" s="22">
        <f t="shared" si="1"/>
        <v>534</v>
      </c>
      <c r="G6" s="22">
        <f t="shared" si="1"/>
        <v>17.423999999999999</v>
      </c>
      <c r="H6" s="22">
        <f t="shared" si="1"/>
        <v>2.6700000000000004</v>
      </c>
      <c r="I6" s="22">
        <f t="shared" si="1"/>
        <v>38.786580000000001</v>
      </c>
      <c r="J6" s="22">
        <f t="shared" si="1"/>
        <v>267592.88058</v>
      </c>
      <c r="K6" s="24"/>
      <c r="L6" s="25"/>
    </row>
    <row r="7" spans="1:14" s="21" customFormat="1" ht="12.75">
      <c r="A7" s="44"/>
      <c r="B7" s="25"/>
      <c r="C7" s="22"/>
      <c r="D7" s="65"/>
      <c r="E7" s="22"/>
      <c r="F7" s="22"/>
      <c r="G7" s="22"/>
      <c r="H7" s="22"/>
      <c r="I7" s="22"/>
      <c r="J7" s="22"/>
      <c r="K7" s="24"/>
      <c r="L7" s="25"/>
    </row>
    <row r="8" spans="1:14" s="63" customFormat="1" ht="21.75">
      <c r="A8" s="56">
        <v>44799</v>
      </c>
      <c r="C8" s="10">
        <f>C4</f>
        <v>20000</v>
      </c>
      <c r="D8" s="64">
        <v>0.19109999999999999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C8*D8*0.9</f>
        <v>3439.8</v>
      </c>
      <c r="K8" s="11"/>
      <c r="L8" s="13"/>
      <c r="M8" s="62"/>
      <c r="N8" s="62"/>
    </row>
    <row r="9" spans="1:14">
      <c r="A9" s="56">
        <v>44242</v>
      </c>
      <c r="B9" s="13" t="s">
        <v>1</v>
      </c>
      <c r="C9" s="10">
        <f>C4</f>
        <v>20000</v>
      </c>
      <c r="D9" s="46">
        <f>D4</f>
        <v>8.9</v>
      </c>
      <c r="E9" s="20">
        <f>C9*D9</f>
        <v>178000</v>
      </c>
      <c r="F9" s="20">
        <f>E9*0.002</f>
        <v>356</v>
      </c>
      <c r="G9" s="20">
        <f>E9*0.00006</f>
        <v>10.68</v>
      </c>
      <c r="H9" s="20">
        <f>E9*0.00001</f>
        <v>1.7800000000000002</v>
      </c>
      <c r="I9" s="20">
        <f>(F9+G9+H9)*0.07</f>
        <v>25.792200000000001</v>
      </c>
      <c r="J9" s="20">
        <f>E9+F9+I9+G9+H9</f>
        <v>178394.25219999999</v>
      </c>
    </row>
    <row r="10" spans="1:14">
      <c r="A10" s="56">
        <v>44277</v>
      </c>
      <c r="B10" s="13" t="s">
        <v>3</v>
      </c>
      <c r="C10" s="10">
        <f>C9</f>
        <v>20000</v>
      </c>
      <c r="D10" s="34">
        <v>8.9499999999999993</v>
      </c>
      <c r="E10" s="11">
        <f>C10*D10</f>
        <v>179000</v>
      </c>
      <c r="F10" s="35">
        <f>E10*0.002</f>
        <v>358</v>
      </c>
      <c r="G10" s="34">
        <f>E10*0.000068</f>
        <v>12.172000000000001</v>
      </c>
      <c r="H10" s="34">
        <f>E10*0.00001</f>
        <v>1.79</v>
      </c>
      <c r="I10" s="34">
        <f>(F10+G10+H10)*0.07</f>
        <v>26.037340000000004</v>
      </c>
      <c r="J10" s="34">
        <f>E10-F10-G10-H10-I10</f>
        <v>178602.00065999999</v>
      </c>
    </row>
    <row r="11" spans="1:14" ht="12.75">
      <c r="A11" s="56" t="s">
        <v>4</v>
      </c>
      <c r="B11" s="25">
        <f>(D10-D9)/D9</f>
        <v>5.6179775280897678E-3</v>
      </c>
      <c r="C11" s="10"/>
      <c r="D11" s="11"/>
      <c r="E11" s="20">
        <f>E10-E9</f>
        <v>1000</v>
      </c>
      <c r="F11" s="20"/>
      <c r="G11" s="20"/>
      <c r="H11" s="20"/>
      <c r="I11" s="20"/>
      <c r="J11" s="20">
        <f>J10-J9</f>
        <v>207.74846000000252</v>
      </c>
    </row>
    <row r="12" spans="1:14">
      <c r="J12" s="53">
        <f>J8+J11</f>
        <v>3647.5484600000027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  <row r="19" spans="1:13" ht="12"/>
    <row r="20" spans="1:13" ht="12"/>
    <row r="21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:XFD14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33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2023-01-10T09:39:09Z</dcterms:modified>
  <cp:category/>
  <cp:contentStatus/>
</cp:coreProperties>
</file>