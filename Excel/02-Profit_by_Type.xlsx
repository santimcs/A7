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11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279" documentId="8_{9A02EB98-7EB2-4F6F-BBDA-0A28C0527E53}" xr6:coauthVersionLast="47" xr6:coauthVersionMax="47" xr10:uidLastSave="{3C77AB42-2B96-4A87-8A65-1E2CCC3CC648}"/>
  <bookViews>
    <workbookView xWindow="-120" yWindow="-120" windowWidth="15600" windowHeight="11760" tabRatio="461" firstSheet="22" activeTab="22" xr2:uid="{00000000-000D-0000-FFFF-FFFF00000000}"/>
  </bookViews>
  <sheets>
    <sheet name="KCE" sheetId="198" r:id="rId1"/>
    <sheet name="PTTGC" sheetId="42" r:id="rId2"/>
    <sheet name="STA" sheetId="197" r:id="rId3"/>
    <sheet name="ASP" sheetId="181" r:id="rId4"/>
    <sheet name="BANPU" sheetId="202" r:id="rId5"/>
    <sheet name="BCH" sheetId="150" r:id="rId6"/>
    <sheet name="CPNREIT" sheetId="194" r:id="rId7"/>
    <sheet name="DCC" sheetId="185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MAKRO" sheetId="179" r:id="rId14"/>
    <sheet name="MCS" sheetId="20" r:id="rId15"/>
    <sheet name="NER" sheetId="117" r:id="rId16"/>
    <sheet name="ORI" sheetId="184" r:id="rId17"/>
    <sheet name="RCL" sheetId="161" r:id="rId18"/>
    <sheet name="SCC" sheetId="152" r:id="rId19"/>
    <sheet name="SCCC" sheetId="177" r:id="rId20"/>
    <sheet name="SENA" sheetId="183" r:id="rId21"/>
    <sheet name="JMART" sheetId="204" r:id="rId22"/>
    <sheet name="SINGER" sheetId="203" r:id="rId23"/>
    <sheet name="SYNEX" sheetId="199" r:id="rId24"/>
    <sheet name="TFFIF" sheetId="110" r:id="rId25"/>
    <sheet name="TMT" sheetId="145" r:id="rId26"/>
    <sheet name="WHAIR" sheetId="157" r:id="rId27"/>
    <sheet name="WHART" sheetId="171" r:id="rId28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03" l="1"/>
  <c r="B12" i="203"/>
  <c r="E11" i="203"/>
  <c r="C10" i="203"/>
  <c r="B10" i="203"/>
  <c r="E9" i="203"/>
  <c r="A6" i="203"/>
  <c r="D6" i="203"/>
  <c r="C8" i="203"/>
  <c r="B8" i="203"/>
  <c r="E7" i="203"/>
  <c r="E6" i="203"/>
  <c r="E6" i="204"/>
  <c r="E7" i="204"/>
  <c r="E8" i="204"/>
  <c r="B4" i="204"/>
  <c r="C3" i="204"/>
  <c r="E3" i="204" s="1"/>
  <c r="E2" i="204"/>
  <c r="C16" i="197"/>
  <c r="B16" i="197"/>
  <c r="E15" i="197"/>
  <c r="C12" i="197"/>
  <c r="E12" i="197" s="1"/>
  <c r="B4" i="203"/>
  <c r="C3" i="203"/>
  <c r="E3" i="203" s="1"/>
  <c r="E2" i="203"/>
  <c r="E9" i="195"/>
  <c r="C28" i="42"/>
  <c r="B28" i="42"/>
  <c r="E27" i="42"/>
  <c r="E7" i="195"/>
  <c r="B25" i="42"/>
  <c r="C24" i="42"/>
  <c r="E24" i="42" s="1"/>
  <c r="C4" i="196"/>
  <c r="B4" i="196"/>
  <c r="E3" i="196"/>
  <c r="B9" i="202"/>
  <c r="C13" i="202"/>
  <c r="E13" i="202" s="1"/>
  <c r="E12" i="202"/>
  <c r="D7" i="202"/>
  <c r="H6" i="202"/>
  <c r="C6" i="202"/>
  <c r="C4" i="202"/>
  <c r="B4" i="202"/>
  <c r="E3" i="202"/>
  <c r="E2" i="202"/>
  <c r="B21" i="199"/>
  <c r="C21" i="199"/>
  <c r="B18" i="199"/>
  <c r="C17" i="199"/>
  <c r="E17" i="199" s="1"/>
  <c r="C8" i="145"/>
  <c r="B8" i="145"/>
  <c r="E7" i="145"/>
  <c r="C11" i="145"/>
  <c r="E11" i="145" s="1"/>
  <c r="C19" i="197"/>
  <c r="E19" i="197" s="1"/>
  <c r="C23" i="197"/>
  <c r="E23" i="197" s="1"/>
  <c r="E20" i="199"/>
  <c r="E21" i="199" s="1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26" i="197"/>
  <c r="C27" i="197"/>
  <c r="E27" i="197" s="1"/>
  <c r="C62" i="197"/>
  <c r="E61" i="197"/>
  <c r="C59" i="197"/>
  <c r="E58" i="197"/>
  <c r="C56" i="197"/>
  <c r="E55" i="197"/>
  <c r="C53" i="197"/>
  <c r="E52" i="197"/>
  <c r="C50" i="197"/>
  <c r="E49" i="197"/>
  <c r="C47" i="197"/>
  <c r="E46" i="197"/>
  <c r="C44" i="197"/>
  <c r="E43" i="197"/>
  <c r="D41" i="197"/>
  <c r="C41" i="197"/>
  <c r="E41" i="197" s="1"/>
  <c r="E40" i="197"/>
  <c r="B39" i="197"/>
  <c r="C38" i="197"/>
  <c r="A38" i="197"/>
  <c r="A41" i="197" s="1"/>
  <c r="A44" i="197" s="1"/>
  <c r="A47" i="197" s="1"/>
  <c r="A50" i="197" s="1"/>
  <c r="A53" i="197" s="1"/>
  <c r="A56" i="197" s="1"/>
  <c r="A59" i="197" s="1"/>
  <c r="A62" i="197" s="1"/>
  <c r="E37" i="197"/>
  <c r="B35" i="197"/>
  <c r="C34" i="197"/>
  <c r="E34" i="197" s="1"/>
  <c r="E33" i="197"/>
  <c r="C31" i="197"/>
  <c r="E31" i="197" s="1"/>
  <c r="E30" i="197"/>
  <c r="E22" i="197"/>
  <c r="E18" i="197"/>
  <c r="E11" i="197"/>
  <c r="E9" i="197"/>
  <c r="E7" i="197"/>
  <c r="E5" i="197"/>
  <c r="C4" i="197"/>
  <c r="C6" i="197" s="1"/>
  <c r="C8" i="197" s="1"/>
  <c r="C10" i="197" s="1"/>
  <c r="B4" i="197"/>
  <c r="E3" i="197"/>
  <c r="E2" i="197"/>
  <c r="E31" i="42"/>
  <c r="B33" i="42"/>
  <c r="C32" i="42"/>
  <c r="E32" i="42" s="1"/>
  <c r="E9" i="170"/>
  <c r="E5" i="195"/>
  <c r="B6" i="150"/>
  <c r="C8" i="150"/>
  <c r="E13" i="150"/>
  <c r="B15" i="150"/>
  <c r="A15" i="150"/>
  <c r="C14" i="150"/>
  <c r="E14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C12" i="195" s="1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0" i="150"/>
  <c r="D7" i="196"/>
  <c r="H6" i="196"/>
  <c r="C6" i="196"/>
  <c r="E2" i="196"/>
  <c r="E4" i="196" s="1"/>
  <c r="D4" i="196" s="1"/>
  <c r="H12" i="195"/>
  <c r="J12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E7" i="179"/>
  <c r="E10" i="179"/>
  <c r="F10" i="179"/>
  <c r="G10" i="179"/>
  <c r="H10" i="179"/>
  <c r="I10" i="179"/>
  <c r="J10" i="179"/>
  <c r="B64" i="20"/>
  <c r="A64" i="20"/>
  <c r="C63" i="20"/>
  <c r="E63" i="20"/>
  <c r="E62" i="20"/>
  <c r="E7" i="150"/>
  <c r="E8" i="150" s="1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5" i="179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A12" i="179"/>
  <c r="C11" i="179"/>
  <c r="E11" i="179"/>
  <c r="C4" i="179"/>
  <c r="C6" i="179"/>
  <c r="C8" i="179"/>
  <c r="B4" i="179"/>
  <c r="E3" i="179"/>
  <c r="E2" i="179"/>
  <c r="C6" i="177"/>
  <c r="B6" i="177"/>
  <c r="E5" i="177"/>
  <c r="C4" i="177"/>
  <c r="B4" i="177"/>
  <c r="E3" i="177"/>
  <c r="E2" i="177"/>
  <c r="E4" i="177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2" i="150"/>
  <c r="C11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1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1" i="150"/>
  <c r="G11" i="150"/>
  <c r="F11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1" i="150"/>
  <c r="J11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7" i="179"/>
  <c r="G7" i="179"/>
  <c r="F7" i="179"/>
  <c r="H62" i="20"/>
  <c r="G62" i="20"/>
  <c r="F62" i="20"/>
  <c r="E64" i="20"/>
  <c r="H63" i="20"/>
  <c r="G63" i="20"/>
  <c r="F63" i="20"/>
  <c r="H7" i="150"/>
  <c r="H8" i="150" s="1"/>
  <c r="G7" i="150"/>
  <c r="G8" i="150" s="1"/>
  <c r="F7" i="150"/>
  <c r="F8" i="150" s="1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5" i="179"/>
  <c r="G5" i="179"/>
  <c r="F5" i="179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4" i="179"/>
  <c r="H2" i="179"/>
  <c r="G2" i="179"/>
  <c r="F2" i="179"/>
  <c r="H3" i="179"/>
  <c r="G3" i="179"/>
  <c r="F3" i="179"/>
  <c r="H11" i="179"/>
  <c r="G11" i="179"/>
  <c r="F11" i="179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D12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7" i="179"/>
  <c r="J7" i="179"/>
  <c r="I63" i="20"/>
  <c r="J63" i="20"/>
  <c r="I62" i="20"/>
  <c r="J62" i="20"/>
  <c r="D6" i="150"/>
  <c r="B8" i="150"/>
  <c r="D8" i="150"/>
  <c r="I7" i="150"/>
  <c r="I8" i="150" s="1"/>
  <c r="J7" i="150"/>
  <c r="J8" i="150" s="1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D4" i="179"/>
  <c r="E6" i="179"/>
  <c r="I5" i="179"/>
  <c r="J5" i="179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11" i="179"/>
  <c r="J11" i="179"/>
  <c r="I3" i="179"/>
  <c r="J3" i="179"/>
  <c r="F4" i="179"/>
  <c r="F6" i="179"/>
  <c r="F8" i="179"/>
  <c r="I2" i="179"/>
  <c r="I4" i="179"/>
  <c r="I6" i="179"/>
  <c r="I8" i="179"/>
  <c r="J2" i="179"/>
  <c r="J4" i="179"/>
  <c r="J6" i="179"/>
  <c r="J8" i="179"/>
  <c r="G4" i="179"/>
  <c r="G6" i="179"/>
  <c r="G8" i="179"/>
  <c r="H4" i="179"/>
  <c r="H6" i="179"/>
  <c r="H8" i="179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D6" i="179"/>
  <c r="B8" i="179"/>
  <c r="E8" i="179"/>
  <c r="D8" i="179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B6" i="179"/>
  <c r="H10" i="161"/>
  <c r="H12" i="161"/>
  <c r="G10" i="161"/>
  <c r="G12" i="161"/>
  <c r="F10" i="161"/>
  <c r="E12" i="161"/>
  <c r="D12" i="161"/>
  <c r="B16" i="161"/>
  <c r="B12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B12" i="179"/>
  <c r="I10" i="161"/>
  <c r="F12" i="161"/>
  <c r="E12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J9" i="185"/>
  <c r="J10" i="185"/>
  <c r="E12" i="179"/>
  <c r="J12" i="179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12" i="203" l="1"/>
  <c r="D12" i="203" s="1"/>
  <c r="H11" i="203"/>
  <c r="H12" i="203" s="1"/>
  <c r="G11" i="203"/>
  <c r="G12" i="203" s="1"/>
  <c r="F11" i="203"/>
  <c r="E10" i="203"/>
  <c r="D10" i="203" s="1"/>
  <c r="H9" i="203"/>
  <c r="H10" i="203" s="1"/>
  <c r="G9" i="203"/>
  <c r="G10" i="203" s="1"/>
  <c r="F9" i="203"/>
  <c r="E8" i="203"/>
  <c r="D8" i="203" s="1"/>
  <c r="H6" i="203"/>
  <c r="G6" i="203"/>
  <c r="F6" i="203"/>
  <c r="H7" i="203"/>
  <c r="G7" i="203"/>
  <c r="F7" i="203"/>
  <c r="H6" i="204"/>
  <c r="G6" i="204"/>
  <c r="F6" i="204"/>
  <c r="C8" i="204"/>
  <c r="B8" i="204"/>
  <c r="D8" i="204"/>
  <c r="H7" i="204"/>
  <c r="H8" i="204" s="1"/>
  <c r="G7" i="204"/>
  <c r="G8" i="204" s="1"/>
  <c r="F7" i="204"/>
  <c r="H2" i="204"/>
  <c r="G2" i="204"/>
  <c r="F2" i="204"/>
  <c r="E4" i="204"/>
  <c r="H3" i="204"/>
  <c r="G3" i="204"/>
  <c r="F3" i="204"/>
  <c r="E16" i="197"/>
  <c r="D16" i="197" s="1"/>
  <c r="H15" i="197"/>
  <c r="H16" i="197" s="1"/>
  <c r="G15" i="197"/>
  <c r="G16" i="197" s="1"/>
  <c r="F15" i="197"/>
  <c r="E13" i="197"/>
  <c r="H12" i="197"/>
  <c r="G12" i="197"/>
  <c r="F12" i="197"/>
  <c r="E4" i="203"/>
  <c r="H3" i="203"/>
  <c r="G3" i="203"/>
  <c r="F3" i="203"/>
  <c r="H2" i="203"/>
  <c r="G2" i="203"/>
  <c r="F2" i="203"/>
  <c r="H9" i="195"/>
  <c r="G9" i="195"/>
  <c r="F9" i="195"/>
  <c r="E28" i="42"/>
  <c r="D28" i="42" s="1"/>
  <c r="H27" i="42"/>
  <c r="H28" i="42" s="1"/>
  <c r="G27" i="42"/>
  <c r="G28" i="42" s="1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 s="1"/>
  <c r="H2" i="202"/>
  <c r="G2" i="202"/>
  <c r="F2" i="202"/>
  <c r="H3" i="202"/>
  <c r="G3" i="202"/>
  <c r="F3" i="202"/>
  <c r="C7" i="202"/>
  <c r="J6" i="202"/>
  <c r="H12" i="202"/>
  <c r="G12" i="202"/>
  <c r="F12" i="202"/>
  <c r="E14" i="202"/>
  <c r="H13" i="202"/>
  <c r="G13" i="202"/>
  <c r="F13" i="202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E20" i="197"/>
  <c r="H19" i="197"/>
  <c r="G19" i="197"/>
  <c r="F19" i="197"/>
  <c r="E24" i="197"/>
  <c r="H23" i="197"/>
  <c r="G23" i="197"/>
  <c r="F23" i="197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26" i="197"/>
  <c r="G26" i="197"/>
  <c r="F26" i="197"/>
  <c r="E28" i="197"/>
  <c r="H27" i="197"/>
  <c r="G27" i="197"/>
  <c r="F27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18" i="197"/>
  <c r="G18" i="197"/>
  <c r="F18" i="197"/>
  <c r="H22" i="197"/>
  <c r="G22" i="197"/>
  <c r="F22" i="197"/>
  <c r="H30" i="197"/>
  <c r="G30" i="197"/>
  <c r="F30" i="197"/>
  <c r="E32" i="197"/>
  <c r="H31" i="197"/>
  <c r="G31" i="197"/>
  <c r="F31" i="197"/>
  <c r="H33" i="197"/>
  <c r="G33" i="197"/>
  <c r="F33" i="197"/>
  <c r="E35" i="197"/>
  <c r="H34" i="197"/>
  <c r="G34" i="197"/>
  <c r="F34" i="197"/>
  <c r="H37" i="197"/>
  <c r="G37" i="197"/>
  <c r="F37" i="197"/>
  <c r="K38" i="197"/>
  <c r="K41" i="197" s="1"/>
  <c r="K44" i="197" s="1"/>
  <c r="K47" i="197" s="1"/>
  <c r="K50" i="197" s="1"/>
  <c r="K53" i="197" s="1"/>
  <c r="K56" i="197" s="1"/>
  <c r="K59" i="197" s="1"/>
  <c r="K62" i="197" s="1"/>
  <c r="E38" i="197"/>
  <c r="H40" i="197"/>
  <c r="G40" i="197"/>
  <c r="F40" i="197"/>
  <c r="E42" i="197"/>
  <c r="H41" i="197"/>
  <c r="G41" i="197"/>
  <c r="F41" i="197"/>
  <c r="D56" i="197"/>
  <c r="B57" i="197" s="1"/>
  <c r="D53" i="197"/>
  <c r="B54" i="197" s="1"/>
  <c r="D50" i="197"/>
  <c r="B51" i="197" s="1"/>
  <c r="D47" i="197"/>
  <c r="D44" i="197"/>
  <c r="B42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E53" i="197"/>
  <c r="H55" i="197"/>
  <c r="G55" i="197"/>
  <c r="F55" i="197"/>
  <c r="E56" i="197"/>
  <c r="H58" i="197"/>
  <c r="G58" i="197"/>
  <c r="F58" i="197"/>
  <c r="H61" i="197"/>
  <c r="G61" i="197"/>
  <c r="F61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 s="1"/>
  <c r="C10" i="195" s="1"/>
  <c r="H5" i="195"/>
  <c r="G5" i="195"/>
  <c r="F5" i="195"/>
  <c r="J6" i="150"/>
  <c r="I6" i="150"/>
  <c r="F6" i="150"/>
  <c r="G6" i="150"/>
  <c r="H6" i="150"/>
  <c r="H13" i="150"/>
  <c r="G13" i="150"/>
  <c r="F13" i="150"/>
  <c r="E15" i="150"/>
  <c r="H14" i="150"/>
  <c r="G14" i="150"/>
  <c r="F14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0" i="150"/>
  <c r="G10" i="150"/>
  <c r="F10" i="150"/>
  <c r="H2" i="196"/>
  <c r="H4" i="196" s="1"/>
  <c r="G2" i="196"/>
  <c r="G4" i="196" s="1"/>
  <c r="F2" i="196"/>
  <c r="F4" i="196" s="1"/>
  <c r="C7" i="196"/>
  <c r="J6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F12" i="203" l="1"/>
  <c r="I11" i="203"/>
  <c r="I12" i="203" s="1"/>
  <c r="J11" i="203"/>
  <c r="J12" i="203" s="1"/>
  <c r="F10" i="203"/>
  <c r="I9" i="203"/>
  <c r="I10" i="203" s="1"/>
  <c r="J9" i="203"/>
  <c r="J10" i="203" s="1"/>
  <c r="I7" i="203"/>
  <c r="J7" i="203"/>
  <c r="F8" i="203"/>
  <c r="I6" i="203"/>
  <c r="I8" i="203" s="1"/>
  <c r="J6" i="203"/>
  <c r="J8" i="203" s="1"/>
  <c r="G8" i="203"/>
  <c r="H8" i="203"/>
  <c r="I6" i="204"/>
  <c r="J6" i="204"/>
  <c r="I7" i="204"/>
  <c r="I8" i="204" s="1"/>
  <c r="F8" i="204"/>
  <c r="J7" i="204"/>
  <c r="J8" i="204" s="1"/>
  <c r="I3" i="204"/>
  <c r="J3" i="204"/>
  <c r="I2" i="204"/>
  <c r="J2" i="204"/>
  <c r="F16" i="197"/>
  <c r="I15" i="197"/>
  <c r="I16" i="197" s="1"/>
  <c r="J15" i="197"/>
  <c r="J16" i="197" s="1"/>
  <c r="I12" i="197"/>
  <c r="J12" i="197"/>
  <c r="I3" i="203"/>
  <c r="J3" i="203"/>
  <c r="J4" i="203" s="1"/>
  <c r="J5" i="203" s="1"/>
  <c r="I2" i="203"/>
  <c r="J2" i="203"/>
  <c r="I9" i="195"/>
  <c r="J9" i="195"/>
  <c r="F28" i="42"/>
  <c r="I27" i="42"/>
  <c r="I28" i="42" s="1"/>
  <c r="J27" i="42"/>
  <c r="J28" i="42" s="1"/>
  <c r="I7" i="195"/>
  <c r="J7" i="195"/>
  <c r="I24" i="42"/>
  <c r="J24" i="42"/>
  <c r="I3" i="196"/>
  <c r="J3" i="196"/>
  <c r="I13" i="202"/>
  <c r="J13" i="202"/>
  <c r="I12" i="202"/>
  <c r="J12" i="202"/>
  <c r="C8" i="202"/>
  <c r="E8" i="202" s="1"/>
  <c r="E7" i="202"/>
  <c r="I3" i="202"/>
  <c r="J3" i="202"/>
  <c r="F4" i="202"/>
  <c r="I2" i="202"/>
  <c r="I4" i="202" s="1"/>
  <c r="J2" i="202"/>
  <c r="J4" i="202" s="1"/>
  <c r="G4" i="202"/>
  <c r="H4" i="202"/>
  <c r="I17" i="199"/>
  <c r="J17" i="199"/>
  <c r="F8" i="145"/>
  <c r="I7" i="145"/>
  <c r="I8" i="145" s="1"/>
  <c r="J7" i="145"/>
  <c r="J8" i="145" s="1"/>
  <c r="I11" i="145"/>
  <c r="J11" i="145"/>
  <c r="J12" i="145" s="1"/>
  <c r="I19" i="197"/>
  <c r="J19" i="197"/>
  <c r="I23" i="197"/>
  <c r="J23" i="197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26" i="197"/>
  <c r="J26" i="197"/>
  <c r="I27" i="197"/>
  <c r="J27" i="197"/>
  <c r="I61" i="197"/>
  <c r="J61" i="197"/>
  <c r="I58" i="197"/>
  <c r="J58" i="197"/>
  <c r="E57" i="197"/>
  <c r="H56" i="197"/>
  <c r="G56" i="197"/>
  <c r="F56" i="197"/>
  <c r="I55" i="197"/>
  <c r="J55" i="197"/>
  <c r="E54" i="197"/>
  <c r="H53" i="197"/>
  <c r="G53" i="197"/>
  <c r="F53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D59" i="197"/>
  <c r="B45" i="197"/>
  <c r="D62" i="197"/>
  <c r="B48" i="197"/>
  <c r="I41" i="197"/>
  <c r="J41" i="197"/>
  <c r="I40" i="197"/>
  <c r="J40" i="197"/>
  <c r="E39" i="197"/>
  <c r="H38" i="197"/>
  <c r="G38" i="197"/>
  <c r="F38" i="197"/>
  <c r="I37" i="197"/>
  <c r="J37" i="197"/>
  <c r="I34" i="197"/>
  <c r="J34" i="197"/>
  <c r="I33" i="197"/>
  <c r="J33" i="197"/>
  <c r="I31" i="197"/>
  <c r="J31" i="197"/>
  <c r="I30" i="197"/>
  <c r="J30" i="197"/>
  <c r="I22" i="197"/>
  <c r="J22" i="197"/>
  <c r="I18" i="197"/>
  <c r="J18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I2" i="197"/>
  <c r="I4" i="197" s="1"/>
  <c r="I6" i="197" s="1"/>
  <c r="I8" i="197" s="1"/>
  <c r="I10" i="197" s="1"/>
  <c r="J2" i="197"/>
  <c r="J4" i="197" s="1"/>
  <c r="J6" i="197" s="1"/>
  <c r="J8" i="197" s="1"/>
  <c r="J10" i="197" s="1"/>
  <c r="G4" i="197"/>
  <c r="G6" i="197" s="1"/>
  <c r="G8" i="197" s="1"/>
  <c r="G10" i="197" s="1"/>
  <c r="H4" i="197"/>
  <c r="H6" i="197" s="1"/>
  <c r="H8" i="197" s="1"/>
  <c r="H10" i="197" s="1"/>
  <c r="E6" i="197"/>
  <c r="D4" i="197"/>
  <c r="B6" i="197" s="1"/>
  <c r="I31" i="42"/>
  <c r="J31" i="42"/>
  <c r="I32" i="42"/>
  <c r="J32" i="42"/>
  <c r="I9" i="170"/>
  <c r="J9" i="170"/>
  <c r="D4" i="195"/>
  <c r="E6" i="195"/>
  <c r="I5" i="195"/>
  <c r="J5" i="195"/>
  <c r="I13" i="150"/>
  <c r="J13" i="150"/>
  <c r="I14" i="150"/>
  <c r="J14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G8" i="195" s="1"/>
  <c r="G10" i="195" s="1"/>
  <c r="H4" i="195"/>
  <c r="H6" i="195" s="1"/>
  <c r="H8" i="195" s="1"/>
  <c r="H10" i="195" s="1"/>
  <c r="F4" i="195"/>
  <c r="F6" i="195" s="1"/>
  <c r="F8" i="195" s="1"/>
  <c r="F10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0" i="150"/>
  <c r="J10" i="150"/>
  <c r="J12" i="150" s="1"/>
  <c r="C8" i="196"/>
  <c r="E8" i="196" s="1"/>
  <c r="E7" i="196"/>
  <c r="I2" i="196"/>
  <c r="I4" i="196" s="1"/>
  <c r="J2" i="196"/>
  <c r="J4" i="196" s="1"/>
  <c r="C14" i="195"/>
  <c r="E14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J4" i="204" l="1"/>
  <c r="J5" i="204" s="1"/>
  <c r="J13" i="197"/>
  <c r="D6" i="195"/>
  <c r="B8" i="195" s="1"/>
  <c r="E8" i="195"/>
  <c r="J25" i="42"/>
  <c r="H7" i="202"/>
  <c r="G7" i="202"/>
  <c r="F7" i="202"/>
  <c r="E9" i="202"/>
  <c r="H8" i="202"/>
  <c r="G8" i="202"/>
  <c r="F8" i="202"/>
  <c r="J14" i="202"/>
  <c r="J18" i="199"/>
  <c r="J20" i="197"/>
  <c r="J24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28" i="197"/>
  <c r="E8" i="197"/>
  <c r="D6" i="197"/>
  <c r="B8" i="197" s="1"/>
  <c r="J32" i="197"/>
  <c r="J35" i="197"/>
  <c r="I38" i="197"/>
  <c r="J38" i="197"/>
  <c r="J39" i="197" s="1"/>
  <c r="K39" i="197" s="1"/>
  <c r="J42" i="197"/>
  <c r="B63" i="197"/>
  <c r="E62" i="197"/>
  <c r="B60" i="197"/>
  <c r="E59" i="197"/>
  <c r="I44" i="197"/>
  <c r="J44" i="197"/>
  <c r="J45" i="197" s="1"/>
  <c r="I47" i="197"/>
  <c r="J47" i="197"/>
  <c r="J48" i="197" s="1"/>
  <c r="I50" i="197"/>
  <c r="J50" i="197"/>
  <c r="J51" i="197" s="1"/>
  <c r="I53" i="197"/>
  <c r="J53" i="197"/>
  <c r="J54" i="197" s="1"/>
  <c r="I56" i="197"/>
  <c r="J56" i="197"/>
  <c r="J57" i="197" s="1"/>
  <c r="J33" i="42"/>
  <c r="D13" i="195"/>
  <c r="B6" i="195"/>
  <c r="J15" i="150"/>
  <c r="J16" i="184"/>
  <c r="J12" i="184"/>
  <c r="J4" i="195"/>
  <c r="J6" i="195" s="1"/>
  <c r="J8" i="195" s="1"/>
  <c r="J10" i="195" s="1"/>
  <c r="I4" i="195"/>
  <c r="I6" i="195" s="1"/>
  <c r="I8" i="195" s="1"/>
  <c r="I10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7" i="196"/>
  <c r="G7" i="196"/>
  <c r="F7" i="196"/>
  <c r="E9" i="196"/>
  <c r="H8" i="196"/>
  <c r="G8" i="196"/>
  <c r="F8" i="196"/>
  <c r="H14" i="195"/>
  <c r="G14" i="195"/>
  <c r="F14" i="195"/>
  <c r="J22" i="46"/>
  <c r="J24" i="46" s="1"/>
  <c r="J26" i="46" s="1"/>
  <c r="I22" i="46"/>
  <c r="I24" i="46" s="1"/>
  <c r="I26" i="46" s="1"/>
  <c r="D8" i="195" l="1"/>
  <c r="B10" i="195" s="1"/>
  <c r="E10" i="195"/>
  <c r="D10" i="195" s="1"/>
  <c r="I8" i="202"/>
  <c r="J8" i="202"/>
  <c r="I7" i="202"/>
  <c r="J7" i="202"/>
  <c r="D15" i="199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60" i="197"/>
  <c r="H59" i="197"/>
  <c r="G59" i="197"/>
  <c r="F59" i="197"/>
  <c r="E63" i="197"/>
  <c r="H62" i="197"/>
  <c r="G62" i="197"/>
  <c r="F62" i="197"/>
  <c r="K42" i="197"/>
  <c r="K45" i="197" s="1"/>
  <c r="K48" i="197" s="1"/>
  <c r="K51" i="197" s="1"/>
  <c r="K54" i="197" s="1"/>
  <c r="K57" i="197" s="1"/>
  <c r="E10" i="197"/>
  <c r="D8" i="197"/>
  <c r="B10" i="197" s="1"/>
  <c r="B15" i="195"/>
  <c r="E13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8" i="196"/>
  <c r="J8" i="196"/>
  <c r="I7" i="196"/>
  <c r="J7" i="196"/>
  <c r="I14" i="195"/>
  <c r="J14" i="195"/>
  <c r="J9" i="202" l="1"/>
  <c r="J10" i="202" s="1"/>
  <c r="D20" i="198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D10" i="197"/>
  <c r="I62" i="197"/>
  <c r="J62" i="197"/>
  <c r="J63" i="197" s="1"/>
  <c r="I59" i="197"/>
  <c r="J59" i="197"/>
  <c r="J60" i="197" s="1"/>
  <c r="K60" i="197" s="1"/>
  <c r="K63" i="197" s="1"/>
  <c r="H13" i="195"/>
  <c r="G13" i="195"/>
  <c r="F13" i="195"/>
  <c r="E15" i="195"/>
  <c r="D20" i="161"/>
  <c r="E22" i="161"/>
  <c r="J9" i="196"/>
  <c r="J10" i="196" s="1"/>
  <c r="I46" i="198" l="1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I13" i="195"/>
  <c r="J13" i="195"/>
  <c r="J15" i="195" s="1"/>
  <c r="J16" i="195" s="1"/>
  <c r="D22" i="161"/>
  <c r="E24" i="161"/>
  <c r="E24" i="198" l="1"/>
  <c r="K50" i="198"/>
  <c r="K53" i="198" s="1"/>
  <c r="K56" i="198" s="1"/>
  <c r="D24" i="161"/>
  <c r="B26" i="161" s="1"/>
  <c r="E26" i="161"/>
  <c r="E28" i="161" s="1"/>
  <c r="D28" i="161" l="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<sst xmlns="http://schemas.openxmlformats.org/spreadsheetml/2006/main" count="434" uniqueCount="37">
  <si>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</si>
  <si>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</si>
  <si>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</si>
  <si>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</si>
  <si>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</si>
  <si>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</si>
  <si>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</si>
  <si>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</si>
  <si>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</si>
  <si>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</si>
  <si>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</si>
  <si>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</si>
  <si>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</si>
  <si>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</si>
  <si>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</si>
  <si>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</si>
  <si>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</si>
  <si>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</si>
  <si>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</si>
  <si>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</si>
  <si>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</si>
  <si>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MAKRO</t>
  </si>
  <si>
    <t>MCS</t>
  </si>
  <si>
    <t>balance</t>
  </si>
  <si>
    <t>NER</t>
  </si>
  <si>
    <t>ORI</t>
  </si>
  <si>
    <t>RCL</t>
  </si>
  <si>
    <t>SCC</t>
  </si>
  <si>
    <t>SCCC</t>
  </si>
  <si>
    <t>SENA</t>
  </si>
  <si>
    <t>JMART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</si>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</sst>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3" workbookViewId="0">
      <selection activeCell="D27" sqref="D27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 ht="12.75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 ht="12.75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 ht="12.7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 ht="12.75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 ht="12.75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 ht="12.75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3"/>
  <sheetViews>
    <sheetView topLeftCell="A12" workbookViewId="0">
      <selection activeCell="D16" sqref="D16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 ht="14.25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3" customFormat="1" ht="14.25">
      <c r="A15" s="67">
        <v>44473</v>
      </c>
      <c r="B15" s="13" t="s">
        <v>1</v>
      </c>
      <c r="C15" s="10">
        <v>2500</v>
      </c>
      <c r="D15" s="11">
        <v>18</v>
      </c>
      <c r="E15" s="20">
        <f>C15*D15</f>
        <v>45000</v>
      </c>
      <c r="F15" s="20">
        <f>E15*0.002</f>
        <v>90</v>
      </c>
      <c r="G15" s="20">
        <f>E15*0.00006</f>
        <v>2.7</v>
      </c>
      <c r="H15" s="20">
        <f>E15*0.00001</f>
        <v>0.45</v>
      </c>
      <c r="I15" s="20">
        <f>(F15+G15+H15)*0.07</f>
        <v>6.5205000000000011</v>
      </c>
      <c r="J15" s="20">
        <f>E15+F15+I15+G15+H15</f>
        <v>45099.670499999993</v>
      </c>
      <c r="K15" s="32"/>
      <c r="L15" s="11"/>
      <c r="M15" s="12"/>
    </row>
    <row r="16" spans="1:15" s="63" customFormat="1" ht="21.75">
      <c r="A16" s="56"/>
      <c r="B16" s="76">
        <f>(D15-D14)/D14</f>
        <v>-0.51677852348993292</v>
      </c>
      <c r="C16" s="10">
        <f>SUM(C14:C15)</f>
        <v>15000</v>
      </c>
      <c r="D16" s="64">
        <f>E16/C16</f>
        <v>34.041666666666664</v>
      </c>
      <c r="E16" s="10">
        <f t="shared" ref="E16:J16" si="4">SUM(E14:E15)</f>
        <v>510625</v>
      </c>
      <c r="F16" s="10">
        <f t="shared" si="4"/>
        <v>1021.25</v>
      </c>
      <c r="G16" s="10">
        <f t="shared" si="4"/>
        <v>30.637500000000003</v>
      </c>
      <c r="H16" s="10">
        <f t="shared" si="4"/>
        <v>5.1062500000000002</v>
      </c>
      <c r="I16" s="10">
        <f t="shared" si="4"/>
        <v>73.989562500000005</v>
      </c>
      <c r="J16" s="10">
        <f t="shared" si="4"/>
        <v>511755.98331250006</v>
      </c>
      <c r="K16" s="11"/>
      <c r="L16" s="13"/>
      <c r="M16" s="62"/>
      <c r="N16" s="62"/>
    </row>
    <row r="17" spans="1:15" s="1" customFormat="1">
      <c r="A17" s="50"/>
      <c r="B17" s="3"/>
      <c r="C17" s="2"/>
      <c r="D17" s="47"/>
      <c r="E17" s="2"/>
      <c r="F17" s="2"/>
      <c r="G17" s="2"/>
      <c r="H17" s="2"/>
      <c r="I17" s="2"/>
      <c r="J17" s="2"/>
      <c r="K17" s="57"/>
      <c r="L17" s="58"/>
      <c r="M17" s="58"/>
      <c r="N17" s="59"/>
      <c r="O17" s="59"/>
    </row>
    <row r="18" spans="1:15" s="19" customFormat="1" ht="15">
      <c r="A18" s="49">
        <v>44543</v>
      </c>
      <c r="B18" s="15" t="s">
        <v>1</v>
      </c>
      <c r="C18" s="16">
        <v>2500</v>
      </c>
      <c r="D18" s="41">
        <v>29.5</v>
      </c>
      <c r="E18" s="18">
        <f>C18*D18</f>
        <v>73750</v>
      </c>
      <c r="F18" s="18">
        <f>E18*0.002</f>
        <v>147.5</v>
      </c>
      <c r="G18" s="18">
        <f>E18*0.00006</f>
        <v>4.4249999999999998</v>
      </c>
      <c r="H18" s="18">
        <f>E18*0.00001</f>
        <v>0.73750000000000004</v>
      </c>
      <c r="I18" s="18">
        <f>(F18+G18+H18)*0.07</f>
        <v>10.686375000000002</v>
      </c>
      <c r="J18" s="18">
        <f>E18+F18+I18+G18+H18</f>
        <v>73913.348875000011</v>
      </c>
      <c r="K18" s="57"/>
      <c r="L18" s="58"/>
      <c r="M18" s="58"/>
      <c r="N18" s="58"/>
      <c r="O18" s="58"/>
    </row>
    <row r="19" spans="1:15" s="1" customFormat="1">
      <c r="A19" s="49">
        <v>44923</v>
      </c>
      <c r="B19" s="15" t="s">
        <v>3</v>
      </c>
      <c r="C19" s="16">
        <f>C18</f>
        <v>2500</v>
      </c>
      <c r="D19" s="26">
        <v>20.3</v>
      </c>
      <c r="E19" s="17">
        <f>C19*D19</f>
        <v>50750</v>
      </c>
      <c r="F19" s="27">
        <f>E19*0.002</f>
        <v>101.5</v>
      </c>
      <c r="G19" s="26">
        <f>E19*0.000068</f>
        <v>3.4510000000000001</v>
      </c>
      <c r="H19" s="26">
        <f>E19*0.00001</f>
        <v>0.50750000000000006</v>
      </c>
      <c r="I19" s="26">
        <f>(F19+G19+H19)*0.07</f>
        <v>7.3820949999999996</v>
      </c>
      <c r="J19" s="26">
        <f>E19-F19-G19-H19-I19</f>
        <v>50637.159404999999</v>
      </c>
    </row>
    <row r="20" spans="1:15" s="1" customFormat="1">
      <c r="A20" s="49" t="s">
        <v>4</v>
      </c>
      <c r="B20" s="15"/>
      <c r="C20" s="16"/>
      <c r="D20" s="17"/>
      <c r="E20" s="18">
        <f>E19-E18</f>
        <v>-23000</v>
      </c>
      <c r="F20" s="18"/>
      <c r="G20" s="18"/>
      <c r="H20" s="18"/>
      <c r="I20" s="18"/>
      <c r="J20" s="18">
        <f>J19-J18</f>
        <v>-23276.189470000012</v>
      </c>
    </row>
    <row r="21" spans="1:15" s="1" customFormat="1" ht="14.25">
      <c r="A21" s="54"/>
      <c r="B21" s="74"/>
      <c r="C21" s="51"/>
      <c r="D21" s="52"/>
      <c r="E21" s="51"/>
      <c r="F21" s="51"/>
      <c r="G21" s="51"/>
      <c r="H21" s="51"/>
      <c r="I21" s="51"/>
      <c r="J21" s="51"/>
      <c r="K21" s="57"/>
      <c r="L21" s="58"/>
      <c r="M21" s="58"/>
      <c r="N21" s="59"/>
      <c r="O21" s="59"/>
    </row>
    <row r="22" spans="1:15" s="19" customFormat="1" ht="15">
      <c r="A22" s="49">
        <v>44550</v>
      </c>
      <c r="B22" s="15" t="s">
        <v>1</v>
      </c>
      <c r="C22" s="16">
        <v>2500</v>
      </c>
      <c r="D22" s="41">
        <v>29.5</v>
      </c>
      <c r="E22" s="18">
        <f>C22*D22</f>
        <v>73750</v>
      </c>
      <c r="F22" s="18">
        <f>E22*0.002</f>
        <v>147.5</v>
      </c>
      <c r="G22" s="18">
        <f>E22*0.00006</f>
        <v>4.4249999999999998</v>
      </c>
      <c r="H22" s="18">
        <f>E22*0.00001</f>
        <v>0.73750000000000004</v>
      </c>
      <c r="I22" s="18">
        <f>(F22+G22+H22)*0.07</f>
        <v>10.686375000000002</v>
      </c>
      <c r="J22" s="18">
        <f>E22+F22+I22+G22+H22</f>
        <v>73913.348875000011</v>
      </c>
      <c r="K22" s="57"/>
      <c r="L22" s="58"/>
      <c r="M22" s="58"/>
      <c r="N22" s="58"/>
      <c r="O22" s="58"/>
    </row>
    <row r="23" spans="1:15" s="1" customFormat="1">
      <c r="A23" s="49">
        <v>44922</v>
      </c>
      <c r="B23" s="15" t="s">
        <v>3</v>
      </c>
      <c r="C23" s="16">
        <f>C22</f>
        <v>2500</v>
      </c>
      <c r="D23" s="26">
        <v>19.7</v>
      </c>
      <c r="E23" s="17">
        <f>C23*D23</f>
        <v>49250</v>
      </c>
      <c r="F23" s="27">
        <f>E23*0.002</f>
        <v>98.5</v>
      </c>
      <c r="G23" s="26">
        <f>E23*0.000068</f>
        <v>3.3489999999999998</v>
      </c>
      <c r="H23" s="26">
        <f>E23*0.00001</f>
        <v>0.49250000000000005</v>
      </c>
      <c r="I23" s="26">
        <f>(F23+G23+H23)*0.07</f>
        <v>7.1639050000000015</v>
      </c>
      <c r="J23" s="26">
        <f>E23-F23-G23-H23-I23</f>
        <v>49140.494594999996</v>
      </c>
    </row>
    <row r="24" spans="1:15" s="1" customFormat="1">
      <c r="A24" s="49" t="s">
        <v>4</v>
      </c>
      <c r="B24" s="15"/>
      <c r="C24" s="16"/>
      <c r="D24" s="17"/>
      <c r="E24" s="18">
        <f>E23-E22</f>
        <v>-24500</v>
      </c>
      <c r="F24" s="18"/>
      <c r="G24" s="18"/>
      <c r="H24" s="18"/>
      <c r="I24" s="18"/>
      <c r="J24" s="18">
        <f>J23-J22</f>
        <v>-24772.854280000014</v>
      </c>
    </row>
    <row r="25" spans="1:15" s="1" customFormat="1">
      <c r="A25" s="50"/>
      <c r="B25" s="3"/>
      <c r="C25" s="2"/>
      <c r="D25" s="47"/>
      <c r="E25" s="2"/>
      <c r="F25" s="2"/>
      <c r="G25" s="2"/>
      <c r="H25" s="2"/>
      <c r="I25" s="2"/>
      <c r="J25" s="2"/>
      <c r="K25" s="57"/>
      <c r="L25" s="58"/>
      <c r="M25" s="58"/>
      <c r="N25" s="59"/>
      <c r="O25" s="59"/>
    </row>
    <row r="26" spans="1:15" s="19" customFormat="1" ht="15">
      <c r="A26" s="49">
        <v>44624</v>
      </c>
      <c r="B26" s="15" t="s">
        <v>1</v>
      </c>
      <c r="C26" s="16">
        <v>2500</v>
      </c>
      <c r="D26" s="41">
        <v>25.75</v>
      </c>
      <c r="E26" s="18">
        <f>C26*D26</f>
        <v>64375</v>
      </c>
      <c r="F26" s="18">
        <f>E26*0.002</f>
        <v>128.75</v>
      </c>
      <c r="G26" s="18">
        <f>E26*0.00006</f>
        <v>3.8625000000000003</v>
      </c>
      <c r="H26" s="18">
        <f>E26*0.00001</f>
        <v>0.64375000000000004</v>
      </c>
      <c r="I26" s="18">
        <f>(F26+G26+H26)*0.07</f>
        <v>9.3279375000000027</v>
      </c>
      <c r="J26" s="18">
        <f>E26+F26+I26+G26+H26</f>
        <v>64517.584187500004</v>
      </c>
      <c r="K26" s="57"/>
      <c r="L26" s="58"/>
      <c r="M26" s="58"/>
      <c r="N26" s="58"/>
      <c r="O26" s="58"/>
    </row>
    <row r="27" spans="1:15" s="1" customFormat="1">
      <c r="A27" s="49">
        <v>44866</v>
      </c>
      <c r="B27" s="15" t="s">
        <v>3</v>
      </c>
      <c r="C27" s="16">
        <f>C26</f>
        <v>2500</v>
      </c>
      <c r="D27" s="26">
        <v>19.2</v>
      </c>
      <c r="E27" s="17">
        <f>C27*D27</f>
        <v>48000</v>
      </c>
      <c r="F27" s="27">
        <f>E27*0.002</f>
        <v>96</v>
      </c>
      <c r="G27" s="26">
        <f>E27*0.000068</f>
        <v>3.2639999999999998</v>
      </c>
      <c r="H27" s="26">
        <f>E27*0.00001</f>
        <v>0.48000000000000004</v>
      </c>
      <c r="I27" s="26">
        <f>(F27+G27+H27)*0.07</f>
        <v>6.9820800000000007</v>
      </c>
      <c r="J27" s="26">
        <f>E27-F27-G27-H27-I27</f>
        <v>47893.273919999992</v>
      </c>
    </row>
    <row r="28" spans="1:15" s="1" customFormat="1">
      <c r="A28" s="49" t="s">
        <v>4</v>
      </c>
      <c r="B28" s="15"/>
      <c r="C28" s="16"/>
      <c r="D28" s="17"/>
      <c r="E28" s="18">
        <f>E27-E26</f>
        <v>-16375</v>
      </c>
      <c r="F28" s="18"/>
      <c r="G28" s="18"/>
      <c r="H28" s="18"/>
      <c r="I28" s="18"/>
      <c r="J28" s="18">
        <f>J27-J26</f>
        <v>-16624.310267500012</v>
      </c>
    </row>
    <row r="29" spans="1:15" s="1" customFormat="1">
      <c r="A29" s="56"/>
      <c r="B29" s="13"/>
      <c r="C29" s="10"/>
      <c r="D29" s="11"/>
      <c r="E29" s="20"/>
      <c r="F29" s="20"/>
      <c r="G29" s="20"/>
      <c r="H29" s="20"/>
      <c r="I29" s="20"/>
      <c r="J29" s="20"/>
    </row>
    <row r="30" spans="1:15" s="1" customFormat="1">
      <c r="A30" s="56">
        <v>44627</v>
      </c>
      <c r="B30" s="13" t="s">
        <v>1</v>
      </c>
      <c r="C30" s="10">
        <v>2500</v>
      </c>
      <c r="D30" s="46">
        <v>25.75</v>
      </c>
      <c r="E30" s="20">
        <f>C30*D30</f>
        <v>64375</v>
      </c>
      <c r="F30" s="20">
        <f>E30*0.002</f>
        <v>128.75</v>
      </c>
      <c r="G30" s="20">
        <f>E30*0.00006</f>
        <v>3.8625000000000003</v>
      </c>
      <c r="H30" s="20">
        <f>E30*0.00001</f>
        <v>0.64375000000000004</v>
      </c>
      <c r="I30" s="20">
        <f>(F30+G30+H30)*0.07</f>
        <v>9.3279375000000027</v>
      </c>
      <c r="J30" s="20">
        <f>E30+F30+I30+G30+H30</f>
        <v>64517.584187500004</v>
      </c>
    </row>
    <row r="31" spans="1:15" s="1" customFormat="1">
      <c r="A31" s="56">
        <v>44634</v>
      </c>
      <c r="B31" s="13" t="s">
        <v>3</v>
      </c>
      <c r="C31" s="10">
        <f>C30</f>
        <v>2500</v>
      </c>
      <c r="D31" s="34">
        <v>20.100000000000001</v>
      </c>
      <c r="E31" s="11">
        <f>C31*D31</f>
        <v>50250</v>
      </c>
      <c r="F31" s="35">
        <f>E31*0.002</f>
        <v>100.5</v>
      </c>
      <c r="G31" s="34">
        <f>E31*0.000068</f>
        <v>3.4169999999999998</v>
      </c>
      <c r="H31" s="34">
        <f>E31*0.00001</f>
        <v>0.50250000000000006</v>
      </c>
      <c r="I31" s="34">
        <f>(F31+G31+H31)*0.07</f>
        <v>7.3093650000000006</v>
      </c>
      <c r="J31" s="34">
        <f>E31-F31-G31-H31-I31</f>
        <v>50138.271134999995</v>
      </c>
    </row>
    <row r="32" spans="1:15" s="1" customFormat="1">
      <c r="A32" s="56" t="s">
        <v>4</v>
      </c>
      <c r="B32" s="13"/>
      <c r="C32" s="10"/>
      <c r="D32" s="11"/>
      <c r="E32" s="20">
        <f>E31-E30</f>
        <v>-14125</v>
      </c>
      <c r="F32" s="20"/>
      <c r="G32" s="20"/>
      <c r="H32" s="20"/>
      <c r="I32" s="20"/>
      <c r="J32" s="20">
        <f>J31-J30</f>
        <v>-14379.313052500009</v>
      </c>
    </row>
    <row r="33" spans="1:15" s="1" customFormat="1">
      <c r="A33" s="56">
        <v>44627</v>
      </c>
      <c r="B33" s="13" t="s">
        <v>1</v>
      </c>
      <c r="C33" s="10">
        <v>2500</v>
      </c>
      <c r="D33" s="46">
        <v>19</v>
      </c>
      <c r="E33" s="20">
        <f>C33*D33</f>
        <v>47500</v>
      </c>
      <c r="F33" s="20">
        <f>E33*0.002</f>
        <v>95</v>
      </c>
      <c r="G33" s="20">
        <f>E33*0.00006</f>
        <v>2.85</v>
      </c>
      <c r="H33" s="20">
        <f>E33*0.00001</f>
        <v>0.47500000000000003</v>
      </c>
      <c r="I33" s="20">
        <f>(F33+G33+H33)*0.07</f>
        <v>6.8827499999999997</v>
      </c>
      <c r="J33" s="20">
        <f>E33+F33+I33+G33+H33</f>
        <v>47605.207749999994</v>
      </c>
    </row>
    <row r="34" spans="1:15" s="1" customFormat="1">
      <c r="A34" s="56">
        <v>44634</v>
      </c>
      <c r="B34" s="13" t="s">
        <v>3</v>
      </c>
      <c r="C34" s="10">
        <f>C33</f>
        <v>2500</v>
      </c>
      <c r="D34" s="34">
        <v>20.100000000000001</v>
      </c>
      <c r="E34" s="11">
        <f>C34*D34</f>
        <v>50250</v>
      </c>
      <c r="F34" s="35">
        <f>E34*0.002</f>
        <v>100.5</v>
      </c>
      <c r="G34" s="34">
        <f>E34*0.000068</f>
        <v>3.4169999999999998</v>
      </c>
      <c r="H34" s="34">
        <f>E34*0.00001</f>
        <v>0.50250000000000006</v>
      </c>
      <c r="I34" s="34">
        <f>(F34+G34+H34)*0.07</f>
        <v>7.3093650000000006</v>
      </c>
      <c r="J34" s="34">
        <f>E34-F34-G34-H34-I34</f>
        <v>50138.271134999995</v>
      </c>
    </row>
    <row r="35" spans="1:15" s="1" customFormat="1">
      <c r="A35" s="56" t="s">
        <v>4</v>
      </c>
      <c r="B35" s="12">
        <f>(D34-D33)/D33</f>
        <v>5.7894736842105339E-2</v>
      </c>
      <c r="C35" s="10"/>
      <c r="D35" s="11"/>
      <c r="E35" s="20">
        <f>E34-E33</f>
        <v>2750</v>
      </c>
      <c r="F35" s="20"/>
      <c r="G35" s="20"/>
      <c r="H35" s="20"/>
      <c r="I35" s="20"/>
      <c r="J35" s="20">
        <f>J34-J33</f>
        <v>2533.0633850000013</v>
      </c>
    </row>
    <row r="36" spans="1:15" s="1" customFormat="1" ht="12">
      <c r="A36" s="50"/>
      <c r="D36" s="47"/>
      <c r="J36" s="53"/>
    </row>
    <row r="37" spans="1:15" s="19" customFormat="1" ht="15">
      <c r="A37" s="56">
        <v>44624</v>
      </c>
      <c r="B37" s="13" t="s">
        <v>1</v>
      </c>
      <c r="C37" s="16">
        <v>2500</v>
      </c>
      <c r="D37" s="46">
        <v>25.75</v>
      </c>
      <c r="E37" s="20">
        <f>C37*D37</f>
        <v>64375</v>
      </c>
      <c r="F37" s="20">
        <f>E37*0.002</f>
        <v>128.75</v>
      </c>
      <c r="G37" s="20">
        <f>E37*0.00006</f>
        <v>3.8625000000000003</v>
      </c>
      <c r="H37" s="20">
        <f>E37*0.00001</f>
        <v>0.64375000000000004</v>
      </c>
      <c r="I37" s="20">
        <f>(F37+G37+H37)*0.07</f>
        <v>9.3279375000000027</v>
      </c>
      <c r="J37" s="20">
        <f>E37+F37+I37+G37+H37</f>
        <v>64517.584187500004</v>
      </c>
      <c r="K37" s="57"/>
      <c r="L37" s="58"/>
      <c r="M37" s="58"/>
      <c r="N37" s="58"/>
      <c r="O37" s="58"/>
    </row>
    <row r="38" spans="1:15" s="13" customFormat="1">
      <c r="A38" s="56" t="e">
        <f>#REF!</f>
        <v>#REF!</v>
      </c>
      <c r="B38" s="13" t="s">
        <v>3</v>
      </c>
      <c r="C38" s="10">
        <f>C37</f>
        <v>2500</v>
      </c>
      <c r="D38" s="26">
        <v>29.5</v>
      </c>
      <c r="E38" s="11">
        <f>C38*D38</f>
        <v>73750</v>
      </c>
      <c r="F38" s="35">
        <f>E38*0.002</f>
        <v>147.5</v>
      </c>
      <c r="G38" s="34">
        <f>E38*0.000068</f>
        <v>5.0149999999999997</v>
      </c>
      <c r="H38" s="34">
        <f>E38*0.00001</f>
        <v>0.73750000000000004</v>
      </c>
      <c r="I38" s="34">
        <f>(F38+G38+H38)*0.07</f>
        <v>10.727675000000001</v>
      </c>
      <c r="J38" s="34">
        <f>E38-F38-G38-H38-I38</f>
        <v>73586.019824999996</v>
      </c>
      <c r="K38" s="10">
        <f>C38</f>
        <v>2500</v>
      </c>
    </row>
    <row r="39" spans="1:15" s="31" customFormat="1" ht="18.75">
      <c r="A39" s="56" t="s">
        <v>4</v>
      </c>
      <c r="B39" s="25">
        <f>(D38-D37)/D37</f>
        <v>0.14563106796116504</v>
      </c>
      <c r="C39" s="10"/>
      <c r="D39" s="11"/>
      <c r="E39" s="20">
        <f>E38-E37</f>
        <v>9375</v>
      </c>
      <c r="F39" s="20"/>
      <c r="G39" s="20"/>
      <c r="H39" s="20"/>
      <c r="I39" s="20"/>
      <c r="J39" s="20">
        <f>J38-J37</f>
        <v>9068.4356374999916</v>
      </c>
      <c r="K39" s="20">
        <f>J39</f>
        <v>9068.4356374999916</v>
      </c>
    </row>
    <row r="40" spans="1:15" s="19" customFormat="1" ht="15">
      <c r="A40" s="49">
        <v>44550</v>
      </c>
      <c r="B40" s="13" t="s">
        <v>1</v>
      </c>
      <c r="C40" s="16">
        <v>2500</v>
      </c>
      <c r="D40" s="46">
        <v>29.5</v>
      </c>
      <c r="E40" s="20">
        <f>C40*D40</f>
        <v>73750</v>
      </c>
      <c r="F40" s="20">
        <f>E40*0.002</f>
        <v>147.5</v>
      </c>
      <c r="G40" s="20">
        <f>E40*0.00006</f>
        <v>4.4249999999999998</v>
      </c>
      <c r="H40" s="20">
        <f>E40*0.00001</f>
        <v>0.73750000000000004</v>
      </c>
      <c r="I40" s="20">
        <f>(F40+G40+H40)*0.07</f>
        <v>10.686375000000002</v>
      </c>
      <c r="J40" s="20">
        <f>E40+F40+I40+G40+H40</f>
        <v>73913.348875000011</v>
      </c>
      <c r="K40" s="57"/>
      <c r="L40" s="58"/>
      <c r="M40" s="58"/>
      <c r="N40" s="58"/>
      <c r="O40" s="58"/>
    </row>
    <row r="41" spans="1:15" s="13" customFormat="1">
      <c r="A41" s="56" t="e">
        <f>A38</f>
        <v>#REF!</v>
      </c>
      <c r="B41" s="13" t="s">
        <v>3</v>
      </c>
      <c r="C41" s="10">
        <f>C40</f>
        <v>2500</v>
      </c>
      <c r="D41" s="34">
        <f>D38</f>
        <v>29.5</v>
      </c>
      <c r="E41" s="11">
        <f>C41*D41</f>
        <v>73750</v>
      </c>
      <c r="F41" s="35">
        <f>E41*0.002</f>
        <v>147.5</v>
      </c>
      <c r="G41" s="34">
        <f>E41*0.000068</f>
        <v>5.0149999999999997</v>
      </c>
      <c r="H41" s="34">
        <f>E41*0.00001</f>
        <v>0.73750000000000004</v>
      </c>
      <c r="I41" s="34">
        <f>(F41+G41+H41)*0.07</f>
        <v>10.727675000000001</v>
      </c>
      <c r="J41" s="34">
        <f>E41-F41-G41-H41-I41</f>
        <v>73586.019824999996</v>
      </c>
      <c r="K41" s="10">
        <f>K38+C41</f>
        <v>5000</v>
      </c>
    </row>
    <row r="42" spans="1:15" s="31" customFormat="1" ht="18.75">
      <c r="A42" s="56" t="s">
        <v>4</v>
      </c>
      <c r="B42" s="25">
        <f>(D41-D40)/D40</f>
        <v>0</v>
      </c>
      <c r="C42" s="10"/>
      <c r="D42" s="11"/>
      <c r="E42" s="20">
        <f>E41-E40</f>
        <v>0</v>
      </c>
      <c r="F42" s="20"/>
      <c r="G42" s="20"/>
      <c r="H42" s="20"/>
      <c r="I42" s="20"/>
      <c r="J42" s="20">
        <f>J41-J40</f>
        <v>-327.32905000001483</v>
      </c>
      <c r="K42" s="20">
        <f>K39+J42</f>
        <v>8741.1065874999767</v>
      </c>
    </row>
    <row r="43" spans="1:15" s="19" customFormat="1" ht="15">
      <c r="A43" s="56">
        <v>44543</v>
      </c>
      <c r="B43" s="13" t="s">
        <v>1</v>
      </c>
      <c r="C43" s="16">
        <v>2500</v>
      </c>
      <c r="D43" s="46">
        <v>29.5</v>
      </c>
      <c r="E43" s="20">
        <f>C43*D43</f>
        <v>73750</v>
      </c>
      <c r="F43" s="20">
        <f>E43*0.002</f>
        <v>147.5</v>
      </c>
      <c r="G43" s="20">
        <f>E43*0.00006</f>
        <v>4.4249999999999998</v>
      </c>
      <c r="H43" s="20">
        <f>E43*0.00001</f>
        <v>0.73750000000000004</v>
      </c>
      <c r="I43" s="20">
        <f>(F43+G43+H43)*0.07</f>
        <v>10.686375000000002</v>
      </c>
      <c r="J43" s="20">
        <f>E43+F43+I43+G43+H43</f>
        <v>73913.348875000011</v>
      </c>
      <c r="K43" s="57"/>
      <c r="L43" s="58"/>
      <c r="M43" s="58"/>
      <c r="N43" s="58"/>
      <c r="O43" s="58"/>
    </row>
    <row r="44" spans="1:15" s="13" customFormat="1">
      <c r="A44" s="56" t="e">
        <f>A41</f>
        <v>#REF!</v>
      </c>
      <c r="B44" s="13" t="s">
        <v>3</v>
      </c>
      <c r="C44" s="10">
        <f>C43</f>
        <v>2500</v>
      </c>
      <c r="D44" s="34">
        <f>D41</f>
        <v>29.5</v>
      </c>
      <c r="E44" s="11">
        <f>C44*D44</f>
        <v>73750</v>
      </c>
      <c r="F44" s="35">
        <f>E44*0.002</f>
        <v>147.5</v>
      </c>
      <c r="G44" s="34">
        <f>E44*0.000068</f>
        <v>5.0149999999999997</v>
      </c>
      <c r="H44" s="34">
        <f>E44*0.00001</f>
        <v>0.73750000000000004</v>
      </c>
      <c r="I44" s="34">
        <f>(F44+G44+H44)*0.07</f>
        <v>10.727675000000001</v>
      </c>
      <c r="J44" s="34">
        <f>E44-F44-G44-H44-I44</f>
        <v>73586.019824999996</v>
      </c>
      <c r="K44" s="10">
        <f>K41+C44</f>
        <v>7500</v>
      </c>
    </row>
    <row r="45" spans="1:15" s="31" customFormat="1" ht="18.75">
      <c r="A45" s="56" t="s">
        <v>4</v>
      </c>
      <c r="B45" s="25">
        <f>(D44-D43)/D43</f>
        <v>0</v>
      </c>
      <c r="C45" s="10"/>
      <c r="D45" s="11"/>
      <c r="E45" s="20">
        <f>E44-E43</f>
        <v>0</v>
      </c>
      <c r="F45" s="20"/>
      <c r="G45" s="20"/>
      <c r="H45" s="20"/>
      <c r="I45" s="20"/>
      <c r="J45" s="20">
        <f>J44-J43</f>
        <v>-327.32905000001483</v>
      </c>
      <c r="K45" s="20">
        <f>K42+J45</f>
        <v>8413.7775374999619</v>
      </c>
    </row>
    <row r="46" spans="1:15" s="19" customFormat="1" ht="15">
      <c r="A46" s="56">
        <v>44496</v>
      </c>
      <c r="B46" s="13" t="s">
        <v>1</v>
      </c>
      <c r="C46" s="16">
        <v>2500</v>
      </c>
      <c r="D46" s="46">
        <v>32.75</v>
      </c>
      <c r="E46" s="20">
        <f>C46*D46</f>
        <v>81875</v>
      </c>
      <c r="F46" s="20">
        <f>E46*0.002</f>
        <v>163.75</v>
      </c>
      <c r="G46" s="20">
        <f>E46*0.00006</f>
        <v>4.9125000000000005</v>
      </c>
      <c r="H46" s="20">
        <f>E46*0.00001</f>
        <v>0.81875000000000009</v>
      </c>
      <c r="I46" s="20">
        <f>(F46+G46+H46)*0.07</f>
        <v>11.863687500000001</v>
      </c>
      <c r="J46" s="20">
        <f>E46+F46+I46+G46+H46</f>
        <v>82056.344937500005</v>
      </c>
      <c r="K46" s="57"/>
      <c r="L46" s="58"/>
      <c r="M46" s="58"/>
      <c r="N46" s="58"/>
      <c r="O46" s="58"/>
    </row>
    <row r="47" spans="1:15" s="13" customFormat="1">
      <c r="A47" s="56" t="e">
        <f>A44</f>
        <v>#REF!</v>
      </c>
      <c r="B47" s="13" t="s">
        <v>3</v>
      </c>
      <c r="C47" s="10">
        <f>C46</f>
        <v>2500</v>
      </c>
      <c r="D47" s="34">
        <f>D41</f>
        <v>29.5</v>
      </c>
      <c r="E47" s="11">
        <f>C47*D47</f>
        <v>73750</v>
      </c>
      <c r="F47" s="35">
        <f>E47*0.002</f>
        <v>147.5</v>
      </c>
      <c r="G47" s="34">
        <f>E47*0.000068</f>
        <v>5.0149999999999997</v>
      </c>
      <c r="H47" s="34">
        <f>E47*0.00001</f>
        <v>0.73750000000000004</v>
      </c>
      <c r="I47" s="34">
        <f>(F47+G47+H47)*0.07</f>
        <v>10.727675000000001</v>
      </c>
      <c r="J47" s="34">
        <f>E47-F47-G47-H47-I47</f>
        <v>73586.019824999996</v>
      </c>
      <c r="K47" s="10">
        <f>K44+C47</f>
        <v>10000</v>
      </c>
    </row>
    <row r="48" spans="1:15" s="31" customFormat="1" ht="18.75">
      <c r="A48" s="56" t="s">
        <v>4</v>
      </c>
      <c r="B48" s="25">
        <f>(D47-D46)/D46</f>
        <v>-9.9236641221374045E-2</v>
      </c>
      <c r="C48" s="10"/>
      <c r="D48" s="11"/>
      <c r="E48" s="20">
        <f>E47-E46</f>
        <v>-8125</v>
      </c>
      <c r="F48" s="20"/>
      <c r="G48" s="20"/>
      <c r="H48" s="20"/>
      <c r="I48" s="20"/>
      <c r="J48" s="20">
        <f>J47-J46</f>
        <v>-8470.3251125000097</v>
      </c>
      <c r="K48" s="20">
        <f>K45+J48</f>
        <v>-56.5475750000478</v>
      </c>
    </row>
    <row r="49" spans="1:15" s="19" customFormat="1" ht="15">
      <c r="A49" s="56">
        <v>44462</v>
      </c>
      <c r="B49" s="13" t="s">
        <v>1</v>
      </c>
      <c r="C49" s="16">
        <v>2500</v>
      </c>
      <c r="D49" s="46">
        <v>33.25</v>
      </c>
      <c r="E49" s="20">
        <f>C49*D49</f>
        <v>83125</v>
      </c>
      <c r="F49" s="20">
        <f>E49*0.002</f>
        <v>166.25</v>
      </c>
      <c r="G49" s="20">
        <f>E49*0.00006</f>
        <v>4.9874999999999998</v>
      </c>
      <c r="H49" s="20">
        <f>E49*0.00001</f>
        <v>0.83125000000000004</v>
      </c>
      <c r="I49" s="20">
        <f>(F49+G49+H49)*0.07</f>
        <v>12.044812500000003</v>
      </c>
      <c r="J49" s="20">
        <f>E49+F49+I49+G49+H49</f>
        <v>83309.113562500002</v>
      </c>
      <c r="K49" s="57"/>
      <c r="L49" s="58"/>
      <c r="M49" s="58"/>
      <c r="N49" s="58"/>
      <c r="O49" s="58"/>
    </row>
    <row r="50" spans="1:15" s="13" customFormat="1">
      <c r="A50" s="56" t="e">
        <f>A47</f>
        <v>#REF!</v>
      </c>
      <c r="B50" s="13" t="s">
        <v>3</v>
      </c>
      <c r="C50" s="10">
        <f>C49</f>
        <v>2500</v>
      </c>
      <c r="D50" s="34">
        <f>D41</f>
        <v>29.5</v>
      </c>
      <c r="E50" s="11">
        <f>C50*D50</f>
        <v>73750</v>
      </c>
      <c r="F50" s="35">
        <f>E50*0.002</f>
        <v>147.5</v>
      </c>
      <c r="G50" s="34">
        <f>E50*0.000068</f>
        <v>5.0149999999999997</v>
      </c>
      <c r="H50" s="34">
        <f>E50*0.00001</f>
        <v>0.73750000000000004</v>
      </c>
      <c r="I50" s="34">
        <f>(F50+G50+H50)*0.07</f>
        <v>10.727675000000001</v>
      </c>
      <c r="J50" s="34">
        <f>E50-F50-G50-H50-I50</f>
        <v>73586.019824999996</v>
      </c>
      <c r="K50" s="10">
        <f>K47+C50</f>
        <v>12500</v>
      </c>
    </row>
    <row r="51" spans="1:15" s="31" customFormat="1" ht="18.75">
      <c r="A51" s="56" t="s">
        <v>4</v>
      </c>
      <c r="B51" s="25">
        <f>(D50-D49)/D49</f>
        <v>-0.11278195488721804</v>
      </c>
      <c r="C51" s="10"/>
      <c r="D51" s="11"/>
      <c r="E51" s="20">
        <f>E50-E49</f>
        <v>-9375</v>
      </c>
      <c r="F51" s="20"/>
      <c r="G51" s="20"/>
      <c r="H51" s="20"/>
      <c r="I51" s="20"/>
      <c r="J51" s="20">
        <f>J50-J49</f>
        <v>-9723.0937375000067</v>
      </c>
      <c r="K51" s="20">
        <f>K48+J51</f>
        <v>-9779.6413125000545</v>
      </c>
    </row>
    <row r="52" spans="1:15" s="19" customFormat="1" ht="15">
      <c r="A52" s="56">
        <v>44452</v>
      </c>
      <c r="B52" s="13" t="s">
        <v>1</v>
      </c>
      <c r="C52" s="16">
        <v>2500</v>
      </c>
      <c r="D52" s="46">
        <v>35.25</v>
      </c>
      <c r="E52" s="20">
        <f>C52*D52</f>
        <v>88125</v>
      </c>
      <c r="F52" s="20">
        <f>E52*0.002</f>
        <v>176.25</v>
      </c>
      <c r="G52" s="20">
        <f>E52*0.00006</f>
        <v>5.2875000000000005</v>
      </c>
      <c r="H52" s="20">
        <f>E52*0.00001</f>
        <v>0.88125000000000009</v>
      </c>
      <c r="I52" s="20">
        <f>(F52+G52+H52)*0.07</f>
        <v>12.7693125</v>
      </c>
      <c r="J52" s="20">
        <f>E52+F52+I52+G52+H52</f>
        <v>88320.188062500005</v>
      </c>
      <c r="K52" s="57"/>
      <c r="L52" s="58"/>
      <c r="M52" s="58"/>
      <c r="N52" s="58"/>
      <c r="O52" s="58"/>
    </row>
    <row r="53" spans="1:15" s="13" customFormat="1">
      <c r="A53" s="56" t="e">
        <f>A50</f>
        <v>#REF!</v>
      </c>
      <c r="B53" s="13" t="s">
        <v>3</v>
      </c>
      <c r="C53" s="10">
        <f>C52</f>
        <v>2500</v>
      </c>
      <c r="D53" s="34">
        <f>D41</f>
        <v>29.5</v>
      </c>
      <c r="E53" s="11">
        <f>C53*D53</f>
        <v>73750</v>
      </c>
      <c r="F53" s="35">
        <f>E53*0.002</f>
        <v>147.5</v>
      </c>
      <c r="G53" s="34">
        <f>E53*0.000068</f>
        <v>5.0149999999999997</v>
      </c>
      <c r="H53" s="34">
        <f>E53*0.00001</f>
        <v>0.73750000000000004</v>
      </c>
      <c r="I53" s="34">
        <f>(F53+G53+H53)*0.07</f>
        <v>10.727675000000001</v>
      </c>
      <c r="J53" s="34">
        <f>E53-F53-G53-H53-I53</f>
        <v>73586.019824999996</v>
      </c>
      <c r="K53" s="91">
        <f>K50+C53</f>
        <v>15000</v>
      </c>
    </row>
    <row r="54" spans="1:15" s="31" customFormat="1" ht="18.75">
      <c r="A54" s="56" t="s">
        <v>4</v>
      </c>
      <c r="B54" s="25">
        <f>(D53-D52)/D52</f>
        <v>-0.16312056737588654</v>
      </c>
      <c r="C54" s="10"/>
      <c r="D54" s="11"/>
      <c r="E54" s="20">
        <f>E53-E52</f>
        <v>-14375</v>
      </c>
      <c r="F54" s="20"/>
      <c r="G54" s="20"/>
      <c r="H54" s="20"/>
      <c r="I54" s="20"/>
      <c r="J54" s="20">
        <f>J53-J52</f>
        <v>-14734.168237500009</v>
      </c>
      <c r="K54" s="20">
        <f>K51+J54</f>
        <v>-24513.809550000064</v>
      </c>
    </row>
    <row r="55" spans="1:15" s="19" customFormat="1" ht="15">
      <c r="A55" s="56">
        <v>44398</v>
      </c>
      <c r="B55" s="13" t="s">
        <v>1</v>
      </c>
      <c r="C55" s="16">
        <v>2500</v>
      </c>
      <c r="D55" s="46">
        <v>37.75</v>
      </c>
      <c r="E55" s="20">
        <f>C55*D55</f>
        <v>94375</v>
      </c>
      <c r="F55" s="20">
        <f>E55*0.002</f>
        <v>188.75</v>
      </c>
      <c r="G55" s="20">
        <f>E55*0.00006</f>
        <v>5.6625000000000005</v>
      </c>
      <c r="H55" s="20">
        <f>E55*0.00001</f>
        <v>0.94375000000000009</v>
      </c>
      <c r="I55" s="20">
        <f>(F55+G55+H55)*0.07</f>
        <v>13.6749375</v>
      </c>
      <c r="J55" s="20">
        <f>E55+F55+I55+G55+H55</f>
        <v>94584.031187500019</v>
      </c>
      <c r="K55" s="57"/>
      <c r="L55" s="58"/>
      <c r="M55" s="58"/>
      <c r="N55" s="58"/>
      <c r="O55" s="58"/>
    </row>
    <row r="56" spans="1:15" s="13" customFormat="1">
      <c r="A56" s="56" t="e">
        <f>A53</f>
        <v>#REF!</v>
      </c>
      <c r="B56" s="13" t="s">
        <v>3</v>
      </c>
      <c r="C56" s="10">
        <f>C55</f>
        <v>2500</v>
      </c>
      <c r="D56" s="34">
        <f>D41</f>
        <v>29.5</v>
      </c>
      <c r="E56" s="11">
        <f>C56*D56</f>
        <v>73750</v>
      </c>
      <c r="F56" s="35">
        <f>E56*0.002</f>
        <v>147.5</v>
      </c>
      <c r="G56" s="34">
        <f>E56*0.000068</f>
        <v>5.0149999999999997</v>
      </c>
      <c r="H56" s="34">
        <f>E56*0.00001</f>
        <v>0.73750000000000004</v>
      </c>
      <c r="I56" s="34">
        <f>(F56+G56+H56)*0.07</f>
        <v>10.727675000000001</v>
      </c>
      <c r="J56" s="34">
        <f>E56-F56-G56-H56-I56</f>
        <v>73586.019824999996</v>
      </c>
      <c r="K56" s="10">
        <f>K53+C56</f>
        <v>17500</v>
      </c>
    </row>
    <row r="57" spans="1:15" s="31" customFormat="1" ht="18.75">
      <c r="A57" s="56" t="s">
        <v>4</v>
      </c>
      <c r="B57" s="25">
        <f>(D56-D55)/D55</f>
        <v>-0.2185430463576159</v>
      </c>
      <c r="C57" s="10"/>
      <c r="D57" s="11"/>
      <c r="E57" s="20">
        <f>E56-E55</f>
        <v>-20625</v>
      </c>
      <c r="F57" s="20"/>
      <c r="G57" s="20"/>
      <c r="H57" s="20"/>
      <c r="I57" s="20"/>
      <c r="J57" s="20">
        <f>J56-J55</f>
        <v>-20998.011362500023</v>
      </c>
      <c r="K57" s="20">
        <f>K54+J57</f>
        <v>-45511.820912500087</v>
      </c>
    </row>
    <row r="58" spans="1:15" s="19" customFormat="1" ht="15">
      <c r="A58" s="56">
        <v>44368</v>
      </c>
      <c r="B58" s="13" t="s">
        <v>1</v>
      </c>
      <c r="C58" s="16">
        <v>2500</v>
      </c>
      <c r="D58" s="46">
        <v>40</v>
      </c>
      <c r="E58" s="20">
        <f>C58*D58</f>
        <v>100000</v>
      </c>
      <c r="F58" s="20">
        <f>E58*0.002</f>
        <v>200</v>
      </c>
      <c r="G58" s="20">
        <f>E58*0.00006</f>
        <v>6</v>
      </c>
      <c r="H58" s="20">
        <f>E58*0.00001</f>
        <v>1</v>
      </c>
      <c r="I58" s="20">
        <f>(F58+G58+H58)*0.07</f>
        <v>14.490000000000002</v>
      </c>
      <c r="J58" s="20">
        <f>E58+F58+I58+G58+H58</f>
        <v>100221.49</v>
      </c>
      <c r="K58" s="57"/>
      <c r="L58" s="58"/>
      <c r="M58" s="58"/>
      <c r="N58" s="58"/>
      <c r="O58" s="58"/>
    </row>
    <row r="59" spans="1:15" s="13" customFormat="1">
      <c r="A59" s="56" t="e">
        <f>A56</f>
        <v>#REF!</v>
      </c>
      <c r="B59" s="13" t="s">
        <v>3</v>
      </c>
      <c r="C59" s="10">
        <f>C58</f>
        <v>2500</v>
      </c>
      <c r="D59" s="34">
        <f>D44</f>
        <v>29.5</v>
      </c>
      <c r="E59" s="11">
        <f>C59*D59</f>
        <v>73750</v>
      </c>
      <c r="F59" s="35">
        <f>E59*0.002</f>
        <v>147.5</v>
      </c>
      <c r="G59" s="34">
        <f>E59*0.000068</f>
        <v>5.0149999999999997</v>
      </c>
      <c r="H59" s="34">
        <f>E59*0.00001</f>
        <v>0.73750000000000004</v>
      </c>
      <c r="I59" s="34">
        <f>(F59+G59+H59)*0.07</f>
        <v>10.727675000000001</v>
      </c>
      <c r="J59" s="34">
        <f>E59-F59-G59-H59-I59</f>
        <v>73586.019824999996</v>
      </c>
      <c r="K59" s="10">
        <f>K56+C59</f>
        <v>20000</v>
      </c>
    </row>
    <row r="60" spans="1:15" s="31" customFormat="1" ht="18.75">
      <c r="A60" s="56" t="s">
        <v>4</v>
      </c>
      <c r="B60" s="25">
        <f>(D59-D58)/D58</f>
        <v>-0.26250000000000001</v>
      </c>
      <c r="C60" s="10"/>
      <c r="D60" s="11"/>
      <c r="E60" s="20">
        <f>E59-E58</f>
        <v>-26250</v>
      </c>
      <c r="F60" s="20"/>
      <c r="G60" s="20"/>
      <c r="H60" s="20"/>
      <c r="I60" s="20"/>
      <c r="J60" s="20">
        <f>J59-J58</f>
        <v>-26635.470175000009</v>
      </c>
      <c r="K60" s="20">
        <f>K57+J60</f>
        <v>-72147.291087500096</v>
      </c>
    </row>
    <row r="61" spans="1:15" s="19" customFormat="1" ht="15">
      <c r="A61" s="56">
        <v>44368</v>
      </c>
      <c r="B61" s="13" t="s">
        <v>1</v>
      </c>
      <c r="C61" s="16">
        <v>2500</v>
      </c>
      <c r="D61" s="46">
        <v>40</v>
      </c>
      <c r="E61" s="20">
        <f>C61*D61</f>
        <v>100000</v>
      </c>
      <c r="F61" s="20">
        <f>E61*0.002</f>
        <v>200</v>
      </c>
      <c r="G61" s="20">
        <f>E61*0.00006</f>
        <v>6</v>
      </c>
      <c r="H61" s="20">
        <f>E61*0.00001</f>
        <v>1</v>
      </c>
      <c r="I61" s="20">
        <f>(F61+G61+H61)*0.07</f>
        <v>14.490000000000002</v>
      </c>
      <c r="J61" s="20">
        <f>E61+F61+I61+G61+H61</f>
        <v>100221.49</v>
      </c>
      <c r="K61" s="57"/>
      <c r="L61" s="58"/>
      <c r="M61" s="58"/>
      <c r="N61" s="58"/>
      <c r="O61" s="58"/>
    </row>
    <row r="62" spans="1:15" s="13" customFormat="1">
      <c r="A62" s="56" t="e">
        <f>A59</f>
        <v>#REF!</v>
      </c>
      <c r="B62" s="13" t="s">
        <v>3</v>
      </c>
      <c r="C62" s="10">
        <f>C61</f>
        <v>2500</v>
      </c>
      <c r="D62" s="34">
        <f>D47</f>
        <v>29.5</v>
      </c>
      <c r="E62" s="11">
        <f>C62*D62</f>
        <v>73750</v>
      </c>
      <c r="F62" s="35">
        <f>E62*0.002</f>
        <v>147.5</v>
      </c>
      <c r="G62" s="34">
        <f>E62*0.000068</f>
        <v>5.0149999999999997</v>
      </c>
      <c r="H62" s="34">
        <f>E62*0.00001</f>
        <v>0.73750000000000004</v>
      </c>
      <c r="I62" s="34">
        <f>(F62+G62+H62)*0.07</f>
        <v>10.727675000000001</v>
      </c>
      <c r="J62" s="34">
        <f>E62-F62-G62-H62-I62</f>
        <v>73586.019824999996</v>
      </c>
      <c r="K62" s="10">
        <f>K59+C62</f>
        <v>22500</v>
      </c>
    </row>
    <row r="63" spans="1:15" s="31" customFormat="1" ht="18.75">
      <c r="A63" s="56" t="s">
        <v>4</v>
      </c>
      <c r="B63" s="25">
        <f>(D62-D61)/D61</f>
        <v>-0.26250000000000001</v>
      </c>
      <c r="C63" s="10"/>
      <c r="D63" s="11"/>
      <c r="E63" s="20">
        <f>E62-E61</f>
        <v>-26250</v>
      </c>
      <c r="F63" s="20"/>
      <c r="G63" s="20"/>
      <c r="H63" s="20"/>
      <c r="I63" s="20"/>
      <c r="J63" s="20">
        <f>J62-J61</f>
        <v>-26635.470175000009</v>
      </c>
      <c r="K63" s="20">
        <f>K60+J63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:XF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4"/>
  <sheetViews>
    <sheetView workbookViewId="0">
      <selection activeCell="A3" sqref="A3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67">
        <v>44473</v>
      </c>
      <c r="B3" s="13" t="s">
        <v>1</v>
      </c>
      <c r="C3" s="10">
        <v>6000</v>
      </c>
      <c r="D3" s="11">
        <v>12</v>
      </c>
      <c r="E3" s="20">
        <f>C3*D3</f>
        <v>72000</v>
      </c>
      <c r="F3" s="20">
        <f>E3*0.002</f>
        <v>144</v>
      </c>
      <c r="G3" s="20">
        <f>E3*0.00006</f>
        <v>4.32</v>
      </c>
      <c r="H3" s="20">
        <f>E3*0.00001</f>
        <v>0.72000000000000008</v>
      </c>
      <c r="I3" s="20">
        <f>(F3+G3+H3)*0.07</f>
        <v>10.4328</v>
      </c>
      <c r="J3" s="20">
        <f>E3+F3+I3+G3+H3</f>
        <v>72159.472800000003</v>
      </c>
      <c r="K3" s="32"/>
      <c r="L3" s="11"/>
      <c r="M3" s="12"/>
    </row>
    <row r="4" spans="1:14" s="63" customFormat="1" ht="21.75">
      <c r="A4" s="56"/>
      <c r="B4" s="76">
        <f>(D3-D2)/D2</f>
        <v>-2.4390243902439081E-2</v>
      </c>
      <c r="C4" s="10">
        <f>SUM(C2:C3)</f>
        <v>18000</v>
      </c>
      <c r="D4" s="64">
        <f>E4/C4</f>
        <v>12.2</v>
      </c>
      <c r="E4" s="10">
        <f t="shared" ref="E4:J4" si="0">SUM(E2:E3)</f>
        <v>219600</v>
      </c>
      <c r="F4" s="10">
        <f t="shared" si="0"/>
        <v>439.2</v>
      </c>
      <c r="G4" s="10">
        <f t="shared" si="0"/>
        <v>13.176</v>
      </c>
      <c r="H4" s="10">
        <f t="shared" si="0"/>
        <v>2.1960000000000002</v>
      </c>
      <c r="I4" s="10">
        <f t="shared" si="0"/>
        <v>31.820040000000002</v>
      </c>
      <c r="J4" s="10">
        <f t="shared" si="0"/>
        <v>220086.39204000001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12000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2400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12000</v>
      </c>
      <c r="D7" s="46">
        <f>D2</f>
        <v>12.3</v>
      </c>
      <c r="E7" s="20">
        <f>C7*D7</f>
        <v>147600</v>
      </c>
      <c r="F7" s="20">
        <f>E7*0.002</f>
        <v>295.2</v>
      </c>
      <c r="G7" s="20">
        <f>E7*0.00006</f>
        <v>8.8559999999999999</v>
      </c>
      <c r="H7" s="20">
        <f>E7*0.00001</f>
        <v>1.4760000000000002</v>
      </c>
      <c r="I7" s="20">
        <f>(F7+G7+H7)*0.07</f>
        <v>21.387240000000002</v>
      </c>
      <c r="J7" s="20">
        <f>E7+F7+I7+G7+H7</f>
        <v>147926.91924000002</v>
      </c>
    </row>
    <row r="8" spans="1:14" s="1" customFormat="1">
      <c r="A8" s="56">
        <v>44277</v>
      </c>
      <c r="B8" s="13" t="s">
        <v>3</v>
      </c>
      <c r="C8" s="10">
        <f>C7</f>
        <v>12000</v>
      </c>
      <c r="D8" s="34">
        <v>13</v>
      </c>
      <c r="E8" s="11">
        <f>C8*D8</f>
        <v>156000</v>
      </c>
      <c r="F8" s="35">
        <f>E8*0.002</f>
        <v>312</v>
      </c>
      <c r="G8" s="34">
        <f>E8*0.000068</f>
        <v>10.608000000000001</v>
      </c>
      <c r="H8" s="34">
        <f>E8*0.00001</f>
        <v>1.56</v>
      </c>
      <c r="I8" s="34">
        <f>(F8+G8+H8)*0.07</f>
        <v>22.691760000000002</v>
      </c>
      <c r="J8" s="34">
        <f>E8-F8-G8-H8-I8</f>
        <v>155653.14024000001</v>
      </c>
    </row>
    <row r="9" spans="1:14" s="1" customFormat="1">
      <c r="A9" s="56" t="s">
        <v>4</v>
      </c>
      <c r="B9" s="12">
        <f>(D8-D7)/D7</f>
        <v>5.6910569105690999E-2</v>
      </c>
      <c r="C9" s="10"/>
      <c r="D9" s="11"/>
      <c r="E9" s="20">
        <f>E8-E7</f>
        <v>8400</v>
      </c>
      <c r="F9" s="20"/>
      <c r="G9" s="20"/>
      <c r="H9" s="20"/>
      <c r="I9" s="20"/>
      <c r="J9" s="20">
        <f>J8-J7</f>
        <v>7726.2209999999905</v>
      </c>
    </row>
    <row r="10" spans="1:14" s="1" customFormat="1" ht="12">
      <c r="A10" s="50"/>
      <c r="D10" s="47"/>
      <c r="J10" s="53">
        <f>J6+J9</f>
        <v>10126.22099999999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7"/>
  <sheetViews>
    <sheetView workbookViewId="0">
      <selection activeCell="D7" sqref="D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21" customFormat="1" ht="12.75">
      <c r="A10" s="49">
        <v>44706</v>
      </c>
      <c r="B10" s="15" t="s">
        <v>1</v>
      </c>
      <c r="C10" s="16">
        <v>3000</v>
      </c>
      <c r="D10" s="41">
        <v>18.5</v>
      </c>
      <c r="E10" s="18">
        <f>C10*D10</f>
        <v>55500</v>
      </c>
      <c r="F10" s="18">
        <f>E10*0.002</f>
        <v>111</v>
      </c>
      <c r="G10" s="18">
        <f>E10*0.00006</f>
        <v>3.33</v>
      </c>
      <c r="H10" s="18">
        <f>E10*0.00001</f>
        <v>0.55500000000000005</v>
      </c>
      <c r="I10" s="18">
        <f>(F10+G10+H10)*0.07</f>
        <v>8.0419500000000017</v>
      </c>
      <c r="J10" s="18">
        <f>E10+F10+I10+G10+H10</f>
        <v>55622.926950000001</v>
      </c>
      <c r="L10" s="25"/>
    </row>
    <row r="11" spans="1:13" s="13" customFormat="1" ht="12.75">
      <c r="A11" s="49">
        <v>44809</v>
      </c>
      <c r="B11" s="15" t="s">
        <v>3</v>
      </c>
      <c r="C11" s="16">
        <f>C10</f>
        <v>3000</v>
      </c>
      <c r="D11" s="26">
        <v>19</v>
      </c>
      <c r="E11" s="17">
        <f>C11*D11</f>
        <v>57000</v>
      </c>
      <c r="F11" s="27">
        <f>E11*0.002</f>
        <v>114</v>
      </c>
      <c r="G11" s="26">
        <f>E11*0.000068</f>
        <v>3.8759999999999999</v>
      </c>
      <c r="H11" s="26">
        <f>E11*0.00001</f>
        <v>0.57000000000000006</v>
      </c>
      <c r="I11" s="26">
        <f>(F11+G11+H11)*0.07</f>
        <v>8.2912200000000009</v>
      </c>
      <c r="J11" s="26">
        <f>E11-F11-G11-H11-I11</f>
        <v>56873.262780000005</v>
      </c>
    </row>
    <row r="12" spans="1:13" s="31" customFormat="1" ht="18.75">
      <c r="A12" s="28">
        <f>DAYS360(A10,A11)</f>
        <v>100</v>
      </c>
      <c r="B12" s="30">
        <f>(D11-D10)/D10</f>
        <v>2.7027027027027029E-2</v>
      </c>
      <c r="C12" s="16"/>
      <c r="D12" s="17"/>
      <c r="E12" s="18">
        <f>E11-E10</f>
        <v>1500</v>
      </c>
      <c r="F12" s="18"/>
      <c r="G12" s="18"/>
      <c r="H12" s="18"/>
      <c r="I12" s="18"/>
      <c r="J12" s="18">
        <f>J11-J10</f>
        <v>1250.3358300000036</v>
      </c>
      <c r="K12" s="32"/>
      <c r="L12" s="12"/>
      <c r="M12" s="12"/>
    </row>
    <row r="13" spans="1:13" s="19" customFormat="1" ht="16.5">
      <c r="A13" s="49">
        <v>44537</v>
      </c>
      <c r="B13" s="15" t="s">
        <v>1</v>
      </c>
      <c r="C13" s="16">
        <v>3000</v>
      </c>
      <c r="D13" s="41">
        <v>20.5</v>
      </c>
      <c r="E13" s="18">
        <f>C13*D13</f>
        <v>61500</v>
      </c>
      <c r="F13" s="18">
        <f>E13*0.002</f>
        <v>123</v>
      </c>
      <c r="G13" s="18">
        <f>E13*0.00006</f>
        <v>3.69</v>
      </c>
      <c r="H13" s="18">
        <f>E13*0.00001</f>
        <v>0.6150000000000001</v>
      </c>
      <c r="I13" s="18">
        <f>(F13+G13+H13)*0.07</f>
        <v>8.9113500000000005</v>
      </c>
      <c r="J13" s="18">
        <f>E13+F13+I13+G13+H13</f>
        <v>61636.216350000002</v>
      </c>
    </row>
    <row r="14" spans="1:13" s="13" customFormat="1" ht="12.75">
      <c r="A14" s="49">
        <v>44860</v>
      </c>
      <c r="B14" s="15" t="s">
        <v>3</v>
      </c>
      <c r="C14" s="16">
        <f>C13</f>
        <v>3000</v>
      </c>
      <c r="D14" s="26">
        <v>18.399999999999999</v>
      </c>
      <c r="E14" s="17">
        <f>C14*D14</f>
        <v>55199.999999999993</v>
      </c>
      <c r="F14" s="27">
        <f>E14*0.002</f>
        <v>110.39999999999999</v>
      </c>
      <c r="G14" s="26">
        <f>E14*0.000068</f>
        <v>3.7535999999999996</v>
      </c>
      <c r="H14" s="26">
        <f>E14*0.00001</f>
        <v>0.55199999999999994</v>
      </c>
      <c r="I14" s="26">
        <f>(F14+G14+H14)*0.07</f>
        <v>8.0293920000000014</v>
      </c>
      <c r="J14" s="26">
        <f>E14-F14-G14-H14-I14</f>
        <v>55077.265007999995</v>
      </c>
    </row>
    <row r="15" spans="1:13" s="31" customFormat="1" ht="18.75">
      <c r="A15" s="28">
        <f>DAYS360(A13,A14)</f>
        <v>319</v>
      </c>
      <c r="B15" s="30">
        <f>(D14-D13)/D13</f>
        <v>-0.10243902439024397</v>
      </c>
      <c r="C15" s="16"/>
      <c r="D15" s="17"/>
      <c r="E15" s="18">
        <f>E14-E13</f>
        <v>-6300.0000000000073</v>
      </c>
      <c r="F15" s="18"/>
      <c r="G15" s="18"/>
      <c r="H15" s="18"/>
      <c r="I15" s="18"/>
      <c r="J15" s="18">
        <f>J14-J13</f>
        <v>-6558.9513420000076</v>
      </c>
      <c r="K15" s="32"/>
      <c r="L15" s="12"/>
      <c r="M15" s="12"/>
    </row>
    <row r="16" spans="1:13" ht="12"/>
    <row r="17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8" sqref="D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77">
        <v>44880</v>
      </c>
      <c r="B7" s="78" t="s">
        <v>1</v>
      </c>
      <c r="C7" s="79">
        <v>10000</v>
      </c>
      <c r="D7" s="80">
        <v>19.5</v>
      </c>
      <c r="E7" s="94">
        <f>C7*D7</f>
        <v>195000</v>
      </c>
      <c r="F7" s="94">
        <f>E7*0.002</f>
        <v>390</v>
      </c>
      <c r="G7" s="94">
        <f>E7*0.000068</f>
        <v>13.26</v>
      </c>
      <c r="H7" s="94">
        <f>E7*0.00001</f>
        <v>1.9500000000000002</v>
      </c>
      <c r="I7" s="94">
        <f>(F7+G7+H7)*0.07</f>
        <v>28.364700000000003</v>
      </c>
      <c r="J7" s="94">
        <f>E7+F7+I7+G7+H7</f>
        <v>195433.57470000003</v>
      </c>
    </row>
    <row r="8" spans="1:14" s="63" customFormat="1" ht="21.75">
      <c r="A8" s="77"/>
      <c r="B8" s="81">
        <f>(D7-D6)/D6</f>
        <v>3.1746031746031821E-2</v>
      </c>
      <c r="C8" s="79">
        <f>SUM(C6:C7)</f>
        <v>30000</v>
      </c>
      <c r="D8" s="80">
        <f>E8/C8</f>
        <v>19.100000000000001</v>
      </c>
      <c r="E8" s="79">
        <f t="shared" ref="E8:J8" si="2">SUM(E6:E7)</f>
        <v>573000</v>
      </c>
      <c r="F8" s="79">
        <f t="shared" si="2"/>
        <v>1146</v>
      </c>
      <c r="G8" s="79">
        <f t="shared" si="2"/>
        <v>38.188000000000002</v>
      </c>
      <c r="H8" s="79">
        <f t="shared" si="2"/>
        <v>5.73</v>
      </c>
      <c r="I8" s="79">
        <f t="shared" si="2"/>
        <v>83.294260000000008</v>
      </c>
      <c r="J8" s="79">
        <f t="shared" si="2"/>
        <v>574273.21226000006</v>
      </c>
      <c r="K8" s="11"/>
      <c r="L8" s="13"/>
      <c r="M8" s="62"/>
      <c r="N8" s="62"/>
    </row>
    <row r="9" spans="1:14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4">
      <c r="A10" s="56"/>
      <c r="B10" s="13"/>
      <c r="C10" s="10"/>
      <c r="D10" s="34"/>
      <c r="E10" s="11"/>
      <c r="F10" s="35"/>
      <c r="G10" s="34"/>
      <c r="H10" s="34"/>
      <c r="I10" s="34"/>
      <c r="J10" s="34"/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13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14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15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16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17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5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 ht="12.75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 ht="12.75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 ht="12.75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 ht="12.75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 ht="12.75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 ht="12.75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 ht="12.75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  <row r="23" spans="1:13" ht="12"/>
    <row r="24" spans="1:13" ht="12"/>
    <row r="25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9"/>
  <sheetViews>
    <sheetView workbookViewId="0">
      <selection activeCell="C4" sqref="C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19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67">
        <v>44473</v>
      </c>
      <c r="B3" s="13" t="s">
        <v>1</v>
      </c>
      <c r="C3" s="10">
        <v>2400</v>
      </c>
      <c r="D3" s="11">
        <v>37</v>
      </c>
      <c r="E3" s="20">
        <f>C3*D3</f>
        <v>88800</v>
      </c>
      <c r="F3" s="20">
        <f>E3*0.002</f>
        <v>177.6</v>
      </c>
      <c r="G3" s="20">
        <f>E3*0.00006</f>
        <v>5.3280000000000003</v>
      </c>
      <c r="H3" s="20">
        <f>E3*0.00001</f>
        <v>0.88800000000000012</v>
      </c>
      <c r="I3" s="20">
        <f>(F3+G3+H3)*0.07</f>
        <v>12.867120000000002</v>
      </c>
      <c r="J3" s="20">
        <f>E3+F3+I3+G3+H3</f>
        <v>88996.683120000002</v>
      </c>
      <c r="K3" s="32"/>
      <c r="L3" s="11"/>
      <c r="M3" s="12"/>
    </row>
    <row r="4" spans="1:14" s="63" customFormat="1" ht="21.75">
      <c r="A4" s="56"/>
      <c r="B4" s="76">
        <f>(D3-D2)/D2</f>
        <v>-0.15909090909090909</v>
      </c>
      <c r="C4" s="10">
        <f>SUM(C2:C3)</f>
        <v>4800</v>
      </c>
      <c r="D4" s="64">
        <f>E4/C4</f>
        <v>40.5</v>
      </c>
      <c r="E4" s="10">
        <f>SUM(E2:E3)</f>
        <v>194400</v>
      </c>
      <c r="F4" s="10">
        <f>SUM(F2:F3)</f>
        <v>388.8</v>
      </c>
      <c r="G4" s="10">
        <f>SUM(G2:G3)</f>
        <v>11.664000000000001</v>
      </c>
      <c r="H4" s="10">
        <f>SUM(H2:H3)</f>
        <v>1.9440000000000002</v>
      </c>
      <c r="I4" s="10">
        <f>SUM(I2:I3)</f>
        <v>28.168560000000006</v>
      </c>
      <c r="J4" s="10">
        <f>SUM(J2:J3)</f>
        <v>194830.57655999999</v>
      </c>
      <c r="K4" s="11"/>
      <c r="L4" s="13"/>
      <c r="M4" s="62"/>
      <c r="N4" s="62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44799</v>
      </c>
      <c r="C6" s="10">
        <f>C2</f>
        <v>2400</v>
      </c>
      <c r="D6" s="64">
        <v>0.4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C6*D6*0.9</f>
        <v>864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2400</v>
      </c>
      <c r="D7" s="46">
        <f>D2</f>
        <v>44</v>
      </c>
      <c r="E7" s="20">
        <f>C7*D7</f>
        <v>105600</v>
      </c>
      <c r="F7" s="20">
        <f>E7*0.002</f>
        <v>211.20000000000002</v>
      </c>
      <c r="G7" s="20">
        <f>E7*0.00006</f>
        <v>6.3360000000000003</v>
      </c>
      <c r="H7" s="20">
        <f>E7*0.00001</f>
        <v>1.056</v>
      </c>
      <c r="I7" s="20">
        <f>(F7+G7+H7)*0.07</f>
        <v>15.301440000000005</v>
      </c>
      <c r="J7" s="20">
        <f>E7+F7+I7+G7+H7</f>
        <v>105833.89343999999</v>
      </c>
    </row>
    <row r="8" spans="1:14">
      <c r="A8" s="56">
        <v>44277</v>
      </c>
      <c r="B8" s="13" t="s">
        <v>3</v>
      </c>
      <c r="C8" s="10">
        <f>C7</f>
        <v>2400</v>
      </c>
      <c r="D8" s="34">
        <v>45</v>
      </c>
      <c r="E8" s="11">
        <f>C8*D8</f>
        <v>108000</v>
      </c>
      <c r="F8" s="35">
        <f>E8*0.002</f>
        <v>216</v>
      </c>
      <c r="G8" s="34">
        <f>E8*0.000068</f>
        <v>7.3440000000000003</v>
      </c>
      <c r="H8" s="34">
        <f>E8*0.00001</f>
        <v>1.08</v>
      </c>
      <c r="I8" s="34">
        <f>(F8+G8+H8)*0.07</f>
        <v>15.709680000000002</v>
      </c>
      <c r="J8" s="34">
        <f>E8-F8-G8-H8-I8</f>
        <v>107759.86632</v>
      </c>
    </row>
    <row r="9" spans="1:14">
      <c r="A9" s="56" t="s">
        <v>4</v>
      </c>
      <c r="B9" s="13"/>
      <c r="C9" s="10"/>
      <c r="D9" s="11"/>
      <c r="E9" s="20">
        <f>E8-E7</f>
        <v>2400</v>
      </c>
      <c r="F9" s="20"/>
      <c r="G9" s="20"/>
      <c r="H9" s="20"/>
      <c r="I9" s="20"/>
      <c r="J9" s="20">
        <f>J8-J7</f>
        <v>1925.9728800000157</v>
      </c>
    </row>
    <row r="10" spans="1:14">
      <c r="J10" s="53">
        <f>J6+J9</f>
        <v>2789.9728800000157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ht="12"/>
    <row r="18" ht="12"/>
    <row r="19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20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1EBAE-F735-42C2-8B12-15730D8F96F4}">
  <dimension ref="A1:M12"/>
  <sheetViews>
    <sheetView workbookViewId="0">
      <selection activeCell="C11" sqref="C1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" customFormat="1">
      <c r="A2" s="49">
        <v>44616</v>
      </c>
      <c r="B2" s="15" t="s">
        <v>1</v>
      </c>
      <c r="C2" s="16">
        <v>3000</v>
      </c>
      <c r="D2" s="41">
        <v>42</v>
      </c>
      <c r="E2" s="18">
        <f>C2*D2</f>
        <v>126000</v>
      </c>
      <c r="F2" s="18">
        <f>E2*0.002</f>
        <v>252</v>
      </c>
      <c r="G2" s="18">
        <f>E2*0.00006</f>
        <v>7.5600000000000005</v>
      </c>
      <c r="H2" s="18">
        <f>E2*0.00001</f>
        <v>1.26</v>
      </c>
      <c r="I2" s="18">
        <f>(F2+G2+H2)*0.07</f>
        <v>18.257400000000001</v>
      </c>
      <c r="J2" s="18">
        <f>E2+F2+I2+G2+H2</f>
        <v>126279.07739999999</v>
      </c>
    </row>
    <row r="3" spans="1:13" s="1" customFormat="1">
      <c r="A3" s="49">
        <v>44624</v>
      </c>
      <c r="B3" s="15" t="s">
        <v>1</v>
      </c>
      <c r="C3" s="16">
        <v>1500</v>
      </c>
      <c r="D3" s="41">
        <v>42</v>
      </c>
      <c r="E3" s="18">
        <f>C3*D3</f>
        <v>63000</v>
      </c>
      <c r="F3" s="18">
        <f>E3*0.002</f>
        <v>126</v>
      </c>
      <c r="G3" s="18">
        <f>E3*0.00006</f>
        <v>3.7800000000000002</v>
      </c>
      <c r="H3" s="18">
        <f>E3*0.00001</f>
        <v>0.63</v>
      </c>
      <c r="I3" s="18">
        <f>(F3+G3+H3)*0.07</f>
        <v>9.1287000000000003</v>
      </c>
      <c r="J3" s="18">
        <f>E3+F3+I3+G3+H3</f>
        <v>63139.538699999997</v>
      </c>
    </row>
    <row r="4" spans="1:13" s="1" customFormat="1">
      <c r="A4" s="49"/>
      <c r="B4" s="30">
        <f>(D3-D2)/D2</f>
        <v>0</v>
      </c>
      <c r="C4" s="16">
        <f>SUM(C2:C3)</f>
        <v>4500</v>
      </c>
      <c r="D4" s="17">
        <f>E4/C4</f>
        <v>42</v>
      </c>
      <c r="E4" s="16">
        <f t="shared" ref="E4:J4" si="0">SUM(E2:E3)</f>
        <v>189000</v>
      </c>
      <c r="F4" s="16">
        <f t="shared" si="0"/>
        <v>378</v>
      </c>
      <c r="G4" s="16">
        <f t="shared" si="0"/>
        <v>11.34</v>
      </c>
      <c r="H4" s="16">
        <f t="shared" si="0"/>
        <v>1.8900000000000001</v>
      </c>
      <c r="I4" s="16">
        <f t="shared" si="0"/>
        <v>27.386099999999999</v>
      </c>
      <c r="J4" s="16">
        <f t="shared" si="0"/>
        <v>189418.61609999998</v>
      </c>
    </row>
    <row r="5" spans="1:13" s="1" customFormat="1">
      <c r="A5" s="49">
        <v>44663</v>
      </c>
      <c r="B5" s="15" t="s">
        <v>1</v>
      </c>
      <c r="C5" s="16">
        <v>1500</v>
      </c>
      <c r="D5" s="41">
        <v>39</v>
      </c>
      <c r="E5" s="18">
        <f>C5*D5</f>
        <v>58500</v>
      </c>
      <c r="F5" s="18">
        <f>E5*0.002</f>
        <v>117</v>
      </c>
      <c r="G5" s="18">
        <f>E5*0.00006</f>
        <v>3.5100000000000002</v>
      </c>
      <c r="H5" s="18">
        <f>E5*0.00001</f>
        <v>0.58500000000000008</v>
      </c>
      <c r="I5" s="18">
        <f>(F5+G5+H5)*0.07</f>
        <v>8.4766500000000011</v>
      </c>
      <c r="J5" s="18">
        <f>E5+F5+I5+G5+H5</f>
        <v>58629.571649999998</v>
      </c>
    </row>
    <row r="6" spans="1:13" s="1" customFormat="1">
      <c r="A6" s="49"/>
      <c r="B6" s="30">
        <f>(D5-D4)/D4</f>
        <v>-7.1428571428571425E-2</v>
      </c>
      <c r="C6" s="16">
        <f>SUM(C4:C5)</f>
        <v>6000</v>
      </c>
      <c r="D6" s="17">
        <f>E6/C6</f>
        <v>41.25</v>
      </c>
      <c r="E6" s="16">
        <f t="shared" ref="E6:J6" si="1">SUM(E4:E5)</f>
        <v>247500</v>
      </c>
      <c r="F6" s="16">
        <f t="shared" si="1"/>
        <v>495</v>
      </c>
      <c r="G6" s="16">
        <f t="shared" si="1"/>
        <v>14.85</v>
      </c>
      <c r="H6" s="16">
        <f t="shared" si="1"/>
        <v>2.4750000000000001</v>
      </c>
      <c r="I6" s="16">
        <f t="shared" si="1"/>
        <v>35.862749999999998</v>
      </c>
      <c r="J6" s="16">
        <f t="shared" si="1"/>
        <v>248048.18774999998</v>
      </c>
    </row>
    <row r="7" spans="1:13" s="1" customFormat="1">
      <c r="A7" s="49">
        <v>44684</v>
      </c>
      <c r="B7" s="15" t="s">
        <v>1</v>
      </c>
      <c r="C7" s="16">
        <v>1500</v>
      </c>
      <c r="D7" s="41">
        <v>37</v>
      </c>
      <c r="E7" s="18">
        <f>C7*D7</f>
        <v>55500</v>
      </c>
      <c r="F7" s="18">
        <f>E7*0.002</f>
        <v>111</v>
      </c>
      <c r="G7" s="18">
        <f>E7*0.00006</f>
        <v>3.33</v>
      </c>
      <c r="H7" s="18">
        <f>E7*0.00001</f>
        <v>0.55500000000000005</v>
      </c>
      <c r="I7" s="18">
        <f>(F7+G7+H7)*0.07</f>
        <v>8.0419500000000017</v>
      </c>
      <c r="J7" s="18">
        <f>E7+F7+I7+G7+H7</f>
        <v>55622.926950000001</v>
      </c>
    </row>
    <row r="8" spans="1:13" s="1" customFormat="1">
      <c r="A8" s="49"/>
      <c r="B8" s="30">
        <f>(D7-D6)/D6</f>
        <v>-0.10303030303030303</v>
      </c>
      <c r="C8" s="16">
        <f>SUM(C6:C7)</f>
        <v>7500</v>
      </c>
      <c r="D8" s="17">
        <f>E8/C8</f>
        <v>40.4</v>
      </c>
      <c r="E8" s="16">
        <f t="shared" ref="E8:J8" si="2">SUM(E6:E7)</f>
        <v>303000</v>
      </c>
      <c r="F8" s="16">
        <f t="shared" si="2"/>
        <v>606</v>
      </c>
      <c r="G8" s="16">
        <f t="shared" si="2"/>
        <v>18.18</v>
      </c>
      <c r="H8" s="16">
        <f t="shared" si="2"/>
        <v>3.0300000000000002</v>
      </c>
      <c r="I8" s="16">
        <f t="shared" si="2"/>
        <v>43.904699999999998</v>
      </c>
      <c r="J8" s="16">
        <f t="shared" si="2"/>
        <v>303671.11469999998</v>
      </c>
    </row>
    <row r="10" spans="1:13">
      <c r="A10" s="56">
        <v>44607</v>
      </c>
      <c r="B10" s="13" t="s">
        <v>1</v>
      </c>
      <c r="C10" s="10">
        <v>7500</v>
      </c>
      <c r="D10" s="11">
        <v>40.4</v>
      </c>
      <c r="E10" s="20">
        <f>C10*D10</f>
        <v>303000</v>
      </c>
      <c r="F10" s="20">
        <f>E10*0.002</f>
        <v>606</v>
      </c>
      <c r="G10" s="20">
        <f>E10*0.000068</f>
        <v>20.603999999999999</v>
      </c>
      <c r="H10" s="20">
        <f>E10*0.00001</f>
        <v>3.0300000000000002</v>
      </c>
      <c r="I10" s="20">
        <f>(F10+G10+H10)*0.07</f>
        <v>44.074380000000005</v>
      </c>
      <c r="J10" s="20">
        <f>E10+F10+I10+G10+H10</f>
        <v>303673.70838000003</v>
      </c>
      <c r="L10" s="25"/>
      <c r="M10" s="21"/>
    </row>
    <row r="11" spans="1:13" s="13" customFormat="1">
      <c r="A11" s="56">
        <v>44560</v>
      </c>
      <c r="B11" s="13" t="s">
        <v>3</v>
      </c>
      <c r="C11" s="10">
        <f>C10</f>
        <v>7500</v>
      </c>
      <c r="D11" s="34">
        <v>42.5</v>
      </c>
      <c r="E11" s="11">
        <f>C11*D11</f>
        <v>318750</v>
      </c>
      <c r="F11" s="35">
        <f>E11*0.002</f>
        <v>637.5</v>
      </c>
      <c r="G11" s="34">
        <f>E11*0.000068</f>
        <v>21.675000000000001</v>
      </c>
      <c r="H11" s="34">
        <f>E11*0.00001</f>
        <v>3.1875000000000004</v>
      </c>
      <c r="I11" s="34">
        <f>(F11+G11+H11)*0.07</f>
        <v>46.365375</v>
      </c>
      <c r="J11" s="34">
        <f>E11-F11-G11-H11-I11</f>
        <v>318041.27212500002</v>
      </c>
    </row>
    <row r="12" spans="1:13" s="31" customFormat="1" ht="18.75">
      <c r="A12" s="9">
        <f>DAYS360(A10,A11)</f>
        <v>-45</v>
      </c>
      <c r="B12" s="12">
        <f>(D11-D10)/D10</f>
        <v>5.1980198019802019E-2</v>
      </c>
      <c r="C12" s="10"/>
      <c r="D12" s="11"/>
      <c r="E12" s="20">
        <f>E11-E10</f>
        <v>15750</v>
      </c>
      <c r="F12" s="20"/>
      <c r="G12" s="20"/>
      <c r="H12" s="20"/>
      <c r="I12" s="20"/>
      <c r="J12" s="20">
        <f>J11-J10</f>
        <v>14367.563744999992</v>
      </c>
      <c r="K12" s="32"/>
      <c r="L12" s="12"/>
      <c r="M1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0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opLeftCell="A34" workbookViewId="0">
      <selection activeCell="A38" sqref="A3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28</v>
      </c>
      <c r="E31" s="20">
        <f>C31*D31</f>
        <v>84000</v>
      </c>
      <c r="F31" s="20">
        <f>E31*0.002</f>
        <v>168</v>
      </c>
      <c r="G31" s="20">
        <f>E31*0.000068</f>
        <v>5.7119999999999997</v>
      </c>
      <c r="H31" s="20">
        <f>E31*0.00001</f>
        <v>0.84000000000000008</v>
      </c>
      <c r="I31" s="20">
        <f>(F31+G31+H31)*0.07</f>
        <v>12.218640000000001</v>
      </c>
      <c r="J31" s="20">
        <f>E31+F31+I31+G31+H31</f>
        <v>84186.770640000002</v>
      </c>
    </row>
    <row r="32" spans="1:13" ht="12.75">
      <c r="B32" s="25">
        <f>(D31-D30)/D30</f>
        <v>-0.2967032967032967</v>
      </c>
      <c r="C32" s="22">
        <f>SUM(C30:C31)</f>
        <v>27000</v>
      </c>
      <c r="D32" s="65">
        <f>E32/C32</f>
        <v>38.5</v>
      </c>
      <c r="E32" s="22">
        <f t="shared" ref="E32:J32" si="11">SUM(E30:E31)</f>
        <v>1039500</v>
      </c>
      <c r="F32" s="22">
        <f t="shared" si="11"/>
        <v>2079</v>
      </c>
      <c r="G32" s="22">
        <f t="shared" si="11"/>
        <v>70.686000000000007</v>
      </c>
      <c r="H32" s="22">
        <f t="shared" si="11"/>
        <v>10.395</v>
      </c>
      <c r="I32" s="22">
        <f t="shared" si="11"/>
        <v>151.20567</v>
      </c>
      <c r="J32" s="22">
        <f t="shared" si="11"/>
        <v>1041811.2866699998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A13" sqref="A13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9"/>
  <sheetViews>
    <sheetView workbookViewId="0">
      <selection activeCell="A6" sqref="A6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41.5</v>
      </c>
      <c r="E3" s="11">
        <f>C3*D3</f>
        <v>149400</v>
      </c>
      <c r="F3" s="35">
        <f>E3*0.002</f>
        <v>298.8</v>
      </c>
      <c r="G3" s="34">
        <f>E3*0.000068</f>
        <v>10.1592</v>
      </c>
      <c r="H3" s="34">
        <f>E3*0.00001</f>
        <v>1.4940000000000002</v>
      </c>
      <c r="I3" s="34">
        <f>(F3+G3+H3)*0.07</f>
        <v>21.731724000000003</v>
      </c>
      <c r="J3" s="34">
        <f>E3-F3-G3-H3-I3</f>
        <v>149067.815076</v>
      </c>
    </row>
    <row r="4" spans="1:13" s="1" customFormat="1">
      <c r="A4" s="56" t="s">
        <v>4</v>
      </c>
      <c r="B4" s="12">
        <f>(D3-D2)/D2</f>
        <v>5.0632911392405063E-2</v>
      </c>
      <c r="C4" s="10"/>
      <c r="D4" s="11"/>
      <c r="E4" s="20">
        <f>E3-E2</f>
        <v>7200</v>
      </c>
      <c r="F4" s="20"/>
      <c r="G4" s="20"/>
      <c r="H4" s="20"/>
      <c r="I4" s="20"/>
      <c r="J4" s="20">
        <f>J3-J2</f>
        <v>6552.8562960000127</v>
      </c>
    </row>
    <row r="5" spans="1:13" s="1" customFormat="1" ht="12">
      <c r="A5" s="50"/>
      <c r="C5" s="2"/>
      <c r="D5" s="47"/>
      <c r="J5" s="53">
        <f>J1+J4</f>
        <v>6552.8562960000127</v>
      </c>
    </row>
    <row r="6" spans="1:13" s="13" customFormat="1">
      <c r="A6" s="39">
        <v>44946</v>
      </c>
      <c r="B6" s="15" t="s">
        <v>1</v>
      </c>
      <c r="C6" s="16">
        <v>3600</v>
      </c>
      <c r="D6" s="17">
        <v>39.5</v>
      </c>
      <c r="E6" s="18">
        <f>C6*D6</f>
        <v>142200</v>
      </c>
      <c r="F6" s="18">
        <f>E6*0.002</f>
        <v>284.40000000000003</v>
      </c>
      <c r="G6" s="18">
        <f>E6*0.00006</f>
        <v>8.532</v>
      </c>
      <c r="H6" s="18">
        <f>E6*0.00001</f>
        <v>1.4220000000000002</v>
      </c>
      <c r="I6" s="18">
        <f>(F6+G6+H6)*0.07</f>
        <v>20.604780000000005</v>
      </c>
      <c r="J6" s="18">
        <f>E6+F6+I6+G6+H6</f>
        <v>142514.95877999999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2400</v>
      </c>
      <c r="D7" s="46">
        <v>38.25</v>
      </c>
      <c r="E7" s="20">
        <f>C7*D7</f>
        <v>91800</v>
      </c>
      <c r="F7" s="20">
        <f>E7*0.002</f>
        <v>183.6</v>
      </c>
      <c r="G7" s="20">
        <f>E7*0.00006</f>
        <v>5.508</v>
      </c>
      <c r="H7" s="20">
        <f>E7*0.00001</f>
        <v>0.91800000000000004</v>
      </c>
      <c r="I7" s="20">
        <f>(F7+G7+H7)*0.07</f>
        <v>13.301820000000003</v>
      </c>
      <c r="J7" s="20">
        <f>E7+F7+I7+G7+H7</f>
        <v>92003.327820000006</v>
      </c>
    </row>
    <row r="8" spans="1:13" s="1" customFormat="1" ht="14.25">
      <c r="A8" s="56"/>
      <c r="B8" s="12">
        <f>(D7-D6)/D6</f>
        <v>-3.1645569620253167E-2</v>
      </c>
      <c r="C8" s="10">
        <f>SUM(C6:C7)</f>
        <v>6000</v>
      </c>
      <c r="D8" s="11">
        <f>E8/C8</f>
        <v>39</v>
      </c>
      <c r="E8" s="10">
        <f t="shared" ref="E8:J8" si="0">SUM(E6:E7)</f>
        <v>234000</v>
      </c>
      <c r="F8" s="10">
        <f t="shared" si="0"/>
        <v>468</v>
      </c>
      <c r="G8" s="10">
        <f t="shared" si="0"/>
        <v>14.04</v>
      </c>
      <c r="H8" s="10">
        <f t="shared" si="0"/>
        <v>2.3400000000000003</v>
      </c>
      <c r="I8" s="10">
        <f t="shared" si="0"/>
        <v>33.906600000000012</v>
      </c>
      <c r="J8" s="10">
        <f t="shared" si="0"/>
        <v>234518.28659999999</v>
      </c>
    </row>
    <row r="9" spans="1:13" s="1" customFormat="1" ht="12">
      <c r="A9" s="50"/>
      <c r="C9" s="2"/>
      <c r="D9" s="47"/>
      <c r="J9" s="5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tabSelected="1" workbookViewId="0">
      <selection activeCell="J13" sqref="J13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31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29.5</v>
      </c>
      <c r="E3" s="11">
        <f>C3*D3</f>
        <v>106200</v>
      </c>
      <c r="F3" s="35">
        <f>E3*0.002</f>
        <v>212.4</v>
      </c>
      <c r="G3" s="34">
        <f>E3*0.000068</f>
        <v>7.2215999999999996</v>
      </c>
      <c r="H3" s="34">
        <f>E3*0.00001</f>
        <v>1.0620000000000001</v>
      </c>
      <c r="I3" s="34">
        <f>(F3+G3+H3)*0.07</f>
        <v>15.447852000000003</v>
      </c>
      <c r="J3" s="34">
        <f>E3-F3-G3-H3-I3</f>
        <v>105963.868548</v>
      </c>
    </row>
    <row r="4" spans="1:13" s="1" customFormat="1">
      <c r="A4" s="56" t="s">
        <v>4</v>
      </c>
      <c r="B4" s="12">
        <f>(D3-D2)/D2</f>
        <v>5.3571428571428568E-2</v>
      </c>
      <c r="C4" s="10"/>
      <c r="D4" s="11"/>
      <c r="E4" s="20">
        <f>E3-E2</f>
        <v>5400</v>
      </c>
      <c r="F4" s="20"/>
      <c r="G4" s="20"/>
      <c r="H4" s="20"/>
      <c r="I4" s="20"/>
      <c r="J4" s="20">
        <f>J3-J2</f>
        <v>4940.6066279999941</v>
      </c>
    </row>
    <row r="5" spans="1:13" s="1" customFormat="1" ht="12">
      <c r="A5" s="50"/>
      <c r="C5" s="2"/>
      <c r="D5" s="47"/>
      <c r="J5" s="53">
        <f>J1+J4</f>
        <v>4940.6066279999941</v>
      </c>
    </row>
    <row r="6" spans="1:13" s="13" customFormat="1">
      <c r="A6" s="39">
        <f>A2</f>
        <v>44945</v>
      </c>
      <c r="B6" s="15" t="s">
        <v>1</v>
      </c>
      <c r="C6" s="16">
        <v>3600</v>
      </c>
      <c r="D6" s="17">
        <f>D2</f>
        <v>28</v>
      </c>
      <c r="E6" s="18">
        <f>C6*D6</f>
        <v>100800</v>
      </c>
      <c r="F6" s="18">
        <f>E6*0.002</f>
        <v>201.6</v>
      </c>
      <c r="G6" s="18">
        <f>E6*0.00006</f>
        <v>6.048</v>
      </c>
      <c r="H6" s="18">
        <f>E6*0.00001</f>
        <v>1.008</v>
      </c>
      <c r="I6" s="18">
        <f>(F6+G6+H6)*0.07</f>
        <v>14.605920000000001</v>
      </c>
      <c r="J6" s="18">
        <f>E6+F6+I6+G6+H6</f>
        <v>101023.26192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27</v>
      </c>
      <c r="E7" s="20">
        <f>C7*D7</f>
        <v>32400</v>
      </c>
      <c r="F7" s="20">
        <f>E7*0.002</f>
        <v>64.8</v>
      </c>
      <c r="G7" s="20">
        <f>E7*0.00006</f>
        <v>1.944</v>
      </c>
      <c r="H7" s="20">
        <f>E7*0.00001</f>
        <v>0.32400000000000001</v>
      </c>
      <c r="I7" s="20">
        <f>(F7+G7+H7)*0.07</f>
        <v>4.6947600000000005</v>
      </c>
      <c r="J7" s="20">
        <f>E7+F7+I7+G7+H7</f>
        <v>32471.762759999998</v>
      </c>
    </row>
    <row r="8" spans="1:13" s="1" customFormat="1" ht="14.25">
      <c r="A8" s="56"/>
      <c r="B8" s="12">
        <f>(D7-D6)/D6</f>
        <v>-3.5714285714285712E-2</v>
      </c>
      <c r="C8" s="10">
        <f>SUM(C6:C7)</f>
        <v>4800</v>
      </c>
      <c r="D8" s="11">
        <f>E8/C8</f>
        <v>27.75</v>
      </c>
      <c r="E8" s="10">
        <f t="shared" ref="E8:J8" si="0">SUM(E6:E7)</f>
        <v>133200</v>
      </c>
      <c r="F8" s="10">
        <f t="shared" si="0"/>
        <v>266.39999999999998</v>
      </c>
      <c r="G8" s="10">
        <f t="shared" si="0"/>
        <v>7.992</v>
      </c>
      <c r="H8" s="10">
        <f t="shared" si="0"/>
        <v>1.3320000000000001</v>
      </c>
      <c r="I8" s="10">
        <f t="shared" si="0"/>
        <v>19.30068</v>
      </c>
      <c r="J8" s="10">
        <f t="shared" si="0"/>
        <v>133495.02468</v>
      </c>
    </row>
    <row r="9" spans="1:13" s="1" customFormat="1" ht="14.25">
      <c r="A9" s="56">
        <v>44676</v>
      </c>
      <c r="B9" s="13" t="s">
        <v>1</v>
      </c>
      <c r="C9" s="10">
        <v>1200</v>
      </c>
      <c r="D9" s="46">
        <v>26.5</v>
      </c>
      <c r="E9" s="20">
        <f>C9*D9</f>
        <v>31800</v>
      </c>
      <c r="F9" s="20">
        <f>E9*0.002</f>
        <v>63.6</v>
      </c>
      <c r="G9" s="20">
        <f>E9*0.00006</f>
        <v>1.9080000000000001</v>
      </c>
      <c r="H9" s="20">
        <f>E9*0.00001</f>
        <v>0.318</v>
      </c>
      <c r="I9" s="20">
        <f>(F9+G9+H9)*0.07</f>
        <v>4.6078200000000002</v>
      </c>
      <c r="J9" s="20">
        <f>E9+F9+I9+G9+H9</f>
        <v>31870.433819999998</v>
      </c>
    </row>
    <row r="10" spans="1:13" s="1" customFormat="1" ht="14.25">
      <c r="A10" s="56"/>
      <c r="B10" s="12">
        <f>(D9-D8)/D8</f>
        <v>-4.5045045045045043E-2</v>
      </c>
      <c r="C10" s="10">
        <f>SUM(C8:C9)</f>
        <v>6000</v>
      </c>
      <c r="D10" s="11">
        <f>E10/C10</f>
        <v>27.5</v>
      </c>
      <c r="E10" s="10">
        <f t="shared" ref="E10:J10" si="1">SUM(E8:E9)</f>
        <v>165000</v>
      </c>
      <c r="F10" s="10">
        <f t="shared" si="1"/>
        <v>330</v>
      </c>
      <c r="G10" s="10">
        <f t="shared" si="1"/>
        <v>9.9</v>
      </c>
      <c r="H10" s="10">
        <f t="shared" si="1"/>
        <v>1.6500000000000001</v>
      </c>
      <c r="I10" s="10">
        <f t="shared" si="1"/>
        <v>23.9085</v>
      </c>
      <c r="J10" s="10">
        <f t="shared" si="1"/>
        <v>165365.45850000001</v>
      </c>
    </row>
    <row r="11" spans="1:13" s="1" customFormat="1" ht="14.25">
      <c r="A11" s="56">
        <v>44676</v>
      </c>
      <c r="B11" s="13" t="s">
        <v>1</v>
      </c>
      <c r="C11" s="10">
        <v>1200</v>
      </c>
      <c r="D11" s="46">
        <v>26</v>
      </c>
      <c r="E11" s="20">
        <f>C11*D11</f>
        <v>31200</v>
      </c>
      <c r="F11" s="20">
        <f>E11*0.002</f>
        <v>62.4</v>
      </c>
      <c r="G11" s="20">
        <f>E11*0.00006</f>
        <v>1.8720000000000001</v>
      </c>
      <c r="H11" s="20">
        <f>E11*0.00001</f>
        <v>0.312</v>
      </c>
      <c r="I11" s="20">
        <f>(F11+G11+H11)*0.07</f>
        <v>4.5208800000000009</v>
      </c>
      <c r="J11" s="20">
        <f>E11+F11+I11+G11+H11</f>
        <v>31269.104880000003</v>
      </c>
    </row>
    <row r="12" spans="1:13" s="1" customFormat="1" ht="14.25">
      <c r="A12" s="56"/>
      <c r="B12" s="12">
        <f>(D11-D10)/D10</f>
        <v>-5.4545454545454543E-2</v>
      </c>
      <c r="C12" s="10">
        <f>SUM(C10:C11)</f>
        <v>7200</v>
      </c>
      <c r="D12" s="11">
        <f>E12/C12</f>
        <v>27.25</v>
      </c>
      <c r="E12" s="10">
        <f t="shared" ref="E12:J12" si="2">SUM(E10:E11)</f>
        <v>196200</v>
      </c>
      <c r="F12" s="10">
        <f t="shared" si="2"/>
        <v>392.4</v>
      </c>
      <c r="G12" s="10">
        <f t="shared" si="2"/>
        <v>11.772</v>
      </c>
      <c r="H12" s="10">
        <f t="shared" si="2"/>
        <v>1.9620000000000002</v>
      </c>
      <c r="I12" s="10">
        <f t="shared" si="2"/>
        <v>28.429380000000002</v>
      </c>
      <c r="J12" s="10">
        <f t="shared" si="2"/>
        <v>196634.56338000001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32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33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2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50" t="s">
        <v>35</v>
      </c>
    </row>
    <row r="2" spans="1:11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1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1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1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1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1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1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1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1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1" s="21" customFormat="1">
      <c r="A11" s="8">
        <v>44623</v>
      </c>
      <c r="B11" s="13" t="s">
        <v>1</v>
      </c>
      <c r="C11" s="10">
        <v>10000</v>
      </c>
      <c r="D11" s="46">
        <v>7.7</v>
      </c>
      <c r="E11" s="20">
        <f>C11*D11</f>
        <v>77000</v>
      </c>
      <c r="F11" s="20">
        <f>E11*0.002</f>
        <v>154</v>
      </c>
      <c r="G11" s="20">
        <f>E11*0.000068</f>
        <v>5.2359999999999998</v>
      </c>
      <c r="H11" s="20">
        <f>E11*0.00001</f>
        <v>0.77</v>
      </c>
      <c r="I11" s="20">
        <f>(F11+G11+H11)*0.07</f>
        <v>11.200420000000001</v>
      </c>
      <c r="J11" s="20">
        <f>E11+F11+I11+G11+H11</f>
        <v>77171.206420000002</v>
      </c>
    </row>
    <row r="12" spans="1:11" s="21" customFormat="1">
      <c r="A12" s="44"/>
      <c r="B12" s="74">
        <f>(D11-D10)/D10</f>
        <v>-0.13966480446927365</v>
      </c>
      <c r="C12" s="22">
        <f>C10+C11</f>
        <v>50000</v>
      </c>
      <c r="D12" s="33">
        <f>E12/C12</f>
        <v>8.6999999999999993</v>
      </c>
      <c r="E12" s="22">
        <f>E10+E11</f>
        <v>435000</v>
      </c>
      <c r="F12" s="22">
        <f>F10+F11</f>
        <v>870</v>
      </c>
      <c r="G12" s="22">
        <f>G10+G11</f>
        <v>28.852</v>
      </c>
      <c r="H12" s="22">
        <f>H10+H11</f>
        <v>4.3500000000000005</v>
      </c>
      <c r="I12" s="22">
        <f>I10+I11</f>
        <v>63.224140000000006</v>
      </c>
      <c r="J12" s="22">
        <f>J10+J11</f>
        <v>435966.42614</v>
      </c>
      <c r="K12" s="2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36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2023-01-21T10:18:01Z</dcterms:modified>
  <cp:category/>
  <cp:contentStatus/>
</cp:coreProperties>
</file>