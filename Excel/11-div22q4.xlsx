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701\AC\Temp\"/>
    </mc:Choice>
  </mc:AlternateContent>
  <xr:revisionPtr revIDLastSave="34" documentId="8_{B16C07FF-7D9A-49DB-9D95-96F12495ED08}" xr6:coauthVersionLast="47" xr6:coauthVersionMax="47" xr10:uidLastSave="{F453BF01-26C6-45E6-A623-D6668BA17122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<sst xmlns="http://schemas.openxmlformats.org/spreadsheetml/2006/main" count="36" uniqueCount="36">
  <si>
    <t>name</t>
  </si>
  <si>
    <t>qtrly</t>
  </si>
  <si>
    <t>shares</t>
  </si>
  <si>
    <t>amount</t>
  </si>
  <si>
    <t>net</t>
  </si>
  <si>
    <t>xdate</t>
  </si>
  <si>
    <t>paiddate</t>
  </si>
  <si>
    <t>cost_amt</t>
  </si>
  <si>
    <t>pct</t>
  </si>
  <si>
    <t>actual</t>
  </si>
  <si>
    <t>ASP</t>
  </si>
  <si>
    <t>BCH</t>
  </si>
  <si>
    <t>CPNREIT</t>
  </si>
  <si>
    <t>DCC</t>
  </si>
  <si>
    <t>DIF</t>
  </si>
  <si>
    <t>GVREIT</t>
  </si>
  <si>
    <t>IVL</t>
  </si>
  <si>
    <t>JASIF</t>
  </si>
  <si>
    <t>JMART</t>
  </si>
  <si>
    <t>KCE</t>
  </si>
  <si>
    <t>MAKRO</t>
  </si>
  <si>
    <t>MCS</t>
  </si>
  <si>
    <t>NER</t>
  </si>
  <si>
    <t>ORI</t>
  </si>
  <si>
    <t>PTTGC</t>
  </si>
  <si>
    <t>RCL</t>
  </si>
  <si>
    <t>SCC</t>
  </si>
  <si>
    <t>SCCC</t>
  </si>
  <si>
    <t>SENA</t>
  </si>
  <si>
    <t>SINGER</t>
  </si>
  <si>
    <t>STA</t>
  </si>
  <si>
    <t>SYNEX</t>
  </si>
  <si>
    <t>TFFIF</t>
  </si>
  <si>
    <t>TMT</t>
  </si>
  <si>
    <t>WHAIR</t>
  </si>
  <si>
    <t>WHART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</si>
</sst>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0.0000"/>
    <numFmt numFmtId="188" formatCode="&quot;฿&quot;#,##0.00"/>
    <numFmt numFmtId="189" formatCode="yyyy\-mm\-dd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87" fontId="0" fillId="0" borderId="0" xfId="0" applyNumberFormat="1"/>
    <xf numFmtId="3" fontId="0" fillId="0" borderId="0" xfId="0" applyNumberFormat="1"/>
    <xf numFmtId="188" fontId="0" fillId="0" borderId="0" xfId="0" applyNumberFormat="1"/>
    <xf numFmtId="189" fontId="0" fillId="0" borderId="0" xfId="0" applyNumberFormat="1"/>
    <xf numFmtId="0" fontId="18" fillId="0" borderId="0" xfId="0" applyFont="1"/>
    <xf numFmtId="187" fontId="18" fillId="0" borderId="0" xfId="0" applyNumberFormat="1" applyFont="1"/>
    <xf numFmtId="3" fontId="18" fillId="0" borderId="0" xfId="0" applyNumberFormat="1" applyFont="1"/>
    <xf numFmtId="188" fontId="18" fillId="0" borderId="0" xfId="0" applyNumberFormat="1" applyFont="1"/>
    <xf numFmtId="189" fontId="18" fillId="0" borderId="0" xfId="0" applyNumberFormat="1" applyFont="1"/>
    <xf numFmtId="0" fontId="19" fillId="0" borderId="0" xfId="0" applyFont="1"/>
    <xf numFmtId="187" fontId="19" fillId="0" borderId="0" xfId="0" applyNumberFormat="1" applyFont="1"/>
    <xf numFmtId="3" fontId="19" fillId="0" borderId="0" xfId="0" applyNumberFormat="1" applyFont="1"/>
    <xf numFmtId="188" fontId="19" fillId="0" borderId="0" xfId="0" applyNumberFormat="1" applyFont="1"/>
    <xf numFmtId="189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16" workbookViewId="0">
      <selection activeCell="C8" sqref="C8"/>
    </sheetView>
  </sheetViews>
  <sheetFormatPr defaultRowHeight="15"/>
  <cols>
    <col min="2" max="2" width="10.42578125" style="1" bestFit="1" customWidth="1"/>
    <col min="3" max="3" width="10.42578125" style="2" bestFit="1" customWidth="1"/>
    <col min="4" max="4" width="13.85546875" style="3" bestFit="1" customWidth="1"/>
    <col min="5" max="5" width="20" style="3" customWidth="1"/>
    <col min="6" max="7" width="14.140625" style="4" bestFit="1" customWidth="1"/>
    <col min="8" max="8" width="21" style="3" customWidth="1"/>
  </cols>
  <sheetData>
    <row r="1" spans="1:10" ht="18.75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8" t="s">
        <v>7</v>
      </c>
      <c r="I1" s="5" t="s">
        <v>8</v>
      </c>
      <c r="J1" s="5" t="s">
        <v>9</v>
      </c>
    </row>
    <row r="2" spans="1:10" ht="18.75">
      <c r="A2" s="5" t="s">
        <v>10</v>
      </c>
      <c r="B2" s="11">
        <v>0.2</v>
      </c>
      <c r="C2" s="12">
        <v>30000</v>
      </c>
      <c r="D2" s="13">
        <v>6000</v>
      </c>
      <c r="E2" s="13">
        <v>5400</v>
      </c>
      <c r="F2" s="14">
        <v>45162</v>
      </c>
      <c r="G2" s="14">
        <v>45178</v>
      </c>
      <c r="H2" s="13">
        <v>114000</v>
      </c>
      <c r="I2" s="10">
        <v>4.74</v>
      </c>
      <c r="J2" s="10">
        <v>0</v>
      </c>
    </row>
    <row r="3" spans="1:10" ht="18.75">
      <c r="A3" s="5" t="s">
        <v>11</v>
      </c>
      <c r="B3" s="11">
        <v>1</v>
      </c>
      <c r="C3" s="12">
        <v>15000</v>
      </c>
      <c r="D3" s="13">
        <v>15000</v>
      </c>
      <c r="E3" s="13">
        <v>13500</v>
      </c>
      <c r="F3" s="14">
        <v>45169</v>
      </c>
      <c r="G3" s="14">
        <v>45183</v>
      </c>
      <c r="H3" s="13">
        <v>321900</v>
      </c>
      <c r="I3" s="10">
        <v>4.1900000000000004</v>
      </c>
      <c r="J3" s="10">
        <v>0</v>
      </c>
    </row>
    <row r="4" spans="1:10" ht="18.75">
      <c r="A4" s="5" t="s">
        <v>12</v>
      </c>
      <c r="B4" s="11">
        <v>5.5199999999999999E-2</v>
      </c>
      <c r="C4" s="12">
        <v>20000</v>
      </c>
      <c r="D4" s="13">
        <v>1104</v>
      </c>
      <c r="E4" s="13">
        <v>993.6</v>
      </c>
      <c r="F4" s="14">
        <v>45246</v>
      </c>
      <c r="G4" s="14">
        <v>45262</v>
      </c>
      <c r="H4" s="13">
        <v>378000</v>
      </c>
      <c r="I4" s="10">
        <v>0.26</v>
      </c>
      <c r="J4" s="10">
        <v>0</v>
      </c>
    </row>
    <row r="5" spans="1:10" ht="18.75">
      <c r="A5" s="5" t="s">
        <v>13</v>
      </c>
      <c r="B5" s="11">
        <v>4.4999999999999998E-2</v>
      </c>
      <c r="C5" s="12">
        <v>60000</v>
      </c>
      <c r="D5" s="13">
        <v>2700</v>
      </c>
      <c r="E5" s="13">
        <v>2430</v>
      </c>
      <c r="F5" s="14">
        <v>45252</v>
      </c>
      <c r="G5" s="14">
        <v>45266</v>
      </c>
      <c r="H5" s="13">
        <v>177600</v>
      </c>
      <c r="I5" s="10">
        <v>1.37</v>
      </c>
      <c r="J5" s="10">
        <v>0</v>
      </c>
    </row>
    <row r="6" spans="1:10" ht="18.75">
      <c r="A6" s="5" t="s">
        <v>14</v>
      </c>
      <c r="B6" s="11">
        <v>0.26100000000000001</v>
      </c>
      <c r="C6" s="12">
        <v>40000</v>
      </c>
      <c r="D6" s="13">
        <v>10440</v>
      </c>
      <c r="E6" s="13">
        <v>9396</v>
      </c>
      <c r="F6" s="14">
        <v>45241</v>
      </c>
      <c r="G6" s="14">
        <v>45266</v>
      </c>
      <c r="H6" s="13">
        <v>588000</v>
      </c>
      <c r="I6" s="10">
        <v>1.6</v>
      </c>
      <c r="J6" s="10">
        <v>0</v>
      </c>
    </row>
    <row r="7" spans="1:10" ht="18.75">
      <c r="A7" s="5" t="s">
        <v>15</v>
      </c>
      <c r="B7" s="11">
        <v>0.19500000000000001</v>
      </c>
      <c r="C7" s="12">
        <v>40000</v>
      </c>
      <c r="D7" s="13">
        <v>3900</v>
      </c>
      <c r="E7" s="13">
        <v>3510</v>
      </c>
      <c r="F7" s="14">
        <v>45268</v>
      </c>
      <c r="G7" s="14">
        <v>45283</v>
      </c>
      <c r="H7" s="13">
        <v>178000</v>
      </c>
      <c r="I7" s="10">
        <v>1.97</v>
      </c>
      <c r="J7" s="10">
        <v>0</v>
      </c>
    </row>
    <row r="8" spans="1:10" ht="18.75">
      <c r="A8" s="5" t="s">
        <v>16</v>
      </c>
      <c r="B8" s="11">
        <v>0.25</v>
      </c>
      <c r="C8" s="12">
        <v>2400</v>
      </c>
      <c r="D8" s="13">
        <v>600</v>
      </c>
      <c r="E8" s="13">
        <v>540</v>
      </c>
      <c r="F8" s="14">
        <v>45259</v>
      </c>
      <c r="G8" s="14">
        <v>45275</v>
      </c>
      <c r="H8" s="13">
        <v>105600</v>
      </c>
      <c r="I8" s="10">
        <v>0.51</v>
      </c>
      <c r="J8" s="10">
        <v>0</v>
      </c>
    </row>
    <row r="9" spans="1:10" ht="18.75">
      <c r="A9" s="5" t="s">
        <v>17</v>
      </c>
      <c r="B9" s="11">
        <v>0.25</v>
      </c>
      <c r="C9" s="12">
        <v>130000</v>
      </c>
      <c r="D9" s="13">
        <v>32500</v>
      </c>
      <c r="E9" s="13">
        <v>29250</v>
      </c>
      <c r="F9" s="14">
        <v>45251</v>
      </c>
      <c r="G9" s="14">
        <v>45268</v>
      </c>
      <c r="H9" s="13">
        <v>1300000</v>
      </c>
      <c r="I9" s="10">
        <v>2.25</v>
      </c>
      <c r="J9" s="10">
        <v>0</v>
      </c>
    </row>
    <row r="10" spans="1:10" ht="18.75">
      <c r="A10" s="5" t="s">
        <v>18</v>
      </c>
      <c r="B10" s="11">
        <v>1.06</v>
      </c>
      <c r="C10" s="12">
        <v>0</v>
      </c>
      <c r="D10" s="13">
        <v>0</v>
      </c>
      <c r="E10" s="13">
        <v>0</v>
      </c>
      <c r="F10" s="14">
        <v>45035</v>
      </c>
      <c r="G10" s="14">
        <v>45052</v>
      </c>
      <c r="H10" s="13">
        <v>120000</v>
      </c>
      <c r="I10" s="10">
        <v>0</v>
      </c>
      <c r="J10" s="10">
        <v>0</v>
      </c>
    </row>
    <row r="11" spans="1:10" ht="18.75">
      <c r="A11" s="5" t="s">
        <v>19</v>
      </c>
      <c r="B11" s="11">
        <v>1</v>
      </c>
      <c r="C11" s="12">
        <v>14000</v>
      </c>
      <c r="D11" s="13">
        <v>14000</v>
      </c>
      <c r="E11" s="13">
        <v>12600</v>
      </c>
      <c r="F11" s="14">
        <v>45160</v>
      </c>
      <c r="G11" s="14">
        <v>45178</v>
      </c>
      <c r="H11" s="13">
        <v>1018500</v>
      </c>
      <c r="I11" s="10">
        <v>1.24</v>
      </c>
      <c r="J11" s="10">
        <v>0</v>
      </c>
    </row>
    <row r="12" spans="1:10" ht="18.75">
      <c r="A12" s="5" t="s">
        <v>20</v>
      </c>
      <c r="B12" s="11">
        <v>0.32</v>
      </c>
      <c r="C12" s="12">
        <v>7500</v>
      </c>
      <c r="D12" s="13">
        <v>2400</v>
      </c>
      <c r="E12" s="13">
        <v>2160</v>
      </c>
      <c r="F12" s="14">
        <v>45160</v>
      </c>
      <c r="G12" s="14">
        <v>45175</v>
      </c>
      <c r="H12" s="13">
        <v>303000</v>
      </c>
      <c r="I12" s="10">
        <v>0.71</v>
      </c>
      <c r="J12" s="10">
        <v>0</v>
      </c>
    </row>
    <row r="13" spans="1:10" ht="18.75">
      <c r="A13" s="5" t="s">
        <v>21</v>
      </c>
      <c r="B13" s="11">
        <v>0.5</v>
      </c>
      <c r="C13" s="12">
        <v>75000</v>
      </c>
      <c r="D13" s="13">
        <v>37500</v>
      </c>
      <c r="E13" s="13">
        <v>33750</v>
      </c>
      <c r="F13" s="14">
        <v>45172</v>
      </c>
      <c r="G13" s="14">
        <v>45184</v>
      </c>
      <c r="H13" s="13">
        <v>1155000</v>
      </c>
      <c r="I13" s="10">
        <v>2.92</v>
      </c>
      <c r="J13" s="10">
        <v>0</v>
      </c>
    </row>
    <row r="14" spans="1:10" ht="18.75">
      <c r="A14" s="5" t="s">
        <v>22</v>
      </c>
      <c r="B14" s="11">
        <v>0.36</v>
      </c>
      <c r="C14" s="12">
        <v>27000</v>
      </c>
      <c r="D14" s="13">
        <v>9720</v>
      </c>
      <c r="E14" s="13">
        <v>8748</v>
      </c>
      <c r="F14" s="14">
        <v>45161</v>
      </c>
      <c r="G14" s="14">
        <v>45176</v>
      </c>
      <c r="H14" s="13">
        <v>201150</v>
      </c>
      <c r="I14" s="10">
        <v>4.3499999999999996</v>
      </c>
      <c r="J14" s="10">
        <v>0</v>
      </c>
    </row>
    <row r="15" spans="1:10" ht="18.75">
      <c r="A15" s="5" t="s">
        <v>23</v>
      </c>
      <c r="B15" s="11">
        <v>0.42</v>
      </c>
      <c r="C15" s="12">
        <v>45000</v>
      </c>
      <c r="D15" s="13">
        <v>18900</v>
      </c>
      <c r="E15" s="13">
        <v>17010</v>
      </c>
      <c r="F15" s="14">
        <v>45268</v>
      </c>
      <c r="G15" s="14">
        <v>45283</v>
      </c>
      <c r="H15" s="13">
        <v>495000</v>
      </c>
      <c r="I15" s="10">
        <v>3.44</v>
      </c>
      <c r="J15" s="10">
        <v>0</v>
      </c>
    </row>
    <row r="16" spans="1:10" ht="18.75">
      <c r="A16" s="5" t="s">
        <v>24</v>
      </c>
      <c r="B16" s="11">
        <v>1.75</v>
      </c>
      <c r="C16" s="12">
        <v>9000</v>
      </c>
      <c r="D16" s="13">
        <v>15750</v>
      </c>
      <c r="E16" s="13">
        <v>14175</v>
      </c>
      <c r="F16" s="14">
        <v>45171</v>
      </c>
      <c r="G16" s="14">
        <v>45190</v>
      </c>
      <c r="H16" s="13">
        <v>551250</v>
      </c>
      <c r="I16" s="10">
        <v>2.57</v>
      </c>
      <c r="J16" s="10">
        <v>0</v>
      </c>
    </row>
    <row r="17" spans="1:10" ht="18.75">
      <c r="A17" s="5" t="s">
        <v>25</v>
      </c>
      <c r="B17" s="11">
        <v>3</v>
      </c>
      <c r="C17" s="12">
        <v>24000</v>
      </c>
      <c r="D17" s="13">
        <v>72000</v>
      </c>
      <c r="E17" s="13">
        <v>64800</v>
      </c>
      <c r="F17" s="14">
        <v>45254</v>
      </c>
      <c r="G17" s="14">
        <v>45269</v>
      </c>
      <c r="H17" s="13">
        <v>955200</v>
      </c>
      <c r="I17" s="10">
        <v>6.78</v>
      </c>
      <c r="J17" s="10">
        <v>0</v>
      </c>
    </row>
    <row r="18" spans="1:10" ht="18.75">
      <c r="A18" s="5" t="s">
        <v>26</v>
      </c>
      <c r="B18" s="11">
        <v>10</v>
      </c>
      <c r="C18" s="12">
        <v>600</v>
      </c>
      <c r="D18" s="13">
        <v>6000</v>
      </c>
      <c r="E18" s="13">
        <v>5400</v>
      </c>
      <c r="F18" s="14">
        <v>45148</v>
      </c>
      <c r="G18" s="14">
        <v>45164</v>
      </c>
      <c r="H18" s="13">
        <v>243000</v>
      </c>
      <c r="I18" s="10">
        <v>2.2200000000000002</v>
      </c>
      <c r="J18" s="10">
        <v>0</v>
      </c>
    </row>
    <row r="19" spans="1:10" ht="18.75">
      <c r="A19" s="5" t="s">
        <v>27</v>
      </c>
      <c r="B19" s="11">
        <v>9</v>
      </c>
      <c r="C19" s="12">
        <v>1200</v>
      </c>
      <c r="D19" s="13">
        <v>10800</v>
      </c>
      <c r="E19" s="13">
        <v>9720</v>
      </c>
      <c r="F19" s="14">
        <v>45151</v>
      </c>
      <c r="G19" s="14">
        <v>45166</v>
      </c>
      <c r="H19" s="13">
        <v>205200</v>
      </c>
      <c r="I19" s="10">
        <v>4.74</v>
      </c>
      <c r="J19" s="10">
        <v>0</v>
      </c>
    </row>
    <row r="20" spans="1:10" ht="18.75">
      <c r="A20" s="5" t="s">
        <v>28</v>
      </c>
      <c r="B20" s="11">
        <v>0.21149999999999999</v>
      </c>
      <c r="C20" s="12">
        <v>105000</v>
      </c>
      <c r="D20" s="13">
        <v>22207.5</v>
      </c>
      <c r="E20" s="13">
        <v>19986.75</v>
      </c>
      <c r="F20" s="14">
        <v>45163</v>
      </c>
      <c r="G20" s="14">
        <v>45178</v>
      </c>
      <c r="H20" s="13">
        <v>470400</v>
      </c>
      <c r="I20" s="10">
        <v>4.25</v>
      </c>
      <c r="J20" s="10">
        <v>0</v>
      </c>
    </row>
    <row r="21" spans="1:10" ht="18.75">
      <c r="A21" s="5" t="s">
        <v>29</v>
      </c>
      <c r="B21" s="11">
        <v>0.55000000000000004</v>
      </c>
      <c r="C21" s="12">
        <v>3600</v>
      </c>
      <c r="D21" s="13">
        <v>1980</v>
      </c>
      <c r="E21" s="13">
        <v>1782</v>
      </c>
      <c r="F21" s="14">
        <v>45411</v>
      </c>
      <c r="G21" s="14">
        <v>45434</v>
      </c>
      <c r="H21" s="13">
        <v>99000</v>
      </c>
      <c r="I21" s="10">
        <v>1.8</v>
      </c>
      <c r="J21" s="10">
        <v>0</v>
      </c>
    </row>
    <row r="22" spans="1:10" ht="18.75">
      <c r="A22" s="5" t="s">
        <v>30</v>
      </c>
      <c r="B22" s="11">
        <v>0.65</v>
      </c>
      <c r="C22" s="12">
        <v>15000</v>
      </c>
      <c r="D22" s="13">
        <v>9750</v>
      </c>
      <c r="E22" s="13">
        <v>8775</v>
      </c>
      <c r="F22" s="14">
        <v>45161</v>
      </c>
      <c r="G22" s="14">
        <v>45177</v>
      </c>
      <c r="H22" s="13">
        <v>547500</v>
      </c>
      <c r="I22" s="10">
        <v>1.6</v>
      </c>
      <c r="J22" s="10">
        <v>0</v>
      </c>
    </row>
    <row r="23" spans="1:10" ht="18.75">
      <c r="A23" s="5" t="s">
        <v>31</v>
      </c>
      <c r="B23" s="11">
        <v>0.52</v>
      </c>
      <c r="C23" s="12">
        <v>15000</v>
      </c>
      <c r="D23" s="13">
        <v>7800</v>
      </c>
      <c r="E23" s="13">
        <v>7020</v>
      </c>
      <c r="F23" s="14">
        <v>45160</v>
      </c>
      <c r="G23" s="14">
        <v>45174</v>
      </c>
      <c r="H23" s="13">
        <v>430500</v>
      </c>
      <c r="I23" s="10">
        <v>1.63</v>
      </c>
      <c r="J23" s="10">
        <v>0</v>
      </c>
    </row>
    <row r="24" spans="1:10" ht="18.75">
      <c r="A24" s="5" t="s">
        <v>32</v>
      </c>
      <c r="B24" s="11">
        <v>9.2799999999999994E-2</v>
      </c>
      <c r="C24" s="12">
        <v>10000</v>
      </c>
      <c r="D24" s="13">
        <v>928</v>
      </c>
      <c r="E24" s="13">
        <v>835.2</v>
      </c>
      <c r="F24" s="14">
        <v>45269</v>
      </c>
      <c r="G24" s="14">
        <v>45288</v>
      </c>
      <c r="H24" s="13">
        <v>75000</v>
      </c>
      <c r="I24" s="10">
        <v>1.1100000000000001</v>
      </c>
      <c r="J24" s="10">
        <v>0</v>
      </c>
    </row>
    <row r="25" spans="1:10" ht="18.75">
      <c r="A25" s="5" t="s">
        <v>33</v>
      </c>
      <c r="B25" s="11">
        <v>0.7</v>
      </c>
      <c r="C25" s="12">
        <v>36000</v>
      </c>
      <c r="D25" s="13">
        <v>25200</v>
      </c>
      <c r="E25" s="13">
        <v>22680</v>
      </c>
      <c r="F25" s="14">
        <v>45162</v>
      </c>
      <c r="G25" s="14">
        <v>45178</v>
      </c>
      <c r="H25" s="13">
        <v>367200</v>
      </c>
      <c r="I25" s="10">
        <v>6.18</v>
      </c>
      <c r="J25" s="10">
        <v>0</v>
      </c>
    </row>
    <row r="26" spans="1:10" ht="18.75">
      <c r="A26" s="5" t="s">
        <v>34</v>
      </c>
      <c r="B26" s="11">
        <v>0.17380000000000001</v>
      </c>
      <c r="C26" s="12">
        <v>40000</v>
      </c>
      <c r="D26" s="13">
        <v>6952</v>
      </c>
      <c r="E26" s="13">
        <v>6256.8</v>
      </c>
      <c r="F26" s="14">
        <v>45248</v>
      </c>
      <c r="G26" s="14">
        <v>45275</v>
      </c>
      <c r="H26" s="13">
        <v>358000</v>
      </c>
      <c r="I26" s="10">
        <v>1.75</v>
      </c>
      <c r="J26" s="10">
        <v>0</v>
      </c>
    </row>
    <row r="27" spans="1:10" ht="18.75">
      <c r="A27" s="5" t="s">
        <v>35</v>
      </c>
      <c r="B27" s="11">
        <v>0.1195</v>
      </c>
      <c r="C27" s="12">
        <v>30000</v>
      </c>
      <c r="D27" s="13">
        <v>3585</v>
      </c>
      <c r="E27" s="13">
        <v>3226.5</v>
      </c>
      <c r="F27" s="14">
        <v>45254</v>
      </c>
      <c r="G27" s="14">
        <v>45273</v>
      </c>
      <c r="H27" s="13">
        <v>351000</v>
      </c>
      <c r="I27" s="10">
        <v>0.92</v>
      </c>
      <c r="J27" s="10">
        <v>0</v>
      </c>
    </row>
    <row r="28" spans="1:10" ht="18.75">
      <c r="A28" s="10"/>
      <c r="B28" s="11"/>
      <c r="C28" s="12"/>
      <c r="D28" s="13"/>
      <c r="E28" s="13">
        <f>SUM(E2:E27)</f>
        <v>303944.84999999998</v>
      </c>
      <c r="F28" s="14"/>
      <c r="G28" s="14"/>
      <c r="H28" s="13"/>
      <c r="I28" s="10"/>
      <c r="J28" s="10"/>
    </row>
  </sheetData>
  <sortState xmlns:xlrd2="http://schemas.microsoft.com/office/spreadsheetml/2017/richdata2" ref="A2:J28">
    <sortCondition ref="A2:A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2023-01-05T08:08:51Z</dcterms:created>
  <dcterms:modified xsi:type="dcterms:W3CDTF">2023-01-18T03:46:17Z</dcterms:modified>
  <cp:category/>
  <cp:contentStatus/>
</cp:coreProperties>
</file>