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024"/>
  <workbookPr defaultThemeVersion="124226"/>
  <xr:revisionPtr revIDLastSave="6198" documentId="11_59254FB3F4AABE3ADC949A5AB88E13345563F2D4" xr6:coauthVersionLast="47" xr6:coauthVersionMax="47" xr10:uidLastSave="{6B36C6A1-2E97-42A2-9169-BE9150D033C2}"/>
  <bookViews>
    <workbookView xWindow="-12" yWindow="-12" windowWidth="8088" windowHeight="6408" xr2:uid="{00000000-000D-0000-FFFF-FFFF00000000}"/>
  </bookViews>
  <sheets>
    <sheet name="SCIB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78" i="1" l="1"/>
  <c r="F579" i="1" s="1"/>
  <c r="F577" i="1"/>
  <c r="D394" i="1"/>
  <c r="F3" i="1"/>
  <c r="F4" i="1" s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l="1"/>
  <c r="F36" i="1" s="1"/>
  <c r="F37" i="1" s="1"/>
  <c r="F38" i="1" s="1"/>
  <c r="F39" i="1" s="1"/>
  <c r="F40" i="1" s="1"/>
  <c r="F41" i="1" l="1"/>
  <c r="F42" i="1" l="1"/>
  <c r="F43" i="1" s="1"/>
  <c r="F44" i="1" s="1"/>
  <c r="F45" i="1" s="1"/>
  <c r="F46" i="1" s="1"/>
  <c r="F48" i="1" s="1"/>
  <c r="F49" i="1" s="1"/>
  <c r="F50" i="1" s="1"/>
  <c r="F51" i="1" s="1"/>
  <c r="F52" i="1" l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l="1"/>
  <c r="F64" i="1" l="1"/>
  <c r="F65" i="1" l="1"/>
  <c r="F66" i="1" l="1"/>
  <c r="F67" i="1" l="1"/>
  <c r="F68" i="1" l="1"/>
  <c r="F69" i="1" l="1"/>
  <c r="F70" i="1" l="1"/>
  <c r="F71" i="1" s="1"/>
  <c r="F72" i="1" s="1"/>
  <c r="F73" i="1" s="1"/>
  <c r="F74" i="1" s="1"/>
  <c r="F75" i="1" s="1"/>
  <c r="F76" i="1" l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l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l="1"/>
  <c r="F167" i="1" l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l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l="1"/>
  <c r="F234" i="1" s="1"/>
  <c r="F235" i="1" s="1"/>
  <c r="F236" i="1" s="1"/>
  <c r="F237" i="1" s="1"/>
  <c r="F238" i="1" s="1"/>
  <c r="F239" i="1" s="1"/>
  <c r="F240" i="1" s="1"/>
  <c r="F241" i="1" s="1"/>
  <c r="F242" i="1" s="1"/>
  <c r="F243" i="1" s="1"/>
  <c r="F244" i="1" s="1"/>
  <c r="F245" i="1" l="1"/>
  <c r="F246" i="1" s="1"/>
  <c r="F247" i="1" s="1"/>
  <c r="F248" i="1" s="1"/>
  <c r="F249" i="1" s="1"/>
  <c r="F250" i="1" s="1"/>
  <c r="F251" i="1" s="1"/>
  <c r="F252" i="1" s="1"/>
  <c r="F253" i="1" s="1"/>
  <c r="F254" i="1" l="1"/>
  <c r="F255" i="1" s="1"/>
  <c r="F256" i="1" l="1"/>
  <c r="F257" i="1" s="1"/>
  <c r="F258" i="1" s="1"/>
  <c r="F259" i="1" s="1"/>
  <c r="F260" i="1" s="1"/>
  <c r="F261" i="1" l="1"/>
  <c r="F262" i="1" s="1"/>
  <c r="F263" i="1" s="1"/>
  <c r="F264" i="1" s="1"/>
  <c r="F265" i="1" s="1"/>
  <c r="F266" i="1" s="1"/>
  <c r="F267" i="1" l="1"/>
  <c r="F268" i="1" s="1"/>
  <c r="F269" i="1" s="1"/>
  <c r="F270" i="1" s="1"/>
  <c r="F271" i="1" s="1"/>
  <c r="F272" i="1" l="1"/>
  <c r="F273" i="1" s="1"/>
  <c r="F274" i="1" s="1"/>
  <c r="F275" i="1" s="1"/>
  <c r="F276" i="1" s="1"/>
  <c r="F277" i="1" s="1"/>
  <c r="F278" i="1" s="1"/>
  <c r="F279" i="1" s="1"/>
  <c r="F280" i="1" s="1"/>
  <c r="F281" i="1" s="1"/>
  <c r="F282" i="1" s="1"/>
  <c r="F283" i="1" s="1"/>
  <c r="F284" i="1" l="1"/>
  <c r="F285" i="1" s="1"/>
  <c r="F286" i="1" s="1"/>
  <c r="F287" i="1" s="1"/>
  <c r="F288" i="1" s="1"/>
  <c r="F289" i="1" s="1"/>
  <c r="F290" i="1" s="1"/>
  <c r="F291" i="1" s="1"/>
  <c r="F292" i="1" s="1"/>
  <c r="F293" i="1" s="1"/>
  <c r="F294" i="1" s="1"/>
  <c r="F295" i="1" s="1"/>
  <c r="F296" i="1" s="1"/>
  <c r="F297" i="1" s="1"/>
  <c r="F298" i="1" s="1"/>
  <c r="F299" i="1" s="1"/>
  <c r="F300" i="1" s="1"/>
  <c r="F301" i="1" l="1"/>
  <c r="F302" i="1" s="1"/>
  <c r="F303" i="1" s="1"/>
  <c r="F304" i="1" s="1"/>
  <c r="F305" i="1" s="1"/>
  <c r="F306" i="1" s="1"/>
  <c r="F307" i="1" s="1"/>
  <c r="F308" i="1" l="1"/>
  <c r="F309" i="1" s="1"/>
  <c r="F310" i="1" s="1"/>
  <c r="F311" i="1" s="1"/>
  <c r="F312" i="1" s="1"/>
  <c r="F313" i="1" s="1"/>
  <c r="F314" i="1" s="1"/>
  <c r="F315" i="1" s="1"/>
  <c r="F316" i="1" s="1"/>
  <c r="F317" i="1" s="1"/>
  <c r="F318" i="1" l="1"/>
  <c r="F319" i="1" s="1"/>
  <c r="F320" i="1" s="1"/>
  <c r="F321" i="1" s="1"/>
  <c r="F322" i="1" s="1"/>
  <c r="F323" i="1" s="1"/>
  <c r="F324" i="1" s="1"/>
  <c r="F325" i="1" s="1"/>
  <c r="F326" i="1" s="1"/>
  <c r="F327" i="1" l="1"/>
  <c r="F328" i="1" s="1"/>
  <c r="F329" i="1" s="1"/>
  <c r="F330" i="1" s="1"/>
  <c r="F331" i="1" s="1"/>
  <c r="F332" i="1" s="1"/>
  <c r="F333" i="1" s="1"/>
  <c r="F334" i="1" s="1"/>
  <c r="F335" i="1" s="1"/>
  <c r="F336" i="1" s="1"/>
  <c r="F337" i="1" s="1"/>
  <c r="F338" i="1" s="1"/>
  <c r="F339" i="1" s="1"/>
  <c r="F340" i="1" l="1"/>
  <c r="F341" i="1" s="1"/>
  <c r="F342" i="1" s="1"/>
  <c r="F343" i="1" s="1"/>
  <c r="F344" i="1" s="1"/>
  <c r="F345" i="1" s="1"/>
  <c r="F346" i="1" s="1"/>
  <c r="F347" i="1" s="1"/>
  <c r="F348" i="1" s="1"/>
  <c r="F349" i="1" s="1"/>
  <c r="F350" i="1" s="1"/>
  <c r="F351" i="1" s="1"/>
  <c r="F352" i="1" s="1"/>
  <c r="F353" i="1" s="1"/>
  <c r="F354" i="1" s="1"/>
  <c r="F355" i="1" s="1"/>
  <c r="F356" i="1" s="1"/>
  <c r="F357" i="1" s="1"/>
  <c r="F358" i="1" s="1"/>
  <c r="F359" i="1" s="1"/>
  <c r="F360" i="1" s="1"/>
  <c r="F361" i="1" l="1"/>
  <c r="F362" i="1" s="1"/>
  <c r="F363" i="1" s="1"/>
  <c r="F364" i="1" s="1"/>
  <c r="F365" i="1" s="1"/>
  <c r="F366" i="1" s="1"/>
  <c r="F367" i="1" s="1"/>
  <c r="F368" i="1" l="1"/>
  <c r="F369" i="1" s="1"/>
  <c r="F370" i="1" s="1"/>
  <c r="F371" i="1" s="1"/>
  <c r="F372" i="1" s="1"/>
  <c r="F373" i="1" s="1"/>
  <c r="F374" i="1" s="1"/>
  <c r="F375" i="1" s="1"/>
  <c r="F376" i="1" s="1"/>
  <c r="F377" i="1" l="1"/>
  <c r="F378" i="1" s="1"/>
  <c r="F379" i="1" s="1"/>
  <c r="F380" i="1" s="1"/>
  <c r="F381" i="1" s="1"/>
  <c r="F382" i="1" s="1"/>
  <c r="F383" i="1" s="1"/>
  <c r="F384" i="1" s="1"/>
  <c r="F385" i="1" s="1"/>
  <c r="F386" i="1" s="1"/>
  <c r="F387" i="1" l="1"/>
  <c r="F388" i="1" s="1"/>
  <c r="F389" i="1" s="1"/>
  <c r="F390" i="1" s="1"/>
  <c r="F391" i="1" s="1"/>
  <c r="F392" i="1" s="1"/>
  <c r="F393" i="1" s="1"/>
  <c r="F394" i="1" s="1"/>
  <c r="F395" i="1" s="1"/>
  <c r="F396" i="1" s="1"/>
  <c r="F397" i="1" s="1"/>
  <c r="F398" i="1" s="1"/>
  <c r="F399" i="1" s="1"/>
  <c r="F400" i="1" s="1"/>
  <c r="F401" i="1" s="1"/>
  <c r="F402" i="1" l="1"/>
  <c r="F403" i="1" s="1"/>
  <c r="F404" i="1" s="1"/>
  <c r="F405" i="1" s="1"/>
  <c r="F406" i="1" s="1"/>
  <c r="F407" i="1" s="1"/>
  <c r="F408" i="1" s="1"/>
  <c r="F409" i="1" s="1"/>
  <c r="F410" i="1" s="1"/>
  <c r="F411" i="1" s="1"/>
  <c r="F412" i="1" s="1"/>
  <c r="F413" i="1" s="1"/>
  <c r="F414" i="1" s="1"/>
  <c r="F415" i="1" s="1"/>
  <c r="F416" i="1" s="1"/>
  <c r="F417" i="1" s="1"/>
  <c r="F418" i="1" s="1"/>
  <c r="F419" i="1" s="1"/>
  <c r="F420" i="1" s="1"/>
  <c r="F421" i="1" s="1"/>
  <c r="F422" i="1" s="1"/>
  <c r="F423" i="1" s="1"/>
  <c r="F424" i="1" s="1"/>
  <c r="F425" i="1" s="1"/>
  <c r="F426" i="1" s="1"/>
  <c r="F427" i="1" s="1"/>
  <c r="F428" i="1" s="1"/>
  <c r="F429" i="1" s="1"/>
  <c r="F430" i="1" s="1"/>
  <c r="F431" i="1" s="1"/>
  <c r="F432" i="1" s="1"/>
  <c r="F433" i="1" s="1"/>
  <c r="F434" i="1" s="1"/>
  <c r="F435" i="1" s="1"/>
  <c r="F436" i="1" s="1"/>
  <c r="F437" i="1" s="1"/>
  <c r="F438" i="1" s="1"/>
  <c r="F439" i="1" s="1"/>
  <c r="F440" i="1" s="1"/>
  <c r="F441" i="1" s="1"/>
  <c r="F442" i="1" s="1"/>
  <c r="F443" i="1" s="1"/>
  <c r="F444" i="1" s="1"/>
  <c r="F445" i="1" s="1"/>
  <c r="F446" i="1" s="1"/>
  <c r="F447" i="1" l="1"/>
  <c r="F448" i="1" s="1"/>
  <c r="F449" i="1" s="1"/>
  <c r="F450" i="1" s="1"/>
  <c r="F451" i="1" s="1"/>
  <c r="F452" i="1" s="1"/>
  <c r="F453" i="1" s="1"/>
  <c r="F454" i="1" s="1"/>
  <c r="F455" i="1" s="1"/>
  <c r="F456" i="1" l="1"/>
  <c r="F457" i="1" s="1"/>
  <c r="F458" i="1" s="1"/>
  <c r="F459" i="1" s="1"/>
  <c r="F460" i="1" l="1"/>
  <c r="F461" i="1" s="1"/>
  <c r="F462" i="1" s="1"/>
  <c r="F463" i="1" s="1"/>
  <c r="F464" i="1" l="1"/>
  <c r="F465" i="1" s="1"/>
  <c r="F466" i="1" s="1"/>
  <c r="F467" i="1" s="1"/>
  <c r="F468" i="1" s="1"/>
  <c r="F469" i="1" s="1"/>
  <c r="F470" i="1" s="1"/>
  <c r="F471" i="1" s="1"/>
  <c r="F472" i="1" s="1"/>
  <c r="F473" i="1" s="1"/>
  <c r="F474" i="1" s="1"/>
  <c r="F475" i="1" s="1"/>
  <c r="F476" i="1" s="1"/>
  <c r="F477" i="1" s="1"/>
  <c r="F478" i="1" s="1"/>
  <c r="F479" i="1" s="1"/>
  <c r="F480" i="1" s="1"/>
  <c r="F481" i="1" s="1"/>
  <c r="F482" i="1" s="1"/>
  <c r="F483" i="1" s="1"/>
  <c r="F484" i="1" s="1"/>
  <c r="F485" i="1" s="1"/>
  <c r="F486" i="1" s="1"/>
  <c r="F487" i="1" s="1"/>
  <c r="F488" i="1" s="1"/>
  <c r="F489" i="1" s="1"/>
  <c r="F490" i="1" s="1"/>
  <c r="F491" i="1" s="1"/>
  <c r="F492" i="1" s="1"/>
  <c r="F493" i="1" s="1"/>
  <c r="F494" i="1" l="1"/>
  <c r="F495" i="1" s="1"/>
  <c r="F496" i="1" s="1"/>
  <c r="F497" i="1" s="1"/>
  <c r="F498" i="1" s="1"/>
  <c r="F499" i="1" s="1"/>
  <c r="F500" i="1" s="1"/>
  <c r="F501" i="1" s="1"/>
  <c r="F502" i="1" s="1"/>
  <c r="F503" i="1" s="1"/>
  <c r="F504" i="1" s="1"/>
  <c r="F505" i="1" s="1"/>
  <c r="F506" i="1" s="1"/>
  <c r="F507" i="1" l="1"/>
  <c r="F508" i="1" l="1"/>
  <c r="F509" i="1" s="1"/>
  <c r="F510" i="1" s="1"/>
  <c r="F511" i="1" s="1"/>
  <c r="F512" i="1" s="1"/>
  <c r="F513" i="1" l="1"/>
  <c r="F514" i="1" s="1"/>
  <c r="F515" i="1" s="1"/>
  <c r="F516" i="1" s="1"/>
  <c r="F517" i="1" s="1"/>
  <c r="F518" i="1" s="1"/>
  <c r="F519" i="1" s="1"/>
  <c r="F520" i="1" s="1"/>
  <c r="F521" i="1" l="1"/>
  <c r="F522" i="1" s="1"/>
  <c r="F523" i="1" l="1"/>
  <c r="F524" i="1" s="1"/>
  <c r="F525" i="1" s="1"/>
  <c r="F526" i="1" s="1"/>
  <c r="F527" i="1" s="1"/>
  <c r="F528" i="1" s="1"/>
  <c r="F529" i="1" s="1"/>
  <c r="F530" i="1" s="1"/>
  <c r="F531" i="1" s="1"/>
  <c r="F532" i="1" s="1"/>
  <c r="F533" i="1" s="1"/>
  <c r="F534" i="1" s="1"/>
  <c r="F535" i="1" l="1"/>
  <c r="F536" i="1" s="1"/>
  <c r="F537" i="1" s="1"/>
  <c r="F538" i="1" s="1"/>
  <c r="F539" i="1" s="1"/>
  <c r="F540" i="1" s="1"/>
  <c r="F541" i="1" l="1"/>
  <c r="F542" i="1" s="1"/>
  <c r="F543" i="1" s="1"/>
  <c r="F544" i="1" s="1"/>
  <c r="F545" i="1" s="1"/>
  <c r="F546" i="1" s="1"/>
  <c r="F547" i="1" s="1"/>
  <c r="F548" i="1" s="1"/>
  <c r="F549" i="1" s="1"/>
  <c r="F550" i="1" s="1"/>
  <c r="F551" i="1" s="1"/>
  <c r="F552" i="1" s="1"/>
  <c r="F553" i="1" s="1"/>
  <c r="F554" i="1" s="1"/>
  <c r="F555" i="1" s="1"/>
  <c r="F556" i="1" s="1"/>
  <c r="F557" i="1" l="1"/>
  <c r="F558" i="1" s="1"/>
  <c r="F559" i="1" s="1"/>
  <c r="F560" i="1" s="1"/>
  <c r="F561" i="1" s="1"/>
  <c r="F562" i="1" s="1"/>
  <c r="F563" i="1" l="1"/>
  <c r="F564" i="1" s="1"/>
  <c r="F565" i="1" s="1"/>
  <c r="F566" i="1" s="1"/>
  <c r="F567" i="1" s="1"/>
  <c r="F568" i="1" s="1"/>
  <c r="F569" i="1" s="1"/>
  <c r="F570" i="1" s="1"/>
  <c r="F571" i="1" l="1"/>
  <c r="F572" i="1" s="1"/>
  <c r="F573" i="1" s="1"/>
  <c r="F574" i="1" s="1"/>
  <c r="F575" i="1" s="1"/>
  <c r="F576" i="1" l="1"/>
</calcChain>
</file>

<file path=xl/sharedStrings.xml><?xml version="1.0" encoding="utf-8"?>
<sst xmlns="http://schemas.openxmlformats.org/spreadsheetml/2006/main" count="730" uniqueCount="130">
  <si>
    <t>Transact</t>
  </si>
  <si>
    <t>Effective</t>
  </si>
  <si>
    <t>Item</t>
  </si>
  <si>
    <t>Debit</t>
  </si>
  <si>
    <t>Credit</t>
  </si>
  <si>
    <t>Balance</t>
  </si>
  <si>
    <t>KCE</t>
  </si>
  <si>
    <t>SINGER</t>
  </si>
  <si>
    <t>KBANK</t>
  </si>
  <si>
    <t>NOBLE</t>
  </si>
  <si>
    <t>PTT</t>
  </si>
  <si>
    <t>FEE</t>
  </si>
  <si>
    <t xml:space="preserve"> </t>
  </si>
  <si>
    <t>ATM</t>
  </si>
  <si>
    <t>TSTH</t>
  </si>
  <si>
    <t>CKP</t>
  </si>
  <si>
    <t>DCC-DIV</t>
  </si>
  <si>
    <t>CPNCG-DIV</t>
  </si>
  <si>
    <t>RCL-DIV</t>
  </si>
  <si>
    <t>DIF-DIV</t>
  </si>
  <si>
    <t>EGATIF</t>
  </si>
  <si>
    <t>MBKET</t>
  </si>
  <si>
    <t>CPNCG</t>
  </si>
  <si>
    <t>BGRIM</t>
  </si>
  <si>
    <t>RJH-DIV</t>
  </si>
  <si>
    <t>SIS</t>
  </si>
  <si>
    <t>POPF</t>
  </si>
  <si>
    <t>STA-DIV</t>
  </si>
  <si>
    <t>JASIF-DIV</t>
  </si>
  <si>
    <t>EPG-DIV</t>
  </si>
  <si>
    <t>SYNEX</t>
  </si>
  <si>
    <t>MCS-DIV</t>
  </si>
  <si>
    <t>IVL-DIV</t>
  </si>
  <si>
    <t>BCH</t>
  </si>
  <si>
    <t>IMH</t>
  </si>
  <si>
    <t>PTTGC</t>
  </si>
  <si>
    <t>RCL</t>
  </si>
  <si>
    <t>STA</t>
  </si>
  <si>
    <t xml:space="preserve">LH </t>
  </si>
  <si>
    <t>SSF</t>
  </si>
  <si>
    <t>HREIT</t>
  </si>
  <si>
    <t>EGATIF-DIV</t>
  </si>
  <si>
    <t>IVL</t>
  </si>
  <si>
    <t>SAT</t>
  </si>
  <si>
    <t xml:space="preserve">HREIT </t>
  </si>
  <si>
    <t>SENA</t>
  </si>
  <si>
    <t>HREIT-DIV</t>
  </si>
  <si>
    <t xml:space="preserve">IP </t>
  </si>
  <si>
    <t>RJH</t>
  </si>
  <si>
    <t>LH</t>
  </si>
  <si>
    <t xml:space="preserve">MCS </t>
  </si>
  <si>
    <t>RATCH</t>
  </si>
  <si>
    <t>VNT</t>
  </si>
  <si>
    <t>WHART</t>
  </si>
  <si>
    <t>DOHOME</t>
  </si>
  <si>
    <t>DCC</t>
  </si>
  <si>
    <t>EPG</t>
  </si>
  <si>
    <t>LPF</t>
  </si>
  <si>
    <t>SCC</t>
  </si>
  <si>
    <t>TSE</t>
  </si>
  <si>
    <t>TOP</t>
  </si>
  <si>
    <t>GLOBAL</t>
  </si>
  <si>
    <t>MCS</t>
  </si>
  <si>
    <t>Credit Card</t>
  </si>
  <si>
    <t>NER</t>
  </si>
  <si>
    <t>IP</t>
  </si>
  <si>
    <t>Adjust</t>
  </si>
  <si>
    <t>LPF-DIV</t>
  </si>
  <si>
    <t>MEGA</t>
  </si>
  <si>
    <t>DIF</t>
  </si>
  <si>
    <t>TISCO</t>
  </si>
  <si>
    <t>KRATCH</t>
  </si>
  <si>
    <t>SPALI</t>
  </si>
  <si>
    <t>TU</t>
  </si>
  <si>
    <t>SCCC</t>
  </si>
  <si>
    <t>SNC</t>
  </si>
  <si>
    <t>MAKRO</t>
  </si>
  <si>
    <t xml:space="preserve">TV </t>
  </si>
  <si>
    <t>Vehicle Ins</t>
  </si>
  <si>
    <t>TYCN</t>
  </si>
  <si>
    <t>JASIF</t>
  </si>
  <si>
    <t>TPIPL</t>
  </si>
  <si>
    <t>ASP</t>
  </si>
  <si>
    <t>TAX REFUND</t>
  </si>
  <si>
    <t>SMS Alert</t>
  </si>
  <si>
    <t>AIMIRT</t>
  </si>
  <si>
    <t>WHART-DIV</t>
  </si>
  <si>
    <t>AIMIRT-DIV</t>
  </si>
  <si>
    <t>SCCC-DIV</t>
  </si>
  <si>
    <t>ORI</t>
  </si>
  <si>
    <t>True Vision</t>
  </si>
  <si>
    <t>MEGA-DIV</t>
  </si>
  <si>
    <t>PTTGC-DIV</t>
  </si>
  <si>
    <t>SCC-DIV</t>
  </si>
  <si>
    <t>SNC-DIV</t>
  </si>
  <si>
    <t>PTT-DIV</t>
  </si>
  <si>
    <t>SYNEX-DIV</t>
  </si>
  <si>
    <t>NER-DIV</t>
  </si>
  <si>
    <t>TMT-DIV</t>
  </si>
  <si>
    <t>KCE-DIV</t>
  </si>
  <si>
    <t>SPALI-DIV</t>
  </si>
  <si>
    <t>SIS-DIV</t>
  </si>
  <si>
    <t>TPIPL-DIV</t>
  </si>
  <si>
    <t>ASP-DIV</t>
  </si>
  <si>
    <t>MAKRO-DIV</t>
  </si>
  <si>
    <t>TISCO-DIV</t>
  </si>
  <si>
    <t>RATCH-DIV</t>
  </si>
  <si>
    <t>ORI-DIV</t>
  </si>
  <si>
    <t>BCH-DIV</t>
  </si>
  <si>
    <t>SENA-DIV</t>
  </si>
  <si>
    <t>BDMS</t>
  </si>
  <si>
    <t>TTB</t>
  </si>
  <si>
    <t>TMT</t>
  </si>
  <si>
    <t>WHAIR-DIV</t>
  </si>
  <si>
    <t>PTTEP</t>
  </si>
  <si>
    <t>Plum</t>
  </si>
  <si>
    <t>VNG</t>
  </si>
  <si>
    <t>CPNREIT</t>
  </si>
  <si>
    <t>PTTEP-DIV</t>
  </si>
  <si>
    <t>GVREIT</t>
  </si>
  <si>
    <t>CPNREIT-DIV</t>
  </si>
  <si>
    <t>VNG-DIV</t>
  </si>
  <si>
    <t>BANPU</t>
  </si>
  <si>
    <t>GVREIT-DIV</t>
  </si>
  <si>
    <t>???</t>
  </si>
  <si>
    <t xml:space="preserve">SCC </t>
  </si>
  <si>
    <t>BH</t>
  </si>
  <si>
    <t>TFFIF</t>
  </si>
  <si>
    <t>JMART</t>
  </si>
  <si>
    <t>GFPT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</si>
</sst>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87" formatCode="yyyy\-mm\-dd"/>
    <numFmt numFmtId="188" formatCode="\฿#,##0.00"/>
    <numFmt numFmtId="189" formatCode="&quot;฿&quot;#,##0.00"/>
  </numFmts>
  <fonts count="16">
    <font>
      <sz val="14"/>
      <color rgb="FF000000"/>
      <name val="Cordia New"/>
    </font>
    <font>
      <b/>
      <sz val="11"/>
      <color rgb="FF000000"/>
      <name val="Calibri"/>
    </font>
    <font>
      <sz val="11"/>
      <color rgb="FF000000"/>
      <name val="Calibri"/>
    </font>
    <font>
      <sz val="11"/>
      <color rgb="FF000000"/>
      <name val="Cordia New"/>
    </font>
    <font>
      <sz val="11"/>
      <name val="Calibri"/>
      <family val="2"/>
    </font>
    <font>
      <sz val="11"/>
      <color rgb="FF000000"/>
      <name val="Helvetica Neue"/>
      <charset val="1"/>
    </font>
    <font>
      <sz val="11"/>
      <color rgb="FF333333"/>
      <name val="Calibri"/>
    </font>
    <font>
      <sz val="11"/>
      <name val="Calibri"/>
    </font>
    <font>
      <b/>
      <sz val="11"/>
      <name val="Calibri"/>
      <family val="2"/>
    </font>
    <font>
      <b/>
      <sz val="11"/>
      <color rgb="FF000000"/>
      <name val="Helvetica Neue"/>
      <charset val="1"/>
    </font>
    <font>
      <b/>
      <sz val="11"/>
      <color rgb="FF333333"/>
      <name val="Calibri"/>
    </font>
    <font>
      <b/>
      <sz val="11"/>
      <name val="Calibri"/>
    </font>
    <font>
      <sz val="11"/>
      <color rgb="FFFF0000"/>
      <name val="Calibri"/>
      <family val="2"/>
    </font>
    <font>
      <sz val="11"/>
      <color rgb="FFFF0000"/>
      <name val="Helvetica Neue"/>
      <charset val="1"/>
    </font>
    <font>
      <sz val="11"/>
      <color rgb="FFFF0000"/>
      <name val="Calibri"/>
    </font>
    <font>
      <sz val="11"/>
      <color rgb="FF000000"/>
      <name val="Cordia Ne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189" fontId="1" fillId="0" borderId="0" xfId="0" applyNumberFormat="1" applyFont="1"/>
    <xf numFmtId="0" fontId="2" fillId="0" borderId="0" xfId="0" applyFont="1"/>
    <xf numFmtId="0" fontId="3" fillId="0" borderId="0" xfId="0" applyFont="1"/>
    <xf numFmtId="187" fontId="4" fillId="0" borderId="0" xfId="0" applyNumberFormat="1" applyFont="1"/>
    <xf numFmtId="0" fontId="5" fillId="0" borderId="0" xfId="0" applyFont="1"/>
    <xf numFmtId="189" fontId="6" fillId="0" borderId="0" xfId="0" applyNumberFormat="1" applyFont="1" applyAlignment="1">
      <alignment wrapText="1"/>
    </xf>
    <xf numFmtId="189" fontId="2" fillId="0" borderId="0" xfId="0" applyNumberFormat="1" applyFont="1"/>
    <xf numFmtId="188" fontId="7" fillId="0" borderId="0" xfId="0" applyNumberFormat="1" applyFont="1"/>
    <xf numFmtId="189" fontId="4" fillId="0" borderId="0" xfId="0" applyNumberFormat="1" applyFont="1"/>
    <xf numFmtId="0" fontId="4" fillId="0" borderId="0" xfId="0" applyFont="1"/>
    <xf numFmtId="189" fontId="6" fillId="0" borderId="0" xfId="0" applyNumberFormat="1" applyFont="1"/>
    <xf numFmtId="4" fontId="4" fillId="0" borderId="0" xfId="0" applyNumberFormat="1" applyFont="1"/>
    <xf numFmtId="4" fontId="8" fillId="0" borderId="0" xfId="0" applyNumberFormat="1" applyFont="1"/>
    <xf numFmtId="189" fontId="8" fillId="0" borderId="0" xfId="0" applyNumberFormat="1" applyFont="1"/>
    <xf numFmtId="4" fontId="6" fillId="0" borderId="0" xfId="0" applyNumberFormat="1" applyFont="1"/>
    <xf numFmtId="0" fontId="8" fillId="0" borderId="0" xfId="0" applyFont="1"/>
    <xf numFmtId="187" fontId="8" fillId="0" borderId="0" xfId="0" applyNumberFormat="1" applyFont="1"/>
    <xf numFmtId="0" fontId="9" fillId="0" borderId="0" xfId="0" applyFont="1"/>
    <xf numFmtId="189" fontId="10" fillId="0" borderId="0" xfId="0" applyNumberFormat="1" applyFont="1" applyAlignment="1">
      <alignment wrapText="1"/>
    </xf>
    <xf numFmtId="188" fontId="11" fillId="0" borderId="0" xfId="0" applyNumberFormat="1" applyFont="1"/>
    <xf numFmtId="4" fontId="10" fillId="0" borderId="0" xfId="0" applyNumberFormat="1" applyFont="1"/>
    <xf numFmtId="187" fontId="12" fillId="0" borderId="0" xfId="0" applyNumberFormat="1" applyFont="1"/>
    <xf numFmtId="0" fontId="13" fillId="0" borderId="0" xfId="0" applyFont="1"/>
    <xf numFmtId="189" fontId="14" fillId="0" borderId="0" xfId="0" applyNumberFormat="1" applyFont="1" applyAlignment="1">
      <alignment wrapText="1"/>
    </xf>
    <xf numFmtId="189" fontId="14" fillId="0" borderId="0" xfId="0" applyNumberFormat="1" applyFont="1"/>
    <xf numFmtId="0" fontId="1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79"/>
  <sheetViews>
    <sheetView tabSelected="1" workbookViewId="0">
      <pane ySplit="2" topLeftCell="A565" activePane="bottomLeft" state="frozen"/>
      <selection pane="bottomLeft" activeCell="A579" sqref="A579:B579"/>
    </sheetView>
  </sheetViews>
  <sheetFormatPr defaultColWidth="10.140625" defaultRowHeight="15" customHeight="1"/>
  <cols>
    <col min="1" max="2" width="11.42578125" style="4" customWidth="1"/>
    <col min="3" max="3" width="14.42578125" style="27" bestFit="1" customWidth="1"/>
    <col min="4" max="4" width="12.7109375" style="8" customWidth="1"/>
    <col min="5" max="5" width="14.28515625" style="8" bestFit="1" customWidth="1"/>
    <col min="6" max="6" width="14.140625" style="3" customWidth="1"/>
    <col min="7" max="7" width="12" style="4" bestFit="1" customWidth="1"/>
    <col min="8" max="8" width="8" style="4" customWidth="1"/>
    <col min="9" max="13" width="10.140625" style="4"/>
    <col min="14" max="14" width="10.28515625" style="4" bestFit="1" customWidth="1"/>
    <col min="15" max="16384" width="10.140625" style="4"/>
  </cols>
  <sheetData>
    <row r="1" spans="1:8" ht="1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3" t="s">
        <v>5</v>
      </c>
    </row>
    <row r="2" spans="1:8" ht="15" customHeight="1">
      <c r="A2" s="5">
        <v>44529</v>
      </c>
      <c r="B2" s="5">
        <v>44531</v>
      </c>
      <c r="C2" s="6" t="s">
        <v>6</v>
      </c>
      <c r="D2" s="7">
        <v>0</v>
      </c>
      <c r="E2" s="8">
        <v>90798.44</v>
      </c>
      <c r="F2" s="9">
        <v>704818.14084000327</v>
      </c>
      <c r="G2" s="10"/>
      <c r="H2" s="11"/>
    </row>
    <row r="3" spans="1:8" ht="15" customHeight="1">
      <c r="A3" s="5">
        <v>44529</v>
      </c>
      <c r="B3" s="5">
        <v>44531</v>
      </c>
      <c r="C3" s="6" t="s">
        <v>7</v>
      </c>
      <c r="D3" s="7">
        <v>0</v>
      </c>
      <c r="E3" s="8">
        <v>47893.68</v>
      </c>
      <c r="F3" s="9">
        <f t="shared" ref="F3:F7" si="0">F2-D3+E3</f>
        <v>752711.82084000332</v>
      </c>
      <c r="G3" s="10"/>
      <c r="H3" s="11"/>
    </row>
    <row r="4" spans="1:8" ht="15" customHeight="1">
      <c r="A4" s="5">
        <v>44529</v>
      </c>
      <c r="B4" s="5">
        <v>44531</v>
      </c>
      <c r="C4" s="6" t="s">
        <v>8</v>
      </c>
      <c r="D4" s="7">
        <v>168372.1</v>
      </c>
      <c r="E4" s="8">
        <v>0</v>
      </c>
      <c r="F4" s="9">
        <f t="shared" si="0"/>
        <v>584339.72084000334</v>
      </c>
      <c r="G4" s="10"/>
      <c r="H4" s="11"/>
    </row>
    <row r="5" spans="1:8" ht="15" customHeight="1">
      <c r="A5" s="5">
        <v>44529</v>
      </c>
      <c r="B5" s="5">
        <v>44531</v>
      </c>
      <c r="C5" s="6" t="s">
        <v>9</v>
      </c>
      <c r="D5" s="7">
        <v>37583.06</v>
      </c>
      <c r="E5" s="8">
        <v>0</v>
      </c>
      <c r="F5" s="9">
        <f t="shared" si="0"/>
        <v>546756.66084000329</v>
      </c>
      <c r="G5" s="10"/>
      <c r="H5" s="11"/>
    </row>
    <row r="6" spans="1:8" ht="15" customHeight="1">
      <c r="A6" s="5">
        <v>44529</v>
      </c>
      <c r="B6" s="5">
        <v>44531</v>
      </c>
      <c r="C6" s="6" t="s">
        <v>10</v>
      </c>
      <c r="D6" s="7">
        <v>144318.95000000001</v>
      </c>
      <c r="E6" s="8">
        <v>0</v>
      </c>
      <c r="F6" s="9">
        <f t="shared" si="0"/>
        <v>402437.71084000327</v>
      </c>
      <c r="G6" s="10"/>
      <c r="H6" s="11"/>
    </row>
    <row r="7" spans="1:8" ht="15" customHeight="1">
      <c r="A7" s="5">
        <v>44529</v>
      </c>
      <c r="B7" s="5">
        <v>44531</v>
      </c>
      <c r="C7" s="11" t="s">
        <v>11</v>
      </c>
      <c r="D7" s="12">
        <v>14.98</v>
      </c>
      <c r="E7" s="12">
        <v>0</v>
      </c>
      <c r="F7" s="9">
        <f t="shared" si="0"/>
        <v>402422.73084000329</v>
      </c>
      <c r="G7" s="13"/>
      <c r="H7" s="11"/>
    </row>
    <row r="8" spans="1:8" ht="15" customHeight="1">
      <c r="A8" s="5" t="s">
        <v>12</v>
      </c>
      <c r="B8" s="5">
        <v>44532</v>
      </c>
      <c r="C8" s="11" t="s">
        <v>13</v>
      </c>
      <c r="D8" s="12">
        <v>1304.5</v>
      </c>
      <c r="E8" s="12">
        <v>0</v>
      </c>
      <c r="F8" s="9">
        <f t="shared" ref="F8:F34" si="1">F7-D8+E8</f>
        <v>401118.23084000329</v>
      </c>
      <c r="G8" s="13"/>
      <c r="H8" s="11"/>
    </row>
    <row r="9" spans="1:8" ht="15" customHeight="1">
      <c r="A9" s="5">
        <v>44530</v>
      </c>
      <c r="B9" s="5">
        <v>44532</v>
      </c>
      <c r="C9" s="6" t="s">
        <v>14</v>
      </c>
      <c r="D9" s="7">
        <v>112749.18</v>
      </c>
      <c r="E9" s="8">
        <v>0</v>
      </c>
      <c r="F9" s="9">
        <f t="shared" si="1"/>
        <v>288369.0508400033</v>
      </c>
      <c r="G9" s="10"/>
      <c r="H9" s="11"/>
    </row>
    <row r="10" spans="1:8" ht="15" customHeight="1">
      <c r="A10" s="5">
        <v>44530</v>
      </c>
      <c r="B10" s="5">
        <v>44532</v>
      </c>
      <c r="C10" s="6" t="s">
        <v>15</v>
      </c>
      <c r="D10" s="7">
        <v>150332.24</v>
      </c>
      <c r="E10" s="8">
        <v>0</v>
      </c>
      <c r="F10" s="9">
        <f t="shared" si="1"/>
        <v>138036.81084000331</v>
      </c>
      <c r="G10" s="10"/>
      <c r="H10" s="11"/>
    </row>
    <row r="11" spans="1:8" ht="15" customHeight="1">
      <c r="A11" s="5">
        <v>44530</v>
      </c>
      <c r="B11" s="5">
        <v>44532</v>
      </c>
      <c r="C11" s="6" t="s">
        <v>8</v>
      </c>
      <c r="D11" s="7">
        <v>78172.759999999995</v>
      </c>
      <c r="E11" s="8">
        <v>0</v>
      </c>
      <c r="F11" s="9">
        <f t="shared" si="1"/>
        <v>59864.050840003314</v>
      </c>
      <c r="G11" s="10"/>
      <c r="H11" s="11"/>
    </row>
    <row r="12" spans="1:8" ht="15" customHeight="1">
      <c r="A12" s="5">
        <v>44530</v>
      </c>
      <c r="B12" s="5">
        <v>44532</v>
      </c>
      <c r="C12" s="11" t="s">
        <v>11</v>
      </c>
      <c r="D12" s="12">
        <v>14.98</v>
      </c>
      <c r="E12" s="12">
        <v>0</v>
      </c>
      <c r="F12" s="9">
        <f t="shared" si="1"/>
        <v>59849.070840003311</v>
      </c>
      <c r="G12" s="13"/>
      <c r="H12" s="11"/>
    </row>
    <row r="13" spans="1:8" ht="15" customHeight="1">
      <c r="A13" s="5" t="s">
        <v>12</v>
      </c>
      <c r="B13" s="5">
        <v>44533</v>
      </c>
      <c r="C13" s="11" t="s">
        <v>16</v>
      </c>
      <c r="D13" s="7">
        <v>0</v>
      </c>
      <c r="E13" s="7">
        <v>1440</v>
      </c>
      <c r="F13" s="9">
        <f t="shared" si="1"/>
        <v>61289.070840003311</v>
      </c>
      <c r="G13" s="11"/>
      <c r="H13" s="11"/>
    </row>
    <row r="14" spans="1:8" ht="15" customHeight="1">
      <c r="A14" s="5" t="s">
        <v>12</v>
      </c>
      <c r="B14" s="5">
        <v>44533</v>
      </c>
      <c r="C14" s="11" t="s">
        <v>17</v>
      </c>
      <c r="D14" s="7">
        <v>0</v>
      </c>
      <c r="E14" s="7">
        <v>4320</v>
      </c>
      <c r="F14" s="9">
        <f t="shared" si="1"/>
        <v>65609.070840003318</v>
      </c>
      <c r="G14" s="13"/>
      <c r="H14" s="11"/>
    </row>
    <row r="15" spans="1:8" ht="15" customHeight="1">
      <c r="A15" s="5" t="s">
        <v>12</v>
      </c>
      <c r="B15" s="5">
        <v>44533</v>
      </c>
      <c r="C15" s="11" t="s">
        <v>18</v>
      </c>
      <c r="D15" s="7">
        <v>0</v>
      </c>
      <c r="E15" s="7">
        <v>6075</v>
      </c>
      <c r="F15" s="9">
        <f t="shared" si="1"/>
        <v>71684.070840003318</v>
      </c>
      <c r="G15" s="11"/>
      <c r="H15" s="11"/>
    </row>
    <row r="16" spans="1:8" ht="15" customHeight="1">
      <c r="A16" s="5" t="s">
        <v>12</v>
      </c>
      <c r="B16" s="5">
        <v>44533</v>
      </c>
      <c r="C16" s="11" t="s">
        <v>19</v>
      </c>
      <c r="D16" s="7">
        <v>0</v>
      </c>
      <c r="E16" s="7">
        <v>15660</v>
      </c>
      <c r="F16" s="9">
        <f t="shared" si="1"/>
        <v>87344.070840003318</v>
      </c>
      <c r="G16" s="11"/>
      <c r="H16" s="11"/>
    </row>
    <row r="17" spans="1:8" ht="15" customHeight="1">
      <c r="A17" s="5">
        <v>44531</v>
      </c>
      <c r="B17" s="5">
        <v>44533</v>
      </c>
      <c r="C17" s="6" t="s">
        <v>20</v>
      </c>
      <c r="D17" s="7">
        <v>0</v>
      </c>
      <c r="E17" s="8">
        <v>94989.15</v>
      </c>
      <c r="F17" s="9">
        <f t="shared" si="1"/>
        <v>182333.22084000331</v>
      </c>
      <c r="G17" s="10"/>
      <c r="H17" s="11"/>
    </row>
    <row r="18" spans="1:8" ht="15" customHeight="1">
      <c r="A18" s="5">
        <v>44531</v>
      </c>
      <c r="B18" s="5">
        <v>44533</v>
      </c>
      <c r="C18" s="6" t="s">
        <v>21</v>
      </c>
      <c r="D18" s="7">
        <v>0</v>
      </c>
      <c r="E18" s="8">
        <v>106862.78</v>
      </c>
      <c r="F18" s="9">
        <f t="shared" si="1"/>
        <v>289196.00084000331</v>
      </c>
      <c r="G18" s="10"/>
      <c r="H18" s="11"/>
    </row>
    <row r="19" spans="1:8" ht="15" customHeight="1">
      <c r="A19" s="5">
        <v>44531</v>
      </c>
      <c r="B19" s="5">
        <v>44533</v>
      </c>
      <c r="C19" s="6" t="s">
        <v>22</v>
      </c>
      <c r="D19" s="7">
        <v>0</v>
      </c>
      <c r="E19" s="8">
        <v>119734.21</v>
      </c>
      <c r="F19" s="9">
        <f t="shared" si="1"/>
        <v>408930.21084000333</v>
      </c>
      <c r="G19" s="10"/>
      <c r="H19" s="11"/>
    </row>
    <row r="20" spans="1:8" ht="15" customHeight="1">
      <c r="A20" s="5">
        <v>44531</v>
      </c>
      <c r="B20" s="5">
        <v>44533</v>
      </c>
      <c r="C20" s="6" t="s">
        <v>22</v>
      </c>
      <c r="D20" s="7">
        <v>0</v>
      </c>
      <c r="E20" s="8">
        <v>120732</v>
      </c>
      <c r="F20" s="9">
        <f t="shared" si="1"/>
        <v>529662.21084000333</v>
      </c>
      <c r="G20" s="10"/>
      <c r="H20" s="11"/>
    </row>
    <row r="21" spans="1:8" ht="15" customHeight="1">
      <c r="A21" s="5">
        <v>44531</v>
      </c>
      <c r="B21" s="5">
        <v>44533</v>
      </c>
      <c r="C21" s="6" t="s">
        <v>23</v>
      </c>
      <c r="D21" s="7">
        <v>118762.47</v>
      </c>
      <c r="E21" s="8">
        <v>0</v>
      </c>
      <c r="F21" s="9">
        <f t="shared" si="1"/>
        <v>410899.74084000336</v>
      </c>
      <c r="G21" s="10"/>
      <c r="H21" s="11"/>
    </row>
    <row r="22" spans="1:8" ht="15" customHeight="1">
      <c r="A22" s="5">
        <v>44531</v>
      </c>
      <c r="B22" s="5">
        <v>44533</v>
      </c>
      <c r="C22" s="11" t="s">
        <v>11</v>
      </c>
      <c r="D22" s="12">
        <v>14.98</v>
      </c>
      <c r="E22" s="12">
        <v>0</v>
      </c>
      <c r="F22" s="9">
        <f t="shared" si="1"/>
        <v>410884.76084000338</v>
      </c>
      <c r="G22" s="13"/>
      <c r="H22" s="11"/>
    </row>
    <row r="23" spans="1:8" ht="15" customHeight="1">
      <c r="A23" s="5" t="s">
        <v>12</v>
      </c>
      <c r="B23" s="5">
        <v>44537</v>
      </c>
      <c r="C23" s="11" t="s">
        <v>24</v>
      </c>
      <c r="D23" s="7">
        <v>0</v>
      </c>
      <c r="E23" s="7">
        <v>2970</v>
      </c>
      <c r="F23" s="9">
        <f t="shared" si="1"/>
        <v>413854.76084000338</v>
      </c>
      <c r="G23" s="11"/>
      <c r="H23" s="11"/>
    </row>
    <row r="24" spans="1:8" ht="15" customHeight="1">
      <c r="A24" s="5">
        <v>44532</v>
      </c>
      <c r="B24" s="5">
        <v>44537</v>
      </c>
      <c r="C24" s="6" t="s">
        <v>25</v>
      </c>
      <c r="D24" s="7">
        <v>0</v>
      </c>
      <c r="E24" s="8">
        <v>65105.48</v>
      </c>
      <c r="F24" s="9">
        <f t="shared" si="1"/>
        <v>478960.24084000336</v>
      </c>
      <c r="G24" s="10"/>
      <c r="H24" s="11"/>
    </row>
    <row r="25" spans="1:8" ht="15" customHeight="1">
      <c r="A25" s="5">
        <v>44532</v>
      </c>
      <c r="B25" s="5">
        <v>44537</v>
      </c>
      <c r="C25" s="6" t="s">
        <v>26</v>
      </c>
      <c r="D25" s="7">
        <v>0</v>
      </c>
      <c r="E25" s="8">
        <v>114745.29</v>
      </c>
      <c r="F25" s="9">
        <f t="shared" si="1"/>
        <v>593705.5308400034</v>
      </c>
      <c r="G25" s="10"/>
      <c r="H25" s="11"/>
    </row>
    <row r="26" spans="1:8" ht="15" customHeight="1">
      <c r="A26" s="5">
        <v>44532</v>
      </c>
      <c r="B26" s="5">
        <v>44537</v>
      </c>
      <c r="C26" s="11" t="s">
        <v>11</v>
      </c>
      <c r="D26" s="12">
        <v>14.98</v>
      </c>
      <c r="E26" s="12">
        <v>0</v>
      </c>
      <c r="F26" s="9">
        <f t="shared" si="1"/>
        <v>593690.55084000342</v>
      </c>
      <c r="G26" s="13"/>
      <c r="H26" s="11"/>
    </row>
    <row r="27" spans="1:8" ht="15" customHeight="1">
      <c r="A27" s="5" t="s">
        <v>12</v>
      </c>
      <c r="B27" s="5">
        <v>44538</v>
      </c>
      <c r="C27" s="11" t="s">
        <v>27</v>
      </c>
      <c r="D27" s="7">
        <v>0</v>
      </c>
      <c r="E27" s="7">
        <v>16875</v>
      </c>
      <c r="F27" s="9">
        <f t="shared" si="1"/>
        <v>610565.55084000342</v>
      </c>
      <c r="G27" s="11"/>
      <c r="H27" s="11"/>
    </row>
    <row r="28" spans="1:8" ht="15" customHeight="1">
      <c r="A28" s="5" t="s">
        <v>12</v>
      </c>
      <c r="B28" s="5">
        <v>44538</v>
      </c>
      <c r="C28" s="11" t="s">
        <v>28</v>
      </c>
      <c r="D28" s="7">
        <v>0</v>
      </c>
      <c r="E28" s="7">
        <v>28600</v>
      </c>
      <c r="F28" s="9">
        <f t="shared" si="1"/>
        <v>639165.55084000342</v>
      </c>
      <c r="G28" s="11"/>
      <c r="H28" s="11"/>
    </row>
    <row r="29" spans="1:8" ht="15" customHeight="1">
      <c r="A29" s="5" t="s">
        <v>12</v>
      </c>
      <c r="B29" s="5">
        <v>44538</v>
      </c>
      <c r="C29" s="11" t="s">
        <v>29</v>
      </c>
      <c r="D29" s="7">
        <v>0</v>
      </c>
      <c r="E29" s="7">
        <v>1764</v>
      </c>
      <c r="F29" s="9">
        <f t="shared" si="1"/>
        <v>640929.55084000342</v>
      </c>
      <c r="G29" s="11"/>
      <c r="H29" s="11"/>
    </row>
    <row r="30" spans="1:8" ht="15" customHeight="1">
      <c r="A30" s="5">
        <v>44533</v>
      </c>
      <c r="B30" s="5">
        <v>44538</v>
      </c>
      <c r="C30" s="6" t="s">
        <v>25</v>
      </c>
      <c r="D30" s="7">
        <v>0</v>
      </c>
      <c r="E30" s="8">
        <v>65105.48</v>
      </c>
      <c r="F30" s="9">
        <f t="shared" si="1"/>
        <v>706035.0308400034</v>
      </c>
      <c r="G30" s="10"/>
      <c r="H30" s="11"/>
    </row>
    <row r="31" spans="1:8" ht="15" customHeight="1">
      <c r="A31" s="5">
        <v>44533</v>
      </c>
      <c r="B31" s="5">
        <v>44538</v>
      </c>
      <c r="C31" s="6" t="s">
        <v>30</v>
      </c>
      <c r="D31" s="7">
        <v>0</v>
      </c>
      <c r="E31" s="8">
        <v>47893.68</v>
      </c>
      <c r="F31" s="9">
        <f t="shared" si="1"/>
        <v>753928.71084000345</v>
      </c>
      <c r="G31" s="10"/>
      <c r="H31" s="11"/>
    </row>
    <row r="32" spans="1:8" ht="15" customHeight="1">
      <c r="A32" s="5">
        <v>44533</v>
      </c>
      <c r="B32" s="5">
        <v>44538</v>
      </c>
      <c r="C32" s="6" t="s">
        <v>23</v>
      </c>
      <c r="D32" s="7">
        <v>115755.83</v>
      </c>
      <c r="E32" s="8">
        <v>0</v>
      </c>
      <c r="F32" s="9">
        <f t="shared" si="1"/>
        <v>638172.88084000349</v>
      </c>
      <c r="G32" s="10"/>
      <c r="H32" s="11"/>
    </row>
    <row r="33" spans="1:8" ht="15" customHeight="1">
      <c r="A33" s="5">
        <v>44533</v>
      </c>
      <c r="B33" s="5">
        <v>44538</v>
      </c>
      <c r="C33" s="11" t="s">
        <v>11</v>
      </c>
      <c r="D33" s="12">
        <v>14.98</v>
      </c>
      <c r="E33" s="12">
        <v>0</v>
      </c>
      <c r="F33" s="9">
        <f t="shared" si="1"/>
        <v>638157.90084000351</v>
      </c>
      <c r="G33" s="13"/>
      <c r="H33" s="11"/>
    </row>
    <row r="34" spans="1:8" ht="15" customHeight="1">
      <c r="A34" s="5" t="s">
        <v>12</v>
      </c>
      <c r="B34" s="5">
        <v>44539</v>
      </c>
      <c r="C34" s="11" t="s">
        <v>31</v>
      </c>
      <c r="D34" s="7">
        <v>0</v>
      </c>
      <c r="E34" s="7">
        <v>25200</v>
      </c>
      <c r="F34" s="9">
        <f t="shared" si="1"/>
        <v>663357.90084000351</v>
      </c>
      <c r="G34" s="11"/>
      <c r="H34" s="11"/>
    </row>
    <row r="35" spans="1:8" ht="15" customHeight="1">
      <c r="A35" s="5" t="s">
        <v>12</v>
      </c>
      <c r="B35" s="5">
        <v>44539</v>
      </c>
      <c r="C35" s="11" t="s">
        <v>32</v>
      </c>
      <c r="D35" s="7">
        <v>0</v>
      </c>
      <c r="E35" s="7">
        <v>4725</v>
      </c>
      <c r="F35" s="9">
        <f t="shared" ref="F35:F47" si="2">F34-D35+E35</f>
        <v>668082.90084000351</v>
      </c>
      <c r="G35" s="11"/>
      <c r="H35" s="11"/>
    </row>
    <row r="36" spans="1:8" ht="15" customHeight="1">
      <c r="A36" s="5">
        <v>44537</v>
      </c>
      <c r="B36" s="5">
        <v>44539</v>
      </c>
      <c r="C36" s="6" t="s">
        <v>33</v>
      </c>
      <c r="D36" s="7">
        <v>61636.22</v>
      </c>
      <c r="E36" s="8">
        <v>0</v>
      </c>
      <c r="F36" s="9">
        <f t="shared" si="2"/>
        <v>606446.68084000354</v>
      </c>
      <c r="G36" s="10"/>
      <c r="H36" s="11"/>
    </row>
    <row r="37" spans="1:8" ht="15" customHeight="1">
      <c r="A37" s="5">
        <v>44537</v>
      </c>
      <c r="B37" s="5">
        <v>44539</v>
      </c>
      <c r="C37" s="6" t="s">
        <v>7</v>
      </c>
      <c r="D37" s="7">
        <v>0</v>
      </c>
      <c r="E37" s="8">
        <v>46895.9</v>
      </c>
      <c r="F37" s="9">
        <f t="shared" si="2"/>
        <v>653342.58084000356</v>
      </c>
      <c r="G37" s="10"/>
      <c r="H37" s="11"/>
    </row>
    <row r="38" spans="1:8" ht="15" customHeight="1">
      <c r="A38" s="5">
        <v>44537</v>
      </c>
      <c r="B38" s="5">
        <v>44539</v>
      </c>
      <c r="C38" s="6" t="s">
        <v>30</v>
      </c>
      <c r="D38" s="7">
        <v>0</v>
      </c>
      <c r="E38" s="8">
        <v>49390.36</v>
      </c>
      <c r="F38" s="9">
        <f t="shared" si="2"/>
        <v>702732.94084000355</v>
      </c>
      <c r="G38" s="10"/>
      <c r="H38" s="11"/>
    </row>
    <row r="39" spans="1:8" ht="15" customHeight="1">
      <c r="A39" s="5">
        <v>44537</v>
      </c>
      <c r="B39" s="5">
        <v>44539</v>
      </c>
      <c r="C39" s="6" t="s">
        <v>7</v>
      </c>
      <c r="D39" s="7">
        <v>0</v>
      </c>
      <c r="E39" s="8">
        <v>47145.34</v>
      </c>
      <c r="F39" s="9">
        <f t="shared" si="2"/>
        <v>749878.28084000351</v>
      </c>
      <c r="G39" s="10"/>
      <c r="H39" s="11"/>
    </row>
    <row r="40" spans="1:8" ht="15" customHeight="1">
      <c r="A40" s="5">
        <v>44537</v>
      </c>
      <c r="B40" s="5">
        <v>44539</v>
      </c>
      <c r="C40" s="11" t="s">
        <v>11</v>
      </c>
      <c r="D40" s="12">
        <v>14.98</v>
      </c>
      <c r="E40" s="12">
        <v>0</v>
      </c>
      <c r="F40" s="9">
        <f t="shared" si="2"/>
        <v>749863.30084000353</v>
      </c>
      <c r="G40" s="13"/>
      <c r="H40" s="11"/>
    </row>
    <row r="41" spans="1:8" ht="15" customHeight="1">
      <c r="A41" s="5" t="s">
        <v>12</v>
      </c>
      <c r="B41" s="5">
        <v>44539</v>
      </c>
      <c r="C41" s="11" t="s">
        <v>13</v>
      </c>
      <c r="D41" s="12">
        <v>40000</v>
      </c>
      <c r="E41" s="12">
        <v>0</v>
      </c>
      <c r="F41" s="9">
        <f t="shared" si="2"/>
        <v>709863.30084000353</v>
      </c>
      <c r="G41" s="13"/>
      <c r="H41" s="11"/>
    </row>
    <row r="42" spans="1:8" ht="15" customHeight="1">
      <c r="A42" s="5" t="s">
        <v>12</v>
      </c>
      <c r="B42" s="5">
        <v>44539</v>
      </c>
      <c r="C42" s="11" t="s">
        <v>13</v>
      </c>
      <c r="D42" s="12">
        <v>130000</v>
      </c>
      <c r="E42" s="12">
        <v>0</v>
      </c>
      <c r="F42" s="9">
        <f t="shared" ref="F42:F47" si="3">F41-D42+E42</f>
        <v>579863.30084000353</v>
      </c>
      <c r="G42" s="13"/>
      <c r="H42" s="11"/>
    </row>
    <row r="43" spans="1:8" ht="15" customHeight="1">
      <c r="A43" s="5">
        <v>44538</v>
      </c>
      <c r="B43" s="5">
        <v>44543</v>
      </c>
      <c r="C43" s="6" t="s">
        <v>34</v>
      </c>
      <c r="D43" s="7">
        <v>99219.28</v>
      </c>
      <c r="E43" s="8">
        <v>0</v>
      </c>
      <c r="F43" s="9">
        <f t="shared" si="3"/>
        <v>480644.0208400035</v>
      </c>
      <c r="G43" s="10"/>
      <c r="H43" s="11"/>
    </row>
    <row r="44" spans="1:8" ht="15" customHeight="1">
      <c r="A44" s="5">
        <v>44538</v>
      </c>
      <c r="B44" s="5">
        <v>44543</v>
      </c>
      <c r="C44" s="6" t="s">
        <v>6</v>
      </c>
      <c r="D44" s="7">
        <v>0</v>
      </c>
      <c r="E44" s="8">
        <v>92794.01</v>
      </c>
      <c r="F44" s="9">
        <f t="shared" si="3"/>
        <v>573438.03084000351</v>
      </c>
      <c r="G44" s="10"/>
      <c r="H44" s="11"/>
    </row>
    <row r="45" spans="1:8" ht="15" customHeight="1">
      <c r="A45" s="5">
        <v>44538</v>
      </c>
      <c r="B45" s="5">
        <v>44543</v>
      </c>
      <c r="C45" s="6" t="s">
        <v>25</v>
      </c>
      <c r="D45" s="7">
        <v>0</v>
      </c>
      <c r="E45" s="8">
        <v>67350.490000000005</v>
      </c>
      <c r="F45" s="9">
        <f t="shared" si="3"/>
        <v>640788.5208400035</v>
      </c>
      <c r="G45" s="10"/>
      <c r="H45" s="11"/>
    </row>
    <row r="46" spans="1:8" ht="15" customHeight="1">
      <c r="A46" s="5">
        <v>44538</v>
      </c>
      <c r="B46" s="5">
        <v>44543</v>
      </c>
      <c r="C46" s="6" t="s">
        <v>35</v>
      </c>
      <c r="D46" s="7">
        <v>0</v>
      </c>
      <c r="E46" s="8">
        <v>117738.64</v>
      </c>
      <c r="F46" s="9">
        <f t="shared" si="3"/>
        <v>758527.16084000352</v>
      </c>
      <c r="G46" s="10"/>
      <c r="H46" s="11"/>
    </row>
    <row r="47" spans="1:8" ht="15" customHeight="1">
      <c r="A47" s="5">
        <v>44538</v>
      </c>
      <c r="B47" s="5">
        <v>44543</v>
      </c>
      <c r="C47" s="11" t="s">
        <v>11</v>
      </c>
      <c r="D47" s="12">
        <v>14.98</v>
      </c>
      <c r="E47" s="12">
        <v>0</v>
      </c>
      <c r="F47" s="9">
        <v>788492.23</v>
      </c>
      <c r="G47" s="13"/>
      <c r="H47" s="11"/>
    </row>
    <row r="48" spans="1:8" ht="15" customHeight="1">
      <c r="A48" s="5">
        <v>44543</v>
      </c>
      <c r="B48" s="5">
        <v>44545</v>
      </c>
      <c r="C48" s="6" t="s">
        <v>36</v>
      </c>
      <c r="D48" s="7">
        <v>0</v>
      </c>
      <c r="E48" s="8">
        <v>41757.31</v>
      </c>
      <c r="F48" s="9">
        <f t="shared" ref="F48" si="4">F47-D48+E48</f>
        <v>830249.54</v>
      </c>
      <c r="G48" s="10"/>
      <c r="H48" s="11"/>
    </row>
    <row r="49" spans="1:8" ht="15" customHeight="1">
      <c r="A49" s="5">
        <v>44543</v>
      </c>
      <c r="B49" s="5">
        <v>44545</v>
      </c>
      <c r="C49" s="6" t="s">
        <v>37</v>
      </c>
      <c r="D49" s="7">
        <v>73913.350000000006</v>
      </c>
      <c r="E49" s="8">
        <v>0</v>
      </c>
      <c r="F49" s="9">
        <f t="shared" ref="F49:F62" si="5">F48-D49+E49</f>
        <v>756336.19000000006</v>
      </c>
      <c r="G49" s="10"/>
      <c r="H49" s="11"/>
    </row>
    <row r="50" spans="1:8" ht="15" customHeight="1">
      <c r="A50" s="5">
        <v>44543</v>
      </c>
      <c r="B50" s="5">
        <v>44545</v>
      </c>
      <c r="C50" s="6" t="s">
        <v>38</v>
      </c>
      <c r="D50" s="7">
        <v>0</v>
      </c>
      <c r="E50" s="8">
        <v>52383.71</v>
      </c>
      <c r="F50" s="9">
        <f t="shared" si="5"/>
        <v>808719.9</v>
      </c>
      <c r="G50" s="10"/>
      <c r="H50" s="11"/>
    </row>
    <row r="51" spans="1:8" ht="15" customHeight="1">
      <c r="A51" s="5">
        <v>44543</v>
      </c>
      <c r="B51" s="5">
        <v>44545</v>
      </c>
      <c r="C51" s="11" t="s">
        <v>11</v>
      </c>
      <c r="D51" s="12">
        <v>14.98</v>
      </c>
      <c r="E51" s="12">
        <v>0</v>
      </c>
      <c r="F51" s="9">
        <f t="shared" si="5"/>
        <v>808704.92</v>
      </c>
      <c r="G51" s="13"/>
      <c r="H51" s="11"/>
    </row>
    <row r="52" spans="1:8" ht="15" customHeight="1">
      <c r="A52" s="5" t="s">
        <v>12</v>
      </c>
      <c r="B52" s="5">
        <v>44545</v>
      </c>
      <c r="C52" s="11" t="s">
        <v>39</v>
      </c>
      <c r="D52" s="12">
        <v>235</v>
      </c>
      <c r="E52" s="12">
        <v>0</v>
      </c>
      <c r="F52" s="9">
        <f t="shared" si="5"/>
        <v>808469.92</v>
      </c>
      <c r="G52" s="11"/>
      <c r="H52" s="11"/>
    </row>
    <row r="53" spans="1:8" ht="15" customHeight="1">
      <c r="A53" s="5">
        <v>44544</v>
      </c>
      <c r="B53" s="5">
        <v>44546</v>
      </c>
      <c r="C53" s="6" t="s">
        <v>8</v>
      </c>
      <c r="D53" s="7">
        <v>82682.73</v>
      </c>
      <c r="E53" s="8">
        <v>0</v>
      </c>
      <c r="F53" s="9">
        <f t="shared" si="5"/>
        <v>725787.19000000006</v>
      </c>
      <c r="G53" s="10"/>
      <c r="H53" s="11"/>
    </row>
    <row r="54" spans="1:8" ht="15" customHeight="1">
      <c r="A54" s="5">
        <v>44544</v>
      </c>
      <c r="B54" s="5">
        <v>44546</v>
      </c>
      <c r="C54" s="6" t="s">
        <v>40</v>
      </c>
      <c r="D54" s="7">
        <v>89197.13</v>
      </c>
      <c r="E54" s="8">
        <v>0</v>
      </c>
      <c r="F54" s="9">
        <f t="shared" si="5"/>
        <v>636590.06000000006</v>
      </c>
      <c r="G54" s="10"/>
      <c r="H54" s="11"/>
    </row>
    <row r="55" spans="1:8" ht="15" customHeight="1">
      <c r="A55" s="5">
        <v>44544</v>
      </c>
      <c r="B55" s="5">
        <v>44546</v>
      </c>
      <c r="C55" s="6" t="s">
        <v>6</v>
      </c>
      <c r="D55" s="7">
        <v>184407.54</v>
      </c>
      <c r="E55" s="8">
        <v>0</v>
      </c>
      <c r="F55" s="9">
        <f t="shared" si="5"/>
        <v>452182.52</v>
      </c>
      <c r="G55" s="10"/>
      <c r="H55" s="11"/>
    </row>
    <row r="56" spans="1:8" ht="15" customHeight="1">
      <c r="A56" s="5">
        <v>44544</v>
      </c>
      <c r="B56" s="5">
        <v>44546</v>
      </c>
      <c r="C56" s="11" t="s">
        <v>11</v>
      </c>
      <c r="D56" s="12">
        <v>14.98</v>
      </c>
      <c r="E56" s="12">
        <v>0</v>
      </c>
      <c r="F56" s="9">
        <f t="shared" si="5"/>
        <v>452167.54000000004</v>
      </c>
      <c r="G56" s="13"/>
      <c r="H56" s="11"/>
    </row>
    <row r="57" spans="1:8" ht="15" customHeight="1">
      <c r="A57" s="5" t="s">
        <v>12</v>
      </c>
      <c r="B57" s="5">
        <v>44547</v>
      </c>
      <c r="C57" s="11" t="s">
        <v>41</v>
      </c>
      <c r="D57" s="7">
        <v>0</v>
      </c>
      <c r="E57" s="7">
        <v>640</v>
      </c>
      <c r="F57" s="9">
        <f t="shared" si="5"/>
        <v>452807.54000000004</v>
      </c>
      <c r="G57" s="11"/>
      <c r="H57" s="11"/>
    </row>
    <row r="58" spans="1:8" ht="15" customHeight="1">
      <c r="A58" s="5" t="s">
        <v>12</v>
      </c>
      <c r="B58" s="5">
        <v>44547</v>
      </c>
      <c r="C58" s="11" t="s">
        <v>41</v>
      </c>
      <c r="D58" s="7">
        <v>0</v>
      </c>
      <c r="E58" s="7">
        <v>1040</v>
      </c>
      <c r="F58" s="9">
        <f t="shared" si="5"/>
        <v>453847.54000000004</v>
      </c>
      <c r="G58" s="11"/>
      <c r="H58" s="11"/>
    </row>
    <row r="59" spans="1:8" ht="15" customHeight="1">
      <c r="A59" s="5">
        <v>44545</v>
      </c>
      <c r="B59" s="5">
        <v>44547</v>
      </c>
      <c r="C59" s="6" t="s">
        <v>42</v>
      </c>
      <c r="D59" s="7">
        <v>0</v>
      </c>
      <c r="E59" s="8">
        <v>128714.28</v>
      </c>
      <c r="F59" s="9">
        <f t="shared" si="5"/>
        <v>582561.82000000007</v>
      </c>
      <c r="G59" s="10"/>
      <c r="H59" s="11"/>
    </row>
    <row r="60" spans="1:8" ht="15" customHeight="1">
      <c r="A60" s="5">
        <v>44545</v>
      </c>
      <c r="B60" s="5">
        <v>44547</v>
      </c>
      <c r="C60" s="6" t="s">
        <v>36</v>
      </c>
      <c r="D60" s="7">
        <v>103428.57</v>
      </c>
      <c r="E60" s="8">
        <v>0</v>
      </c>
      <c r="F60" s="9">
        <f t="shared" si="5"/>
        <v>479133.25000000006</v>
      </c>
      <c r="G60" s="10"/>
      <c r="H60" s="11"/>
    </row>
    <row r="61" spans="1:8" ht="15" customHeight="1">
      <c r="A61" s="5">
        <v>44545</v>
      </c>
      <c r="B61" s="5">
        <v>44547</v>
      </c>
      <c r="C61" s="6" t="s">
        <v>6</v>
      </c>
      <c r="D61" s="7">
        <v>91201.56</v>
      </c>
      <c r="E61" s="8">
        <v>0</v>
      </c>
      <c r="F61" s="9">
        <f t="shared" si="5"/>
        <v>387931.69000000006</v>
      </c>
      <c r="G61" s="10"/>
      <c r="H61" s="11"/>
    </row>
    <row r="62" spans="1:8" ht="15" customHeight="1">
      <c r="A62" s="5">
        <v>44545</v>
      </c>
      <c r="B62" s="5">
        <v>44547</v>
      </c>
      <c r="C62" s="11" t="s">
        <v>11</v>
      </c>
      <c r="D62" s="12">
        <v>14.98</v>
      </c>
      <c r="E62" s="12">
        <v>0</v>
      </c>
      <c r="F62" s="9">
        <f t="shared" si="5"/>
        <v>387916.71000000008</v>
      </c>
      <c r="G62" s="13"/>
      <c r="H62" s="11"/>
    </row>
    <row r="63" spans="1:8" ht="15" customHeight="1">
      <c r="A63" s="5">
        <v>44546</v>
      </c>
      <c r="B63" s="5">
        <v>44550</v>
      </c>
      <c r="C63" s="6" t="s">
        <v>43</v>
      </c>
      <c r="D63" s="7">
        <v>0</v>
      </c>
      <c r="E63" s="8">
        <v>167627.9</v>
      </c>
      <c r="F63" s="9">
        <f t="shared" ref="F63" si="6">F62-D63+E63</f>
        <v>555544.6100000001</v>
      </c>
      <c r="G63" s="10"/>
      <c r="H63" s="11"/>
    </row>
    <row r="64" spans="1:8" ht="15" customHeight="1">
      <c r="A64" s="5">
        <v>44546</v>
      </c>
      <c r="B64" s="5">
        <v>44550</v>
      </c>
      <c r="C64" s="6" t="s">
        <v>44</v>
      </c>
      <c r="D64" s="7">
        <v>45234.97</v>
      </c>
      <c r="E64" s="8">
        <v>0</v>
      </c>
      <c r="F64" s="9">
        <f t="shared" ref="F64:F65" si="7">F63-D64+E64</f>
        <v>510309.64000000013</v>
      </c>
      <c r="G64" s="10"/>
      <c r="H64" s="11"/>
    </row>
    <row r="65" spans="1:8" ht="15" customHeight="1">
      <c r="A65" s="5">
        <v>44546</v>
      </c>
      <c r="B65" s="5">
        <v>44550</v>
      </c>
      <c r="C65" s="11" t="s">
        <v>11</v>
      </c>
      <c r="D65" s="12">
        <v>14.98</v>
      </c>
      <c r="E65" s="12">
        <v>0</v>
      </c>
      <c r="F65" s="9">
        <f t="shared" si="7"/>
        <v>510294.66000000015</v>
      </c>
      <c r="G65" s="13"/>
      <c r="H65" s="11"/>
    </row>
    <row r="66" spans="1:8" ht="15" customHeight="1">
      <c r="A66" s="5">
        <v>44547</v>
      </c>
      <c r="B66" s="5">
        <v>44551</v>
      </c>
      <c r="C66" s="6" t="s">
        <v>44</v>
      </c>
      <c r="D66" s="7">
        <v>43461.05</v>
      </c>
      <c r="E66" s="8">
        <v>0</v>
      </c>
      <c r="F66" s="9">
        <f t="shared" ref="F66" si="8">F65-D66+E66</f>
        <v>466833.61000000016</v>
      </c>
      <c r="G66" s="10"/>
      <c r="H66" s="11"/>
    </row>
    <row r="67" spans="1:8" ht="15" customHeight="1">
      <c r="A67" s="5">
        <v>44547</v>
      </c>
      <c r="B67" s="5">
        <v>44551</v>
      </c>
      <c r="C67" s="6" t="s">
        <v>45</v>
      </c>
      <c r="D67" s="7">
        <v>0</v>
      </c>
      <c r="E67" s="8">
        <v>305322.23999999999</v>
      </c>
      <c r="F67" s="9">
        <f t="shared" ref="F67:F69" si="9">F66-D67+E67</f>
        <v>772155.85000000009</v>
      </c>
      <c r="G67" s="10"/>
      <c r="H67" s="11"/>
    </row>
    <row r="68" spans="1:8" ht="15" customHeight="1">
      <c r="A68" s="5">
        <v>44547</v>
      </c>
      <c r="B68" s="5">
        <v>44551</v>
      </c>
      <c r="C68" s="11" t="s">
        <v>11</v>
      </c>
      <c r="D68" s="12">
        <v>14.98</v>
      </c>
      <c r="E68" s="12">
        <v>0</v>
      </c>
      <c r="F68" s="9">
        <f t="shared" si="9"/>
        <v>772140.87000000011</v>
      </c>
      <c r="G68" s="13"/>
      <c r="H68" s="11"/>
    </row>
    <row r="69" spans="1:8" ht="15" customHeight="1">
      <c r="A69" s="5">
        <v>44550</v>
      </c>
      <c r="B69" s="5">
        <v>44552</v>
      </c>
      <c r="C69" s="6" t="s">
        <v>37</v>
      </c>
      <c r="D69" s="7">
        <v>73913.350000000006</v>
      </c>
      <c r="E69" s="8">
        <v>0</v>
      </c>
      <c r="F69" s="9">
        <f t="shared" si="9"/>
        <v>698227.52000000014</v>
      </c>
      <c r="G69" s="10"/>
      <c r="H69" s="11"/>
    </row>
    <row r="70" spans="1:8" ht="15" customHeight="1">
      <c r="A70" s="5">
        <v>44550</v>
      </c>
      <c r="B70" s="5">
        <v>44552</v>
      </c>
      <c r="C70" s="6" t="s">
        <v>9</v>
      </c>
      <c r="D70" s="7">
        <v>128383.73</v>
      </c>
      <c r="E70" s="8">
        <v>0</v>
      </c>
      <c r="F70" s="9">
        <f t="shared" ref="F70:F73" si="10">F69-D70+E70</f>
        <v>569843.79000000015</v>
      </c>
      <c r="G70" s="10"/>
      <c r="H70" s="11"/>
    </row>
    <row r="71" spans="1:8" ht="15" customHeight="1">
      <c r="A71" s="5">
        <v>44550</v>
      </c>
      <c r="B71" s="5">
        <v>44552</v>
      </c>
      <c r="C71" s="11" t="s">
        <v>11</v>
      </c>
      <c r="D71" s="12">
        <v>14.98</v>
      </c>
      <c r="E71" s="12">
        <v>0</v>
      </c>
      <c r="F71" s="9">
        <f t="shared" si="10"/>
        <v>569828.81000000017</v>
      </c>
      <c r="G71" s="13"/>
      <c r="H71" s="11"/>
    </row>
    <row r="72" spans="1:8" ht="15" customHeight="1">
      <c r="A72" s="5" t="s">
        <v>12</v>
      </c>
      <c r="B72" s="5">
        <v>44553</v>
      </c>
      <c r="C72" s="11" t="s">
        <v>46</v>
      </c>
      <c r="D72" s="7">
        <v>0</v>
      </c>
      <c r="E72" s="7">
        <v>1564.2</v>
      </c>
      <c r="F72" s="9">
        <f t="shared" si="10"/>
        <v>571393.01000000013</v>
      </c>
      <c r="G72" s="11"/>
      <c r="H72" s="11"/>
    </row>
    <row r="73" spans="1:8" ht="15" customHeight="1">
      <c r="A73" s="5">
        <v>44551</v>
      </c>
      <c r="B73" s="5">
        <v>44553</v>
      </c>
      <c r="C73" s="6" t="s">
        <v>47</v>
      </c>
      <c r="D73" s="7">
        <v>59230.9</v>
      </c>
      <c r="E73" s="8">
        <v>0</v>
      </c>
      <c r="F73" s="9">
        <f t="shared" si="10"/>
        <v>512162.1100000001</v>
      </c>
      <c r="G73" s="10"/>
      <c r="H73" s="11"/>
    </row>
    <row r="74" spans="1:8" ht="15" customHeight="1">
      <c r="A74" s="5">
        <v>44551</v>
      </c>
      <c r="B74" s="5">
        <v>44553</v>
      </c>
      <c r="C74" s="6" t="s">
        <v>36</v>
      </c>
      <c r="D74" s="7">
        <v>0</v>
      </c>
      <c r="E74" s="8">
        <v>72588.87</v>
      </c>
      <c r="F74" s="9">
        <f t="shared" ref="F74:F79" si="11">F73-D74+E74</f>
        <v>584750.9800000001</v>
      </c>
      <c r="G74" s="10"/>
      <c r="H74" s="11"/>
    </row>
    <row r="75" spans="1:8" ht="15" customHeight="1">
      <c r="A75" s="5">
        <v>44551</v>
      </c>
      <c r="B75" s="5">
        <v>44553</v>
      </c>
      <c r="C75" s="11" t="s">
        <v>11</v>
      </c>
      <c r="D75" s="12">
        <v>14.98</v>
      </c>
      <c r="E75" s="12">
        <v>0</v>
      </c>
      <c r="F75" s="9">
        <f t="shared" si="11"/>
        <v>584736.00000000012</v>
      </c>
      <c r="G75" s="13"/>
      <c r="H75" s="11"/>
    </row>
    <row r="76" spans="1:8" ht="15" customHeight="1">
      <c r="A76" s="5" t="s">
        <v>12</v>
      </c>
      <c r="B76" s="5">
        <v>44554</v>
      </c>
      <c r="C76" s="11" t="s">
        <v>13</v>
      </c>
      <c r="D76" s="12">
        <v>100000</v>
      </c>
      <c r="E76" s="12">
        <v>0</v>
      </c>
      <c r="F76" s="9">
        <f t="shared" si="11"/>
        <v>484736.00000000012</v>
      </c>
      <c r="G76" s="13"/>
      <c r="H76" s="11"/>
    </row>
    <row r="77" spans="1:8" ht="15" customHeight="1">
      <c r="A77" s="5">
        <v>44553</v>
      </c>
      <c r="B77" s="5">
        <v>44557</v>
      </c>
      <c r="C77" s="6" t="s">
        <v>48</v>
      </c>
      <c r="D77" s="7">
        <v>49609.64</v>
      </c>
      <c r="E77" s="8">
        <v>0</v>
      </c>
      <c r="F77" s="9">
        <f t="shared" si="11"/>
        <v>435126.3600000001</v>
      </c>
      <c r="G77" s="10"/>
      <c r="H77" s="11"/>
    </row>
    <row r="78" spans="1:8" ht="15" customHeight="1">
      <c r="A78" s="5">
        <v>44553</v>
      </c>
      <c r="B78" s="5">
        <v>44557</v>
      </c>
      <c r="C78" s="6" t="s">
        <v>49</v>
      </c>
      <c r="D78" s="7">
        <v>0</v>
      </c>
      <c r="E78" s="8">
        <v>52084.39</v>
      </c>
      <c r="F78" s="9">
        <f t="shared" si="11"/>
        <v>487210.75000000012</v>
      </c>
      <c r="G78" s="10"/>
      <c r="H78" s="11"/>
    </row>
    <row r="79" spans="1:8" ht="15" customHeight="1">
      <c r="A79" s="5">
        <v>44553</v>
      </c>
      <c r="B79" s="5">
        <v>44557</v>
      </c>
      <c r="C79" s="11" t="s">
        <v>11</v>
      </c>
      <c r="D79" s="12">
        <v>14.98</v>
      </c>
      <c r="E79" s="12">
        <v>0</v>
      </c>
      <c r="F79" s="9">
        <f t="shared" si="11"/>
        <v>487195.77000000014</v>
      </c>
      <c r="G79" s="13"/>
      <c r="H79" s="11"/>
    </row>
    <row r="80" spans="1:8" ht="15" customHeight="1">
      <c r="A80" s="5">
        <v>44557</v>
      </c>
      <c r="B80" s="5">
        <v>44559</v>
      </c>
      <c r="C80" s="6" t="s">
        <v>50</v>
      </c>
      <c r="D80" s="7">
        <v>0</v>
      </c>
      <c r="E80" s="8">
        <v>146674.41</v>
      </c>
      <c r="F80" s="9">
        <f t="shared" ref="F80" si="12">F79-D80+E80</f>
        <v>633870.18000000017</v>
      </c>
      <c r="G80" s="10"/>
      <c r="H80" s="11"/>
    </row>
    <row r="81" spans="1:8" ht="15" customHeight="1">
      <c r="A81" s="5">
        <v>44557</v>
      </c>
      <c r="B81" s="5">
        <v>44559</v>
      </c>
      <c r="C81" s="6" t="s">
        <v>35</v>
      </c>
      <c r="D81" s="7">
        <v>0</v>
      </c>
      <c r="E81" s="8">
        <v>35171.919999999998</v>
      </c>
      <c r="F81" s="9">
        <f t="shared" ref="F81:F82" si="13">F80-D81+E81</f>
        <v>669042.10000000021</v>
      </c>
      <c r="G81" s="10"/>
      <c r="H81" s="11"/>
    </row>
    <row r="82" spans="1:8" ht="15" customHeight="1">
      <c r="A82" s="5">
        <v>44557</v>
      </c>
      <c r="B82" s="5">
        <v>44559</v>
      </c>
      <c r="C82" s="11" t="s">
        <v>11</v>
      </c>
      <c r="D82" s="12">
        <v>14.98</v>
      </c>
      <c r="E82" s="12">
        <v>0</v>
      </c>
      <c r="F82" s="9">
        <f t="shared" si="13"/>
        <v>669027.12000000023</v>
      </c>
      <c r="G82" s="13"/>
      <c r="H82" s="11"/>
    </row>
    <row r="83" spans="1:8" ht="15" customHeight="1">
      <c r="A83" s="5">
        <v>44558</v>
      </c>
      <c r="B83" s="5">
        <v>44560</v>
      </c>
      <c r="C83" s="6" t="s">
        <v>6</v>
      </c>
      <c r="D83" s="7">
        <v>0</v>
      </c>
      <c r="E83" s="8">
        <v>91047.89</v>
      </c>
      <c r="F83" s="9">
        <f t="shared" ref="F83" si="14">F82-D83+E83</f>
        <v>760075.01000000024</v>
      </c>
      <c r="G83" s="10"/>
      <c r="H83" s="11"/>
    </row>
    <row r="84" spans="1:8" ht="15" customHeight="1">
      <c r="A84" s="5">
        <v>44558</v>
      </c>
      <c r="B84" s="5">
        <v>44560</v>
      </c>
      <c r="C84" s="6" t="s">
        <v>51</v>
      </c>
      <c r="D84" s="7">
        <v>136050.67000000001</v>
      </c>
      <c r="E84" s="8">
        <v>0</v>
      </c>
      <c r="F84" s="9">
        <f t="shared" ref="F84:F87" si="15">F83-D84+E84</f>
        <v>624024.3400000002</v>
      </c>
      <c r="G84" s="10"/>
      <c r="H84" s="11"/>
    </row>
    <row r="85" spans="1:8" ht="15" customHeight="1">
      <c r="A85" s="5">
        <v>44558</v>
      </c>
      <c r="B85" s="5">
        <v>44560</v>
      </c>
      <c r="C85" s="11" t="s">
        <v>11</v>
      </c>
      <c r="D85" s="12">
        <v>14.98</v>
      </c>
      <c r="E85" s="12">
        <v>0</v>
      </c>
      <c r="F85" s="9">
        <f t="shared" si="15"/>
        <v>624009.36000000022</v>
      </c>
      <c r="G85" s="13"/>
      <c r="H85" s="11"/>
    </row>
    <row r="86" spans="1:8" ht="15" customHeight="1">
      <c r="A86" s="5">
        <v>44560</v>
      </c>
      <c r="B86" s="5">
        <v>44566</v>
      </c>
      <c r="C86" s="6" t="s">
        <v>34</v>
      </c>
      <c r="D86" s="7">
        <v>0</v>
      </c>
      <c r="E86" s="8">
        <v>37716.269999999997</v>
      </c>
      <c r="F86" s="9">
        <f t="shared" si="15"/>
        <v>661725.63000000024</v>
      </c>
      <c r="G86" s="10"/>
      <c r="H86" s="11"/>
    </row>
    <row r="87" spans="1:8" ht="15" customHeight="1">
      <c r="A87" s="5">
        <v>44560</v>
      </c>
      <c r="B87" s="5">
        <v>44566</v>
      </c>
      <c r="C87" s="6" t="s">
        <v>35</v>
      </c>
      <c r="D87" s="7">
        <v>0</v>
      </c>
      <c r="E87" s="8">
        <v>58619.88</v>
      </c>
      <c r="F87" s="9">
        <f t="shared" si="15"/>
        <v>720345.51000000024</v>
      </c>
      <c r="G87" s="10"/>
      <c r="H87" s="11"/>
    </row>
    <row r="88" spans="1:8" ht="15" customHeight="1">
      <c r="A88" s="5">
        <v>44560</v>
      </c>
      <c r="B88" s="5">
        <v>44566</v>
      </c>
      <c r="C88" s="6" t="s">
        <v>52</v>
      </c>
      <c r="D88" s="7">
        <v>0</v>
      </c>
      <c r="E88" s="8">
        <v>172866.27</v>
      </c>
      <c r="F88" s="9">
        <f t="shared" ref="F88:F89" si="16">F87-D88+E88</f>
        <v>893211.78000000026</v>
      </c>
      <c r="G88" s="10"/>
      <c r="H88" s="11"/>
    </row>
    <row r="89" spans="1:8" ht="15" customHeight="1">
      <c r="A89" s="5">
        <v>44560</v>
      </c>
      <c r="B89" s="5">
        <v>44566</v>
      </c>
      <c r="C89" s="11" t="s">
        <v>11</v>
      </c>
      <c r="D89" s="12">
        <v>14.98</v>
      </c>
      <c r="E89" s="12">
        <v>0</v>
      </c>
      <c r="F89" s="9">
        <f t="shared" si="16"/>
        <v>893196.80000000028</v>
      </c>
      <c r="G89" s="13"/>
      <c r="H89" s="11"/>
    </row>
    <row r="90" spans="1:8" ht="15" customHeight="1">
      <c r="A90" s="5">
        <v>44566</v>
      </c>
      <c r="B90" s="5">
        <v>44568</v>
      </c>
      <c r="C90" s="6" t="s">
        <v>42</v>
      </c>
      <c r="D90" s="7">
        <v>0</v>
      </c>
      <c r="E90" s="8">
        <v>133204.31</v>
      </c>
      <c r="F90" s="9">
        <f t="shared" ref="F90" si="17">F89-D90+E90</f>
        <v>1026401.1100000003</v>
      </c>
      <c r="G90" s="10"/>
      <c r="H90" s="11"/>
    </row>
    <row r="91" spans="1:8" ht="15" customHeight="1">
      <c r="A91" s="5">
        <v>44566</v>
      </c>
      <c r="B91" s="5">
        <v>44568</v>
      </c>
      <c r="C91" s="6" t="s">
        <v>53</v>
      </c>
      <c r="D91" s="7">
        <v>125276.86</v>
      </c>
      <c r="E91" s="8">
        <v>0</v>
      </c>
      <c r="F91" s="9">
        <f t="shared" ref="F91" si="18">F90-D91+E91</f>
        <v>901124.25000000035</v>
      </c>
      <c r="G91" s="10"/>
      <c r="H91" s="11"/>
    </row>
    <row r="92" spans="1:8" ht="15" customHeight="1">
      <c r="A92" s="5">
        <v>44566</v>
      </c>
      <c r="B92" s="5">
        <v>44568</v>
      </c>
      <c r="C92" s="6" t="s">
        <v>54</v>
      </c>
      <c r="D92" s="7">
        <v>91802.880000000005</v>
      </c>
      <c r="E92" s="8">
        <v>0</v>
      </c>
      <c r="F92" s="9">
        <f t="shared" ref="F92:F93" si="19">F91-D92+E92</f>
        <v>809321.37000000034</v>
      </c>
      <c r="G92" s="10"/>
      <c r="H92" s="11"/>
    </row>
    <row r="93" spans="1:8" ht="15" customHeight="1">
      <c r="A93" s="5">
        <v>44566</v>
      </c>
      <c r="B93" s="5">
        <v>44568</v>
      </c>
      <c r="C93" s="11" t="s">
        <v>11</v>
      </c>
      <c r="D93" s="12">
        <v>14.98</v>
      </c>
      <c r="E93" s="12">
        <v>0</v>
      </c>
      <c r="F93" s="9">
        <f t="shared" si="19"/>
        <v>809306.39000000036</v>
      </c>
      <c r="G93" s="13"/>
      <c r="H93" s="11"/>
    </row>
    <row r="94" spans="1:8" ht="15" customHeight="1">
      <c r="A94" s="5">
        <v>44566</v>
      </c>
      <c r="B94" s="5">
        <v>44569</v>
      </c>
      <c r="C94" s="11" t="s">
        <v>11</v>
      </c>
      <c r="D94" s="12">
        <v>20</v>
      </c>
      <c r="E94" s="12">
        <v>0</v>
      </c>
      <c r="F94" s="9">
        <f t="shared" ref="F94:F101" si="20">F93-D94+E94</f>
        <v>809286.39000000036</v>
      </c>
      <c r="G94" s="13"/>
      <c r="H94" s="11"/>
    </row>
    <row r="95" spans="1:8" ht="15" customHeight="1">
      <c r="A95" s="5" t="s">
        <v>12</v>
      </c>
      <c r="B95" s="5">
        <v>44570</v>
      </c>
      <c r="C95" s="11" t="s">
        <v>13</v>
      </c>
      <c r="D95" s="12">
        <v>150000</v>
      </c>
      <c r="E95" s="12">
        <v>0</v>
      </c>
      <c r="F95" s="9">
        <f t="shared" si="20"/>
        <v>659286.39000000036</v>
      </c>
      <c r="G95" s="13"/>
      <c r="H95" s="11"/>
    </row>
    <row r="96" spans="1:8" ht="15" customHeight="1">
      <c r="A96" s="5">
        <v>44567</v>
      </c>
      <c r="B96" s="5">
        <v>44571</v>
      </c>
      <c r="C96" s="6" t="s">
        <v>55</v>
      </c>
      <c r="D96" s="7">
        <v>0</v>
      </c>
      <c r="E96" s="8">
        <v>119734.21</v>
      </c>
      <c r="F96" s="9">
        <f t="shared" si="20"/>
        <v>779020.60000000033</v>
      </c>
      <c r="G96" s="10"/>
      <c r="H96" s="11"/>
    </row>
    <row r="97" spans="1:8" ht="15" customHeight="1">
      <c r="A97" s="5">
        <v>44567</v>
      </c>
      <c r="B97" s="5">
        <v>44571</v>
      </c>
      <c r="C97" s="6" t="s">
        <v>56</v>
      </c>
      <c r="D97" s="7">
        <v>0</v>
      </c>
      <c r="E97" s="8">
        <v>24545.52</v>
      </c>
      <c r="F97" s="9">
        <f t="shared" si="20"/>
        <v>803566.12000000034</v>
      </c>
      <c r="G97" s="10"/>
      <c r="H97" s="11"/>
    </row>
    <row r="98" spans="1:8" ht="15" customHeight="1">
      <c r="A98" s="5">
        <v>44567</v>
      </c>
      <c r="B98" s="5">
        <v>44571</v>
      </c>
      <c r="C98" s="11" t="s">
        <v>11</v>
      </c>
      <c r="D98" s="12">
        <v>14.98</v>
      </c>
      <c r="E98" s="12">
        <v>0</v>
      </c>
      <c r="F98" s="9">
        <f t="shared" si="20"/>
        <v>803551.14000000036</v>
      </c>
      <c r="G98" s="13"/>
      <c r="H98" s="11"/>
    </row>
    <row r="99" spans="1:8" ht="15" customHeight="1">
      <c r="A99" s="5">
        <v>44568</v>
      </c>
      <c r="B99" s="5">
        <v>44572</v>
      </c>
      <c r="C99" s="6" t="s">
        <v>34</v>
      </c>
      <c r="D99" s="7">
        <v>0</v>
      </c>
      <c r="E99" s="8">
        <v>25144.19</v>
      </c>
      <c r="F99" s="9">
        <f t="shared" si="20"/>
        <v>828695.33000000031</v>
      </c>
      <c r="G99" s="10"/>
      <c r="H99" s="11"/>
    </row>
    <row r="100" spans="1:8" ht="15" customHeight="1">
      <c r="A100" s="5">
        <v>44568</v>
      </c>
      <c r="B100" s="5">
        <v>44572</v>
      </c>
      <c r="C100" s="6" t="s">
        <v>30</v>
      </c>
      <c r="D100" s="7">
        <v>189418.62</v>
      </c>
      <c r="E100" s="8">
        <v>0</v>
      </c>
      <c r="F100" s="9">
        <f t="shared" si="20"/>
        <v>639276.71000000031</v>
      </c>
      <c r="G100" s="10"/>
      <c r="H100" s="11"/>
    </row>
    <row r="101" spans="1:8" ht="15" customHeight="1">
      <c r="A101" s="5">
        <v>44568</v>
      </c>
      <c r="B101" s="5">
        <v>44572</v>
      </c>
      <c r="C101" s="11" t="s">
        <v>11</v>
      </c>
      <c r="D101" s="12">
        <v>14.98</v>
      </c>
      <c r="E101" s="12">
        <v>0</v>
      </c>
      <c r="F101" s="9">
        <f t="shared" si="20"/>
        <v>639261.73000000033</v>
      </c>
      <c r="G101" s="13"/>
      <c r="H101" s="11"/>
    </row>
    <row r="102" spans="1:8" ht="15" customHeight="1">
      <c r="A102" s="5">
        <v>44571</v>
      </c>
      <c r="B102" s="5">
        <v>44573</v>
      </c>
      <c r="C102" s="6" t="s">
        <v>34</v>
      </c>
      <c r="D102" s="7">
        <v>0</v>
      </c>
      <c r="E102" s="8">
        <v>25144.19</v>
      </c>
      <c r="F102" s="9">
        <f t="shared" ref="F102" si="21">F101-D102+E102</f>
        <v>664405.92000000027</v>
      </c>
      <c r="G102" s="10"/>
      <c r="H102" s="11"/>
    </row>
    <row r="103" spans="1:8" ht="15" customHeight="1">
      <c r="A103" s="5">
        <v>44571</v>
      </c>
      <c r="B103" s="5">
        <v>44573</v>
      </c>
      <c r="C103" s="6" t="s">
        <v>47</v>
      </c>
      <c r="D103" s="7">
        <v>57727.58</v>
      </c>
      <c r="E103" s="8">
        <v>0</v>
      </c>
      <c r="F103" s="9">
        <f t="shared" ref="F103:F106" si="22">F102-D103+E103</f>
        <v>606678.34000000032</v>
      </c>
      <c r="G103" s="10"/>
      <c r="H103" s="11"/>
    </row>
    <row r="104" spans="1:8" ht="15" customHeight="1">
      <c r="A104" s="5">
        <v>44571</v>
      </c>
      <c r="B104" s="5">
        <v>44573</v>
      </c>
      <c r="C104" s="11" t="s">
        <v>11</v>
      </c>
      <c r="D104" s="12">
        <v>14.98</v>
      </c>
      <c r="E104" s="12">
        <v>0</v>
      </c>
      <c r="F104" s="9">
        <f t="shared" si="22"/>
        <v>606663.36000000034</v>
      </c>
      <c r="G104" s="13"/>
      <c r="H104" s="11"/>
    </row>
    <row r="105" spans="1:8" ht="15" customHeight="1">
      <c r="A105" s="5">
        <v>44572</v>
      </c>
      <c r="B105" s="5">
        <v>44574</v>
      </c>
      <c r="C105" s="6" t="s">
        <v>42</v>
      </c>
      <c r="D105" s="7">
        <v>0</v>
      </c>
      <c r="E105" s="8">
        <v>138442.69</v>
      </c>
      <c r="F105" s="9">
        <f t="shared" si="22"/>
        <v>745106.05000000028</v>
      </c>
      <c r="G105" s="10"/>
      <c r="H105" s="11"/>
    </row>
    <row r="106" spans="1:8" ht="15" customHeight="1">
      <c r="A106" s="5">
        <v>44572</v>
      </c>
      <c r="B106" s="5">
        <v>44574</v>
      </c>
      <c r="C106" s="6" t="s">
        <v>34</v>
      </c>
      <c r="D106" s="7">
        <v>0</v>
      </c>
      <c r="E106" s="8">
        <v>20055.48</v>
      </c>
      <c r="F106" s="9">
        <f t="shared" si="22"/>
        <v>765161.53000000026</v>
      </c>
      <c r="G106" s="10"/>
      <c r="H106" s="11"/>
    </row>
    <row r="107" spans="1:8" ht="15" customHeight="1">
      <c r="A107" s="5">
        <v>44572</v>
      </c>
      <c r="B107" s="5">
        <v>44574</v>
      </c>
      <c r="C107" s="6" t="s">
        <v>34</v>
      </c>
      <c r="D107" s="7">
        <v>140310.09</v>
      </c>
      <c r="E107" s="8">
        <v>0</v>
      </c>
      <c r="F107" s="9">
        <f t="shared" ref="F107" si="23">F106-D107+E107</f>
        <v>624851.44000000029</v>
      </c>
      <c r="G107" s="10"/>
      <c r="H107" s="11"/>
    </row>
    <row r="108" spans="1:8" ht="15" customHeight="1">
      <c r="A108" s="5">
        <v>44572</v>
      </c>
      <c r="B108" s="5">
        <v>44574</v>
      </c>
      <c r="C108" s="6" t="s">
        <v>25</v>
      </c>
      <c r="D108" s="7">
        <v>126279.08</v>
      </c>
      <c r="E108" s="8">
        <v>0</v>
      </c>
      <c r="F108" s="9">
        <f t="shared" ref="F108:F126" si="24">F107-D108+E108</f>
        <v>498572.36000000028</v>
      </c>
      <c r="G108" s="10"/>
      <c r="H108" s="11"/>
    </row>
    <row r="109" spans="1:8" ht="15" customHeight="1">
      <c r="A109" s="5">
        <v>44572</v>
      </c>
      <c r="B109" s="5">
        <v>44574</v>
      </c>
      <c r="C109" s="11" t="s">
        <v>11</v>
      </c>
      <c r="D109" s="12">
        <v>14.98</v>
      </c>
      <c r="E109" s="12">
        <v>0</v>
      </c>
      <c r="F109" s="9">
        <f t="shared" si="24"/>
        <v>498557.3800000003</v>
      </c>
      <c r="G109" s="13"/>
      <c r="H109" s="11"/>
    </row>
    <row r="110" spans="1:8" ht="15" customHeight="1">
      <c r="A110" s="5">
        <v>44574</v>
      </c>
      <c r="B110" s="5">
        <v>44578</v>
      </c>
      <c r="C110" s="6" t="s">
        <v>43</v>
      </c>
      <c r="D110" s="7">
        <v>0</v>
      </c>
      <c r="E110" s="8">
        <v>60864.89</v>
      </c>
      <c r="F110" s="9">
        <f t="shared" si="24"/>
        <v>559422.27000000025</v>
      </c>
      <c r="G110" s="10"/>
      <c r="H110" s="11"/>
    </row>
    <row r="111" spans="1:8" ht="15" customHeight="1">
      <c r="A111" s="5">
        <v>44574</v>
      </c>
      <c r="B111" s="5">
        <v>44578</v>
      </c>
      <c r="C111" s="6" t="s">
        <v>8</v>
      </c>
      <c r="D111" s="7">
        <v>0</v>
      </c>
      <c r="E111" s="8">
        <v>115343.96</v>
      </c>
      <c r="F111" s="9">
        <f t="shared" si="24"/>
        <v>674766.23000000021</v>
      </c>
      <c r="G111" s="10"/>
      <c r="H111" s="11"/>
    </row>
    <row r="112" spans="1:8" ht="15" customHeight="1">
      <c r="A112" s="5">
        <v>44574</v>
      </c>
      <c r="B112" s="5">
        <v>44578</v>
      </c>
      <c r="C112" s="6" t="s">
        <v>30</v>
      </c>
      <c r="D112" s="7">
        <v>0</v>
      </c>
      <c r="E112" s="8">
        <v>49390.36</v>
      </c>
      <c r="F112" s="9">
        <f t="shared" si="24"/>
        <v>724156.5900000002</v>
      </c>
      <c r="G112" s="10"/>
      <c r="H112" s="11"/>
    </row>
    <row r="113" spans="1:8" ht="15" customHeight="1">
      <c r="A113" s="5">
        <v>44574</v>
      </c>
      <c r="B113" s="5">
        <v>44578</v>
      </c>
      <c r="C113" s="11" t="s">
        <v>11</v>
      </c>
      <c r="D113" s="12">
        <v>14.98</v>
      </c>
      <c r="E113" s="12">
        <v>0</v>
      </c>
      <c r="F113" s="9">
        <f t="shared" si="24"/>
        <v>724141.61000000022</v>
      </c>
      <c r="G113" s="13"/>
      <c r="H113" s="11"/>
    </row>
    <row r="114" spans="1:8" ht="15" customHeight="1">
      <c r="A114" s="5" t="s">
        <v>12</v>
      </c>
      <c r="B114" s="5">
        <v>44578</v>
      </c>
      <c r="C114" s="11" t="s">
        <v>39</v>
      </c>
      <c r="D114" s="12">
        <v>432</v>
      </c>
      <c r="E114" s="12">
        <v>0</v>
      </c>
      <c r="F114" s="9">
        <f t="shared" si="24"/>
        <v>723709.61000000022</v>
      </c>
      <c r="G114" s="11"/>
      <c r="H114" s="11"/>
    </row>
    <row r="115" spans="1:8" ht="15" customHeight="1">
      <c r="A115" s="5">
        <v>44575</v>
      </c>
      <c r="B115" s="5">
        <v>44579</v>
      </c>
      <c r="C115" s="6" t="s">
        <v>57</v>
      </c>
      <c r="D115" s="7">
        <v>140310.09</v>
      </c>
      <c r="E115" s="8">
        <v>0</v>
      </c>
      <c r="F115" s="9">
        <f t="shared" si="24"/>
        <v>583399.52000000025</v>
      </c>
      <c r="G115" s="10"/>
      <c r="H115" s="11"/>
    </row>
    <row r="116" spans="1:8" ht="15" customHeight="1">
      <c r="A116" s="5">
        <v>44575</v>
      </c>
      <c r="B116" s="5">
        <v>44579</v>
      </c>
      <c r="C116" s="11" t="s">
        <v>11</v>
      </c>
      <c r="D116" s="12">
        <v>14.98</v>
      </c>
      <c r="E116" s="12">
        <v>0</v>
      </c>
      <c r="F116" s="9">
        <f t="shared" si="24"/>
        <v>583384.54000000027</v>
      </c>
      <c r="G116" s="13"/>
      <c r="H116" s="11"/>
    </row>
    <row r="117" spans="1:8" ht="15" customHeight="1">
      <c r="A117" s="5">
        <v>44578</v>
      </c>
      <c r="B117" s="5">
        <v>44580</v>
      </c>
      <c r="C117" s="6" t="s">
        <v>36</v>
      </c>
      <c r="D117" s="7">
        <v>73662.8</v>
      </c>
      <c r="E117" s="8">
        <v>0</v>
      </c>
      <c r="F117" s="9">
        <f t="shared" si="24"/>
        <v>509721.74000000028</v>
      </c>
      <c r="G117" s="10"/>
      <c r="H117" s="11"/>
    </row>
    <row r="118" spans="1:8" ht="15" customHeight="1">
      <c r="A118" s="5">
        <v>44578</v>
      </c>
      <c r="B118" s="5">
        <v>44580</v>
      </c>
      <c r="C118" s="6" t="s">
        <v>8</v>
      </c>
      <c r="D118" s="7">
        <v>0</v>
      </c>
      <c r="E118" s="8">
        <v>115343.96</v>
      </c>
      <c r="F118" s="9">
        <f t="shared" si="24"/>
        <v>625065.7000000003</v>
      </c>
      <c r="G118" s="10"/>
      <c r="H118" s="11"/>
    </row>
    <row r="119" spans="1:8" ht="15" customHeight="1">
      <c r="A119" s="5">
        <v>44578</v>
      </c>
      <c r="B119" s="5">
        <v>44580</v>
      </c>
      <c r="C119" s="6" t="s">
        <v>35</v>
      </c>
      <c r="D119" s="7">
        <v>95009.98</v>
      </c>
      <c r="E119" s="8">
        <v>0</v>
      </c>
      <c r="F119" s="9">
        <f t="shared" si="24"/>
        <v>530055.72000000032</v>
      </c>
      <c r="G119" s="10"/>
      <c r="H119" s="11"/>
    </row>
    <row r="120" spans="1:8" ht="15" customHeight="1">
      <c r="A120" s="5">
        <v>44578</v>
      </c>
      <c r="B120" s="5">
        <v>44580</v>
      </c>
      <c r="C120" s="11" t="s">
        <v>11</v>
      </c>
      <c r="D120" s="12">
        <v>14.98</v>
      </c>
      <c r="E120" s="12">
        <v>0</v>
      </c>
      <c r="F120" s="9">
        <f t="shared" si="24"/>
        <v>530040.74000000034</v>
      </c>
      <c r="G120" s="13"/>
      <c r="H120" s="11"/>
    </row>
    <row r="121" spans="1:8" ht="15" customHeight="1">
      <c r="A121" s="5">
        <v>44579</v>
      </c>
      <c r="B121" s="5">
        <v>44581</v>
      </c>
      <c r="C121" s="6" t="s">
        <v>43</v>
      </c>
      <c r="D121" s="7">
        <v>0</v>
      </c>
      <c r="E121" s="8">
        <v>115743.07</v>
      </c>
      <c r="F121" s="9">
        <f t="shared" si="24"/>
        <v>645783.81000000029</v>
      </c>
      <c r="G121" s="10"/>
      <c r="H121" s="11"/>
    </row>
    <row r="122" spans="1:8" ht="15" customHeight="1">
      <c r="A122" s="5">
        <v>44579</v>
      </c>
      <c r="B122" s="5">
        <v>44581</v>
      </c>
      <c r="C122" s="6" t="s">
        <v>6</v>
      </c>
      <c r="D122" s="7">
        <v>162358.81</v>
      </c>
      <c r="E122" s="8">
        <v>0</v>
      </c>
      <c r="F122" s="9">
        <f t="shared" si="24"/>
        <v>483425.00000000029</v>
      </c>
      <c r="G122" s="10"/>
      <c r="H122" s="11"/>
    </row>
    <row r="123" spans="1:8" ht="15" customHeight="1">
      <c r="A123" s="5">
        <v>44579</v>
      </c>
      <c r="B123" s="5">
        <v>44581</v>
      </c>
      <c r="C123" s="6" t="s">
        <v>58</v>
      </c>
      <c r="D123" s="7">
        <v>115455.15</v>
      </c>
      <c r="E123" s="8">
        <v>0</v>
      </c>
      <c r="F123" s="9">
        <f t="shared" si="24"/>
        <v>367969.85000000033</v>
      </c>
      <c r="G123" s="10"/>
      <c r="H123" s="11"/>
    </row>
    <row r="124" spans="1:8" ht="15" customHeight="1">
      <c r="A124" s="5">
        <v>44579</v>
      </c>
      <c r="B124" s="5">
        <v>44581</v>
      </c>
      <c r="C124" s="11" t="s">
        <v>11</v>
      </c>
      <c r="D124" s="12">
        <v>14.98</v>
      </c>
      <c r="E124" s="12">
        <v>0</v>
      </c>
      <c r="F124" s="9">
        <f t="shared" si="24"/>
        <v>367954.87000000034</v>
      </c>
      <c r="G124" s="13"/>
      <c r="H124" s="11"/>
    </row>
    <row r="125" spans="1:8" ht="15" customHeight="1">
      <c r="A125" s="5">
        <v>44580</v>
      </c>
      <c r="B125" s="5">
        <v>44582</v>
      </c>
      <c r="C125" s="6" t="s">
        <v>25</v>
      </c>
      <c r="D125" s="7">
        <v>0</v>
      </c>
      <c r="E125" s="8">
        <v>63982.97</v>
      </c>
      <c r="F125" s="9">
        <f t="shared" si="24"/>
        <v>431937.84000000032</v>
      </c>
      <c r="G125" s="10"/>
      <c r="H125" s="11"/>
    </row>
    <row r="126" spans="1:8" ht="15" customHeight="1">
      <c r="A126" s="5">
        <v>44580</v>
      </c>
      <c r="B126" s="5">
        <v>44582</v>
      </c>
      <c r="C126" s="6" t="s">
        <v>36</v>
      </c>
      <c r="D126" s="7">
        <v>0</v>
      </c>
      <c r="E126" s="8">
        <v>74085.539999999994</v>
      </c>
      <c r="F126" s="9">
        <f t="shared" si="24"/>
        <v>506023.3800000003</v>
      </c>
      <c r="G126" s="10"/>
      <c r="H126" s="11"/>
    </row>
    <row r="127" spans="1:8" ht="15" customHeight="1">
      <c r="A127" s="5">
        <v>44580</v>
      </c>
      <c r="B127" s="5">
        <v>44582</v>
      </c>
      <c r="C127" s="11" t="s">
        <v>11</v>
      </c>
      <c r="D127" s="12">
        <v>14.98</v>
      </c>
      <c r="E127" s="12">
        <v>0</v>
      </c>
      <c r="F127" s="9">
        <f>F126-D127+E127</f>
        <v>506008.40000000031</v>
      </c>
      <c r="G127" s="13"/>
      <c r="H127" s="11"/>
    </row>
    <row r="128" spans="1:8" ht="15" customHeight="1">
      <c r="A128" s="5" t="s">
        <v>12</v>
      </c>
      <c r="B128" s="5">
        <v>44585</v>
      </c>
      <c r="C128" s="11" t="s">
        <v>13</v>
      </c>
      <c r="D128" s="12">
        <v>1900</v>
      </c>
      <c r="E128" s="12">
        <v>0</v>
      </c>
      <c r="F128" s="9">
        <f t="shared" ref="F128:F161" si="25">F127-D128+E128</f>
        <v>504108.40000000031</v>
      </c>
      <c r="G128" s="13"/>
      <c r="H128" s="11"/>
    </row>
    <row r="129" spans="1:8" ht="15" customHeight="1">
      <c r="A129" s="5" t="s">
        <v>12</v>
      </c>
      <c r="B129" s="5">
        <v>44586</v>
      </c>
      <c r="C129" s="11" t="s">
        <v>13</v>
      </c>
      <c r="D129" s="12">
        <v>500</v>
      </c>
      <c r="E129" s="12">
        <v>0</v>
      </c>
      <c r="F129" s="9">
        <f t="shared" si="25"/>
        <v>503608.40000000031</v>
      </c>
      <c r="G129" s="13"/>
      <c r="H129" s="11"/>
    </row>
    <row r="130" spans="1:8" ht="15" customHeight="1">
      <c r="A130" s="5">
        <v>44582</v>
      </c>
      <c r="B130" s="5">
        <v>44586</v>
      </c>
      <c r="C130" s="6" t="s">
        <v>8</v>
      </c>
      <c r="D130" s="7">
        <v>0</v>
      </c>
      <c r="E130" s="8">
        <v>111751.93</v>
      </c>
      <c r="F130" s="9">
        <f t="shared" si="25"/>
        <v>615360.33000000031</v>
      </c>
      <c r="G130" s="10"/>
      <c r="H130" s="11"/>
    </row>
    <row r="131" spans="1:8" ht="15" customHeight="1">
      <c r="A131" s="5">
        <v>44582</v>
      </c>
      <c r="B131" s="5">
        <v>44586</v>
      </c>
      <c r="C131" s="6" t="s">
        <v>56</v>
      </c>
      <c r="D131" s="7">
        <v>127481.73</v>
      </c>
      <c r="E131" s="8">
        <v>0</v>
      </c>
      <c r="F131" s="9">
        <f t="shared" si="25"/>
        <v>487878.60000000033</v>
      </c>
      <c r="G131" s="10"/>
      <c r="H131" s="11"/>
    </row>
    <row r="132" spans="1:8" ht="15" customHeight="1">
      <c r="A132" s="5">
        <v>44582</v>
      </c>
      <c r="B132" s="5">
        <v>44586</v>
      </c>
      <c r="C132" s="6" t="s">
        <v>59</v>
      </c>
      <c r="D132" s="7">
        <v>104230.35</v>
      </c>
      <c r="E132" s="8">
        <v>0</v>
      </c>
      <c r="F132" s="9">
        <f t="shared" si="25"/>
        <v>383648.25000000035</v>
      </c>
      <c r="G132" s="10"/>
      <c r="H132" s="11"/>
    </row>
    <row r="133" spans="1:8" ht="15" customHeight="1">
      <c r="A133" s="5">
        <v>44582</v>
      </c>
      <c r="B133" s="5">
        <v>44586</v>
      </c>
      <c r="C133" s="11" t="s">
        <v>11</v>
      </c>
      <c r="D133" s="12">
        <v>14.98</v>
      </c>
      <c r="E133" s="12">
        <v>0</v>
      </c>
      <c r="F133" s="9">
        <f t="shared" si="25"/>
        <v>383633.27000000037</v>
      </c>
      <c r="G133" s="14"/>
      <c r="H133" s="11"/>
    </row>
    <row r="134" spans="1:8" ht="15" customHeight="1">
      <c r="A134" s="5">
        <v>44585</v>
      </c>
      <c r="B134" s="5">
        <v>44587</v>
      </c>
      <c r="C134" s="6" t="s">
        <v>42</v>
      </c>
      <c r="D134" s="7">
        <v>0</v>
      </c>
      <c r="E134" s="8">
        <v>138442.69</v>
      </c>
      <c r="F134" s="9">
        <f t="shared" si="25"/>
        <v>522075.96000000037</v>
      </c>
      <c r="G134" s="15"/>
      <c r="H134" s="11"/>
    </row>
    <row r="135" spans="1:8" ht="15" customHeight="1">
      <c r="A135" s="5">
        <v>44585</v>
      </c>
      <c r="B135" s="5">
        <v>44587</v>
      </c>
      <c r="C135" s="11" t="s">
        <v>11</v>
      </c>
      <c r="D135" s="12">
        <v>14.98</v>
      </c>
      <c r="E135" s="12">
        <v>0</v>
      </c>
      <c r="F135" s="9">
        <f t="shared" si="25"/>
        <v>522060.98000000039</v>
      </c>
      <c r="G135" s="13"/>
      <c r="H135" s="11"/>
    </row>
    <row r="136" spans="1:8" ht="15" customHeight="1">
      <c r="A136" s="5">
        <v>44586</v>
      </c>
      <c r="B136" s="5">
        <v>44588</v>
      </c>
      <c r="C136" s="6" t="s">
        <v>60</v>
      </c>
      <c r="D136" s="7">
        <v>153338.88</v>
      </c>
      <c r="E136" s="8">
        <v>0</v>
      </c>
      <c r="F136" s="9">
        <f t="shared" si="25"/>
        <v>368722.10000000038</v>
      </c>
      <c r="G136" s="10"/>
      <c r="H136" s="11"/>
    </row>
    <row r="137" spans="1:8" ht="15" customHeight="1">
      <c r="A137" s="5">
        <v>44586</v>
      </c>
      <c r="B137" s="5">
        <v>44588</v>
      </c>
      <c r="C137" s="11" t="s">
        <v>11</v>
      </c>
      <c r="D137" s="12">
        <v>14.98</v>
      </c>
      <c r="E137" s="12">
        <v>0</v>
      </c>
      <c r="F137" s="9">
        <f t="shared" si="25"/>
        <v>368707.1200000004</v>
      </c>
      <c r="G137" s="14"/>
      <c r="H137" s="11"/>
    </row>
    <row r="138" spans="1:8" ht="15" customHeight="1">
      <c r="A138" s="5">
        <v>44587</v>
      </c>
      <c r="B138" s="5">
        <v>44589</v>
      </c>
      <c r="C138" s="6" t="s">
        <v>42</v>
      </c>
      <c r="D138" s="7">
        <v>0</v>
      </c>
      <c r="E138" s="8">
        <v>144429.4</v>
      </c>
      <c r="F138" s="9">
        <f t="shared" si="25"/>
        <v>513136.52000000037</v>
      </c>
      <c r="G138" s="10"/>
      <c r="H138" s="11"/>
    </row>
    <row r="139" spans="1:8" ht="15" customHeight="1">
      <c r="A139" s="5">
        <v>44587</v>
      </c>
      <c r="B139" s="5">
        <v>44589</v>
      </c>
      <c r="C139" s="6" t="s">
        <v>61</v>
      </c>
      <c r="D139" s="7">
        <v>141312.29999999999</v>
      </c>
      <c r="E139" s="8">
        <v>0</v>
      </c>
      <c r="F139" s="9">
        <f t="shared" si="25"/>
        <v>371824.22000000038</v>
      </c>
      <c r="G139" s="10"/>
      <c r="H139" s="11"/>
    </row>
    <row r="140" spans="1:8" ht="15" customHeight="1">
      <c r="A140" s="5">
        <v>44587</v>
      </c>
      <c r="B140" s="5">
        <v>44589</v>
      </c>
      <c r="C140" s="6" t="s">
        <v>34</v>
      </c>
      <c r="D140" s="7">
        <v>102225.92</v>
      </c>
      <c r="E140" s="8">
        <v>0</v>
      </c>
      <c r="F140" s="9">
        <f t="shared" si="25"/>
        <v>269598.3000000004</v>
      </c>
      <c r="G140" s="10"/>
      <c r="H140" s="11"/>
    </row>
    <row r="141" spans="1:8" ht="15" customHeight="1">
      <c r="A141" s="5">
        <v>44587</v>
      </c>
      <c r="B141" s="5">
        <v>44589</v>
      </c>
      <c r="C141" s="11" t="s">
        <v>11</v>
      </c>
      <c r="D141" s="12">
        <v>14.98</v>
      </c>
      <c r="E141" s="12">
        <v>0</v>
      </c>
      <c r="F141" s="9">
        <f t="shared" si="25"/>
        <v>269583.32000000041</v>
      </c>
      <c r="G141" s="14"/>
      <c r="H141" s="11"/>
    </row>
    <row r="142" spans="1:8" ht="15" customHeight="1">
      <c r="A142" s="5">
        <v>44588</v>
      </c>
      <c r="B142" s="5">
        <v>44592</v>
      </c>
      <c r="C142" s="6" t="s">
        <v>62</v>
      </c>
      <c r="D142" s="7">
        <v>0</v>
      </c>
      <c r="E142" s="8">
        <v>72838.31</v>
      </c>
      <c r="F142" s="9">
        <f t="shared" si="25"/>
        <v>342421.63000000041</v>
      </c>
      <c r="G142" s="10"/>
      <c r="H142" s="11"/>
    </row>
    <row r="143" spans="1:8" ht="15" customHeight="1">
      <c r="A143" s="5">
        <v>44588</v>
      </c>
      <c r="B143" s="5">
        <v>44592</v>
      </c>
      <c r="C143" s="11" t="s">
        <v>11</v>
      </c>
      <c r="D143" s="12">
        <v>14.98</v>
      </c>
      <c r="E143" s="12">
        <v>0</v>
      </c>
      <c r="F143" s="9">
        <f t="shared" si="25"/>
        <v>342406.65000000043</v>
      </c>
      <c r="G143" s="14"/>
      <c r="H143" s="11"/>
    </row>
    <row r="144" spans="1:8" ht="15" customHeight="1">
      <c r="A144" s="5" t="s">
        <v>12</v>
      </c>
      <c r="B144" s="5">
        <v>44592</v>
      </c>
      <c r="C144" s="11" t="s">
        <v>13</v>
      </c>
      <c r="D144" s="12">
        <v>50000</v>
      </c>
      <c r="E144" s="12">
        <v>0</v>
      </c>
      <c r="F144" s="9">
        <f t="shared" si="25"/>
        <v>292406.65000000043</v>
      </c>
      <c r="G144" s="13"/>
      <c r="H144" s="11"/>
    </row>
    <row r="145" spans="1:8" ht="15" customHeight="1">
      <c r="A145" s="5">
        <v>44589</v>
      </c>
      <c r="B145" s="5">
        <v>44593</v>
      </c>
      <c r="C145" s="6" t="s">
        <v>34</v>
      </c>
      <c r="D145" s="7">
        <v>0</v>
      </c>
      <c r="E145" s="8">
        <v>105964.78</v>
      </c>
      <c r="F145" s="9">
        <f t="shared" si="25"/>
        <v>398371.4300000004</v>
      </c>
      <c r="G145" s="10"/>
      <c r="H145" s="11"/>
    </row>
    <row r="146" spans="1:8" ht="15" customHeight="1">
      <c r="A146" s="5">
        <v>44589</v>
      </c>
      <c r="B146" s="5">
        <v>44593</v>
      </c>
      <c r="C146" s="11" t="s">
        <v>11</v>
      </c>
      <c r="D146" s="12">
        <v>14.98</v>
      </c>
      <c r="E146" s="12">
        <v>0</v>
      </c>
      <c r="F146" s="9">
        <f t="shared" si="25"/>
        <v>398356.45000000042</v>
      </c>
      <c r="G146" s="14"/>
      <c r="H146" s="11"/>
    </row>
    <row r="147" spans="1:8" ht="15" customHeight="1">
      <c r="A147" s="5" t="s">
        <v>12</v>
      </c>
      <c r="B147" s="5">
        <v>44593</v>
      </c>
      <c r="C147" s="11" t="s">
        <v>63</v>
      </c>
      <c r="D147" s="12">
        <v>1110</v>
      </c>
      <c r="E147" s="12">
        <v>0</v>
      </c>
      <c r="F147" s="9">
        <f t="shared" si="25"/>
        <v>397246.45000000042</v>
      </c>
      <c r="G147" s="13"/>
      <c r="H147" s="11"/>
    </row>
    <row r="148" spans="1:8" ht="15" customHeight="1">
      <c r="A148" s="5">
        <v>44592</v>
      </c>
      <c r="B148" s="5">
        <v>44594</v>
      </c>
      <c r="C148" s="6" t="s">
        <v>64</v>
      </c>
      <c r="D148" s="7">
        <v>0</v>
      </c>
      <c r="E148" s="8">
        <v>65554.48</v>
      </c>
      <c r="F148" s="9">
        <f t="shared" si="25"/>
        <v>462800.9300000004</v>
      </c>
      <c r="G148" s="10"/>
      <c r="H148" s="11"/>
    </row>
    <row r="149" spans="1:8" ht="15" customHeight="1">
      <c r="A149" s="5">
        <v>44592</v>
      </c>
      <c r="B149" s="5">
        <v>44594</v>
      </c>
      <c r="C149" s="6" t="s">
        <v>60</v>
      </c>
      <c r="D149" s="7">
        <v>0</v>
      </c>
      <c r="E149" s="8">
        <v>106264.11</v>
      </c>
      <c r="F149" s="9">
        <f t="shared" si="25"/>
        <v>569065.04000000039</v>
      </c>
      <c r="G149" s="10"/>
      <c r="H149" s="11"/>
    </row>
    <row r="150" spans="1:8" ht="15" customHeight="1">
      <c r="A150" s="5">
        <v>44592</v>
      </c>
      <c r="B150" s="5">
        <v>44594</v>
      </c>
      <c r="C150" s="11" t="s">
        <v>11</v>
      </c>
      <c r="D150" s="12">
        <v>14.98</v>
      </c>
      <c r="E150" s="12">
        <v>0</v>
      </c>
      <c r="F150" s="9">
        <f t="shared" si="25"/>
        <v>569050.06000000041</v>
      </c>
      <c r="G150" s="14"/>
      <c r="H150" s="11"/>
    </row>
    <row r="151" spans="1:8" ht="15" customHeight="1">
      <c r="A151" s="5">
        <v>44593</v>
      </c>
      <c r="B151" s="5">
        <v>44595</v>
      </c>
      <c r="C151" s="6" t="s">
        <v>65</v>
      </c>
      <c r="D151" s="7">
        <v>0</v>
      </c>
      <c r="E151" s="8">
        <v>65554.48</v>
      </c>
      <c r="F151" s="9">
        <f t="shared" si="25"/>
        <v>634604.54000000039</v>
      </c>
      <c r="G151" s="10"/>
      <c r="H151" s="11"/>
    </row>
    <row r="152" spans="1:8" ht="15" customHeight="1">
      <c r="A152" s="5">
        <v>44593</v>
      </c>
      <c r="B152" s="5">
        <v>44595</v>
      </c>
      <c r="C152" s="6" t="s">
        <v>30</v>
      </c>
      <c r="D152" s="7">
        <v>133044.03</v>
      </c>
      <c r="E152" s="8">
        <v>0</v>
      </c>
      <c r="F152" s="9">
        <f t="shared" si="25"/>
        <v>501560.51000000036</v>
      </c>
      <c r="G152" s="10"/>
      <c r="H152" s="11"/>
    </row>
    <row r="153" spans="1:8" ht="15" customHeight="1">
      <c r="A153" s="5">
        <v>44593</v>
      </c>
      <c r="B153" s="5">
        <v>44595</v>
      </c>
      <c r="C153" s="11" t="s">
        <v>11</v>
      </c>
      <c r="D153" s="12">
        <v>14.98</v>
      </c>
      <c r="E153" s="12">
        <v>0</v>
      </c>
      <c r="F153" s="9">
        <f t="shared" si="25"/>
        <v>501545.53000000038</v>
      </c>
      <c r="G153" s="14"/>
      <c r="H153" s="11"/>
    </row>
    <row r="154" spans="1:8" ht="15" customHeight="1">
      <c r="A154" s="5">
        <v>44594</v>
      </c>
      <c r="B154" s="5">
        <v>44596</v>
      </c>
      <c r="C154" s="6" t="s">
        <v>15</v>
      </c>
      <c r="D154" s="7">
        <v>0</v>
      </c>
      <c r="E154" s="8">
        <v>54878.18</v>
      </c>
      <c r="F154" s="9">
        <f t="shared" si="25"/>
        <v>556423.71000000043</v>
      </c>
      <c r="G154" s="10"/>
      <c r="H154" s="11"/>
    </row>
    <row r="155" spans="1:8" ht="15" customHeight="1">
      <c r="A155" s="5">
        <v>44594</v>
      </c>
      <c r="B155" s="5">
        <v>44596</v>
      </c>
      <c r="C155" s="11" t="s">
        <v>11</v>
      </c>
      <c r="D155" s="12">
        <v>14.98</v>
      </c>
      <c r="E155" s="12">
        <v>0</v>
      </c>
      <c r="F155" s="9">
        <f t="shared" si="25"/>
        <v>556408.73000000045</v>
      </c>
      <c r="G155" s="14"/>
      <c r="H155" s="11"/>
    </row>
    <row r="156" spans="1:8" ht="15" customHeight="1">
      <c r="A156" s="5">
        <v>44595</v>
      </c>
      <c r="B156" s="5">
        <v>44599</v>
      </c>
      <c r="C156" s="6" t="s">
        <v>62</v>
      </c>
      <c r="D156" s="7">
        <v>0</v>
      </c>
      <c r="E156" s="8">
        <v>73337.2</v>
      </c>
      <c r="F156" s="9">
        <f t="shared" si="25"/>
        <v>629745.9300000004</v>
      </c>
      <c r="G156" s="10"/>
      <c r="H156" s="11"/>
    </row>
    <row r="157" spans="1:8" ht="15" customHeight="1">
      <c r="A157" s="5">
        <v>44595</v>
      </c>
      <c r="B157" s="5">
        <v>44599</v>
      </c>
      <c r="C157" s="6" t="s">
        <v>22</v>
      </c>
      <c r="D157" s="7">
        <v>125276.86</v>
      </c>
      <c r="E157" s="8">
        <v>0</v>
      </c>
      <c r="F157" s="9">
        <f t="shared" si="25"/>
        <v>504469.07000000041</v>
      </c>
      <c r="G157" s="10"/>
      <c r="H157" s="11"/>
    </row>
    <row r="158" spans="1:8" ht="15" customHeight="1">
      <c r="A158" s="5">
        <v>44595</v>
      </c>
      <c r="B158" s="5">
        <v>44599</v>
      </c>
      <c r="C158" s="11" t="s">
        <v>11</v>
      </c>
      <c r="D158" s="12">
        <v>14.98</v>
      </c>
      <c r="E158" s="12">
        <v>0</v>
      </c>
      <c r="F158" s="9">
        <f t="shared" si="25"/>
        <v>504454.09000000043</v>
      </c>
      <c r="G158" s="14"/>
      <c r="H158" s="11"/>
    </row>
    <row r="159" spans="1:8" ht="15" customHeight="1">
      <c r="A159" s="5">
        <v>44596</v>
      </c>
      <c r="B159" s="5">
        <v>44600</v>
      </c>
      <c r="C159" s="6" t="s">
        <v>25</v>
      </c>
      <c r="D159" s="16">
        <v>60884.55</v>
      </c>
      <c r="E159" s="8">
        <v>0</v>
      </c>
      <c r="F159" s="9">
        <f t="shared" si="25"/>
        <v>443569.54000000044</v>
      </c>
      <c r="G159" s="10"/>
      <c r="H159" s="11"/>
    </row>
    <row r="160" spans="1:8" ht="15" customHeight="1">
      <c r="A160" s="5">
        <v>44596</v>
      </c>
      <c r="B160" s="5">
        <v>44600</v>
      </c>
      <c r="C160" s="11" t="s">
        <v>11</v>
      </c>
      <c r="D160" s="12">
        <v>14.98</v>
      </c>
      <c r="E160" s="12">
        <v>0</v>
      </c>
      <c r="F160" s="9">
        <f t="shared" si="25"/>
        <v>443554.56000000046</v>
      </c>
      <c r="G160" s="14"/>
      <c r="H160" s="11"/>
    </row>
    <row r="161" spans="1:8" ht="15" customHeight="1">
      <c r="A161" s="5">
        <v>44601</v>
      </c>
      <c r="B161" s="5">
        <v>44603</v>
      </c>
      <c r="C161" s="6" t="s">
        <v>42</v>
      </c>
      <c r="D161" s="7">
        <v>0</v>
      </c>
      <c r="E161" s="8">
        <v>60465.78</v>
      </c>
      <c r="F161" s="9">
        <f t="shared" si="25"/>
        <v>504020.34000000043</v>
      </c>
      <c r="G161" s="10"/>
      <c r="H161" s="11"/>
    </row>
    <row r="162" spans="1:8" ht="15" customHeight="1">
      <c r="A162" s="5">
        <v>44601</v>
      </c>
      <c r="B162" s="5">
        <v>44603</v>
      </c>
      <c r="C162" s="6" t="s">
        <v>60</v>
      </c>
      <c r="D162" s="7">
        <v>0</v>
      </c>
      <c r="E162" s="8">
        <v>107760.79</v>
      </c>
      <c r="F162" s="9">
        <f t="shared" ref="F162" si="26">F161-D162+E162</f>
        <v>611781.13000000047</v>
      </c>
      <c r="G162" s="10"/>
      <c r="H162" s="11"/>
    </row>
    <row r="163" spans="1:8" ht="15" customHeight="1">
      <c r="A163" s="5">
        <v>44601</v>
      </c>
      <c r="B163" s="5">
        <v>44603</v>
      </c>
      <c r="C163" s="6" t="s">
        <v>6</v>
      </c>
      <c r="D163" s="7">
        <v>201445.19</v>
      </c>
      <c r="E163" s="8">
        <v>0</v>
      </c>
      <c r="F163" s="9">
        <f t="shared" ref="F163:F166" si="27">F162-D163+E163</f>
        <v>410335.94000000047</v>
      </c>
      <c r="G163" s="10"/>
      <c r="H163" s="11"/>
    </row>
    <row r="164" spans="1:8" ht="15" customHeight="1">
      <c r="A164" s="5">
        <v>44601</v>
      </c>
      <c r="B164" s="5">
        <v>44603</v>
      </c>
      <c r="C164" s="6" t="s">
        <v>34</v>
      </c>
      <c r="D164" s="7">
        <v>0</v>
      </c>
      <c r="E164" s="8">
        <v>61962.45</v>
      </c>
      <c r="F164" s="9">
        <f t="shared" si="27"/>
        <v>472298.39000000048</v>
      </c>
      <c r="G164" s="10"/>
      <c r="H164" s="11"/>
    </row>
    <row r="165" spans="1:8" ht="15" customHeight="1">
      <c r="A165" s="5">
        <v>44601</v>
      </c>
      <c r="B165" s="5">
        <v>44603</v>
      </c>
      <c r="C165" s="11" t="s">
        <v>11</v>
      </c>
      <c r="D165" s="12">
        <v>14.98</v>
      </c>
      <c r="E165" s="12">
        <v>0</v>
      </c>
      <c r="F165" s="9">
        <f t="shared" si="27"/>
        <v>472283.4100000005</v>
      </c>
      <c r="G165" s="14"/>
      <c r="H165" s="11"/>
    </row>
    <row r="166" spans="1:8" ht="15" customHeight="1">
      <c r="A166" s="5" t="s">
        <v>12</v>
      </c>
      <c r="B166" s="5">
        <v>44604</v>
      </c>
      <c r="C166" s="11" t="s">
        <v>11</v>
      </c>
      <c r="D166" s="12">
        <v>20</v>
      </c>
      <c r="E166" s="12">
        <v>0</v>
      </c>
      <c r="F166" s="9">
        <f t="shared" si="27"/>
        <v>472263.4100000005</v>
      </c>
      <c r="G166" s="13"/>
      <c r="H166" s="13"/>
    </row>
    <row r="167" spans="1:8" ht="15" customHeight="1">
      <c r="A167" s="5" t="s">
        <v>12</v>
      </c>
      <c r="B167" s="5">
        <v>44604</v>
      </c>
      <c r="C167" s="11" t="s">
        <v>66</v>
      </c>
      <c r="D167" s="12">
        <v>0</v>
      </c>
      <c r="E167" s="12">
        <v>299.3</v>
      </c>
      <c r="F167" s="9">
        <f t="shared" ref="F167:F188" si="28">F166-D167+E167</f>
        <v>472562.71000000049</v>
      </c>
      <c r="G167" s="14"/>
      <c r="H167" s="11"/>
    </row>
    <row r="168" spans="1:8" ht="15" customHeight="1">
      <c r="A168" s="5">
        <v>44602</v>
      </c>
      <c r="B168" s="5">
        <v>44606</v>
      </c>
      <c r="C168" s="6" t="s">
        <v>34</v>
      </c>
      <c r="D168" s="7">
        <v>0</v>
      </c>
      <c r="E168" s="8">
        <v>63159.8</v>
      </c>
      <c r="F168" s="9">
        <f t="shared" si="28"/>
        <v>535722.51000000047</v>
      </c>
      <c r="G168" s="10"/>
      <c r="H168" s="11"/>
    </row>
    <row r="169" spans="1:8" ht="15" customHeight="1">
      <c r="A169" s="5">
        <v>44602</v>
      </c>
      <c r="B169" s="5">
        <v>44606</v>
      </c>
      <c r="C169" s="11" t="s">
        <v>11</v>
      </c>
      <c r="D169" s="12">
        <v>14.98</v>
      </c>
      <c r="E169" s="12">
        <v>0</v>
      </c>
      <c r="F169" s="9">
        <f t="shared" si="28"/>
        <v>535707.53000000049</v>
      </c>
      <c r="G169" s="14"/>
      <c r="H169" s="11"/>
    </row>
    <row r="170" spans="1:8" ht="15" customHeight="1">
      <c r="A170" s="5"/>
      <c r="B170" s="5">
        <v>44607</v>
      </c>
      <c r="C170" s="17" t="s">
        <v>67</v>
      </c>
      <c r="D170" s="12">
        <v>0</v>
      </c>
      <c r="E170" s="12">
        <v>1547.1</v>
      </c>
      <c r="F170" s="9">
        <f t="shared" si="28"/>
        <v>537254.63000000047</v>
      </c>
      <c r="G170" s="14"/>
      <c r="H170" s="11"/>
    </row>
    <row r="171" spans="1:8" ht="15" customHeight="1">
      <c r="A171" s="5">
        <v>44603</v>
      </c>
      <c r="B171" s="5">
        <v>44607</v>
      </c>
      <c r="C171" s="6" t="s">
        <v>6</v>
      </c>
      <c r="D171" s="7">
        <v>61636.22</v>
      </c>
      <c r="E171" s="8">
        <v>0</v>
      </c>
      <c r="F171" s="9">
        <f t="shared" si="28"/>
        <v>475618.4100000005</v>
      </c>
      <c r="G171" s="10"/>
      <c r="H171" s="11"/>
    </row>
    <row r="172" spans="1:8" ht="15" customHeight="1">
      <c r="A172" s="5">
        <v>44603</v>
      </c>
      <c r="B172" s="5">
        <v>44607</v>
      </c>
      <c r="C172" s="6" t="s">
        <v>30</v>
      </c>
      <c r="D172" s="7">
        <v>79676.08</v>
      </c>
      <c r="E172" s="8">
        <v>0</v>
      </c>
      <c r="F172" s="9">
        <f t="shared" si="28"/>
        <v>395942.33000000048</v>
      </c>
      <c r="G172" s="10"/>
      <c r="H172" s="11"/>
    </row>
    <row r="173" spans="1:8" ht="15" customHeight="1">
      <c r="A173" s="5">
        <v>44603</v>
      </c>
      <c r="B173" s="5">
        <v>44607</v>
      </c>
      <c r="C173" s="6" t="s">
        <v>34</v>
      </c>
      <c r="D173" s="7">
        <v>0</v>
      </c>
      <c r="E173" s="8">
        <v>55077.74</v>
      </c>
      <c r="F173" s="9">
        <f t="shared" si="28"/>
        <v>451020.07000000047</v>
      </c>
      <c r="G173" s="10"/>
      <c r="H173" s="11"/>
    </row>
    <row r="174" spans="1:8" ht="15" customHeight="1">
      <c r="A174" s="5">
        <v>44603</v>
      </c>
      <c r="B174" s="5">
        <v>44607</v>
      </c>
      <c r="C174" s="11" t="s">
        <v>11</v>
      </c>
      <c r="D174" s="12">
        <v>14.98</v>
      </c>
      <c r="E174" s="12">
        <v>0</v>
      </c>
      <c r="F174" s="9">
        <f t="shared" si="28"/>
        <v>451005.09000000049</v>
      </c>
      <c r="G174" s="14"/>
      <c r="H174" s="11"/>
    </row>
    <row r="175" spans="1:8" ht="15" customHeight="1">
      <c r="A175" s="5" t="s">
        <v>12</v>
      </c>
      <c r="B175" s="5">
        <v>44607</v>
      </c>
      <c r="C175" s="11" t="s">
        <v>39</v>
      </c>
      <c r="D175" s="12">
        <v>432</v>
      </c>
      <c r="E175" s="12">
        <v>0</v>
      </c>
      <c r="F175" s="9">
        <f t="shared" si="28"/>
        <v>450573.09000000049</v>
      </c>
      <c r="G175" s="11"/>
      <c r="H175" s="11"/>
    </row>
    <row r="176" spans="1:8" ht="15" customHeight="1">
      <c r="A176" s="5">
        <v>44606</v>
      </c>
      <c r="B176" s="5">
        <v>44609</v>
      </c>
      <c r="C176" s="6" t="s">
        <v>56</v>
      </c>
      <c r="D176" s="7">
        <v>0</v>
      </c>
      <c r="E176" s="8">
        <v>246652.48</v>
      </c>
      <c r="F176" s="9">
        <f t="shared" si="28"/>
        <v>697225.57000000053</v>
      </c>
      <c r="G176" s="10"/>
      <c r="H176" s="11"/>
    </row>
    <row r="177" spans="1:8" ht="15" customHeight="1">
      <c r="A177" s="5">
        <v>44606</v>
      </c>
      <c r="B177" s="5">
        <v>44609</v>
      </c>
      <c r="C177" s="6" t="s">
        <v>60</v>
      </c>
      <c r="D177" s="7">
        <v>0</v>
      </c>
      <c r="E177" s="8">
        <v>107261.89</v>
      </c>
      <c r="F177" s="9">
        <f t="shared" si="28"/>
        <v>804487.46000000054</v>
      </c>
      <c r="G177" s="10"/>
      <c r="H177" s="11"/>
    </row>
    <row r="178" spans="1:8" ht="15" customHeight="1">
      <c r="A178" s="5">
        <v>44606</v>
      </c>
      <c r="B178" s="5">
        <v>44609</v>
      </c>
      <c r="C178" s="6" t="s">
        <v>7</v>
      </c>
      <c r="D178" s="7">
        <v>190546.11</v>
      </c>
      <c r="E178" s="8">
        <v>0</v>
      </c>
      <c r="F178" s="9">
        <f t="shared" si="28"/>
        <v>613941.35000000056</v>
      </c>
      <c r="G178" s="10"/>
      <c r="H178" s="11"/>
    </row>
    <row r="179" spans="1:8" ht="15" customHeight="1">
      <c r="A179" s="5">
        <v>44606</v>
      </c>
      <c r="B179" s="5">
        <v>44609</v>
      </c>
      <c r="C179" s="11" t="s">
        <v>11</v>
      </c>
      <c r="D179" s="12">
        <v>14.98</v>
      </c>
      <c r="E179" s="12">
        <v>0</v>
      </c>
      <c r="F179" s="9">
        <f t="shared" si="28"/>
        <v>613926.37000000058</v>
      </c>
      <c r="G179" s="14"/>
      <c r="H179" s="11"/>
    </row>
    <row r="180" spans="1:8" ht="15" customHeight="1">
      <c r="A180" s="5">
        <v>44607</v>
      </c>
      <c r="B180" s="5">
        <v>44610</v>
      </c>
      <c r="C180" s="6" t="s">
        <v>30</v>
      </c>
      <c r="D180" s="7">
        <v>73662.8</v>
      </c>
      <c r="E180" s="8">
        <v>0</v>
      </c>
      <c r="F180" s="9">
        <f t="shared" si="28"/>
        <v>540263.57000000053</v>
      </c>
      <c r="G180" s="10"/>
      <c r="H180" s="11"/>
    </row>
    <row r="181" spans="1:8" ht="15" customHeight="1">
      <c r="A181" s="5">
        <v>44607</v>
      </c>
      <c r="B181" s="5">
        <v>44610</v>
      </c>
      <c r="C181" s="6" t="s">
        <v>68</v>
      </c>
      <c r="D181" s="7">
        <v>193928.59</v>
      </c>
      <c r="E181" s="8">
        <v>0</v>
      </c>
      <c r="F181" s="9">
        <f t="shared" si="28"/>
        <v>346334.98000000056</v>
      </c>
      <c r="G181" s="10"/>
      <c r="H181" s="11"/>
    </row>
    <row r="182" spans="1:8" ht="15" customHeight="1">
      <c r="A182" s="5">
        <v>44607</v>
      </c>
      <c r="B182" s="5">
        <v>44610</v>
      </c>
      <c r="C182" s="6" t="s">
        <v>14</v>
      </c>
      <c r="D182" s="7">
        <v>0</v>
      </c>
      <c r="E182" s="8">
        <v>92316.07</v>
      </c>
      <c r="F182" s="9">
        <f t="shared" si="28"/>
        <v>438651.05000000057</v>
      </c>
      <c r="G182" s="10"/>
      <c r="H182" s="11"/>
    </row>
    <row r="183" spans="1:8" ht="15" customHeight="1">
      <c r="A183" s="5">
        <v>44607</v>
      </c>
      <c r="B183" s="5">
        <v>44610</v>
      </c>
      <c r="C183" s="11" t="s">
        <v>11</v>
      </c>
      <c r="D183" s="12">
        <v>14.98</v>
      </c>
      <c r="E183" s="12">
        <v>0</v>
      </c>
      <c r="F183" s="9">
        <f t="shared" si="28"/>
        <v>438636.07000000059</v>
      </c>
      <c r="G183" s="14"/>
      <c r="H183" s="11"/>
    </row>
    <row r="184" spans="1:8" ht="15" customHeight="1">
      <c r="A184" s="5">
        <v>44609</v>
      </c>
      <c r="B184" s="5">
        <v>44613</v>
      </c>
      <c r="C184" s="6" t="s">
        <v>14</v>
      </c>
      <c r="D184" s="7">
        <v>0</v>
      </c>
      <c r="E184" s="8">
        <v>14696.38</v>
      </c>
      <c r="F184" s="9">
        <f t="shared" si="28"/>
        <v>453332.45000000059</v>
      </c>
      <c r="G184" s="10"/>
      <c r="H184" s="11"/>
    </row>
    <row r="185" spans="1:8" ht="15" customHeight="1">
      <c r="A185" s="5">
        <v>44609</v>
      </c>
      <c r="B185" s="5">
        <v>44613</v>
      </c>
      <c r="C185" s="11" t="s">
        <v>11</v>
      </c>
      <c r="D185" s="12">
        <v>14.98</v>
      </c>
      <c r="E185" s="12">
        <v>0</v>
      </c>
      <c r="F185" s="9">
        <f t="shared" si="28"/>
        <v>453317.47000000061</v>
      </c>
      <c r="G185" s="14"/>
      <c r="H185" s="11"/>
    </row>
    <row r="186" spans="1:8" ht="15" customHeight="1">
      <c r="A186" s="5">
        <v>44610</v>
      </c>
      <c r="B186" s="5">
        <v>44614</v>
      </c>
      <c r="C186" s="6" t="s">
        <v>69</v>
      </c>
      <c r="D186" s="7">
        <v>0</v>
      </c>
      <c r="E186" s="8">
        <v>142683.26999999999</v>
      </c>
      <c r="F186" s="9">
        <f t="shared" si="28"/>
        <v>596000.74000000057</v>
      </c>
      <c r="G186" s="10"/>
      <c r="H186" s="11"/>
    </row>
    <row r="187" spans="1:8" ht="15" customHeight="1">
      <c r="A187" s="5">
        <v>44610</v>
      </c>
      <c r="B187" s="5">
        <v>44614</v>
      </c>
      <c r="C187" s="6" t="s">
        <v>70</v>
      </c>
      <c r="D187" s="7">
        <v>196434.12</v>
      </c>
      <c r="E187" s="8">
        <v>0</v>
      </c>
      <c r="F187" s="9">
        <f t="shared" si="28"/>
        <v>399566.62000000058</v>
      </c>
      <c r="G187" s="10"/>
      <c r="H187" s="11"/>
    </row>
    <row r="188" spans="1:8" ht="15" customHeight="1">
      <c r="A188" s="5">
        <v>44610</v>
      </c>
      <c r="B188" s="5">
        <v>44614</v>
      </c>
      <c r="C188" s="11" t="s">
        <v>11</v>
      </c>
      <c r="D188" s="12">
        <v>14.98</v>
      </c>
      <c r="E188" s="12">
        <v>0</v>
      </c>
      <c r="F188" s="9">
        <f t="shared" si="28"/>
        <v>399551.6400000006</v>
      </c>
      <c r="G188" s="14"/>
      <c r="H188" s="11"/>
    </row>
    <row r="189" spans="1:8" ht="15" customHeight="1">
      <c r="A189" s="5">
        <v>44613</v>
      </c>
      <c r="B189" s="5">
        <v>44615</v>
      </c>
      <c r="C189" s="6" t="s">
        <v>71</v>
      </c>
      <c r="D189" s="7">
        <v>0</v>
      </c>
      <c r="E189" s="8">
        <v>137694.34</v>
      </c>
      <c r="F189" s="9">
        <f t="shared" ref="F189" si="29">F188-D189+E189</f>
        <v>537245.98000000056</v>
      </c>
      <c r="G189" s="10"/>
      <c r="H189" s="11"/>
    </row>
    <row r="190" spans="1:8" ht="15" customHeight="1">
      <c r="A190" s="5">
        <v>44613</v>
      </c>
      <c r="B190" s="5">
        <v>44615</v>
      </c>
      <c r="C190" s="6" t="s">
        <v>61</v>
      </c>
      <c r="D190" s="7">
        <v>0</v>
      </c>
      <c r="E190" s="8">
        <v>104767.44</v>
      </c>
      <c r="F190" s="9">
        <f t="shared" ref="F190:F191" si="30">F189-D190+E190</f>
        <v>642013.42000000062</v>
      </c>
      <c r="G190" s="10"/>
      <c r="H190" s="11"/>
    </row>
    <row r="191" spans="1:8" ht="15" customHeight="1">
      <c r="A191" s="5">
        <v>44613</v>
      </c>
      <c r="B191" s="5">
        <v>44615</v>
      </c>
      <c r="C191" s="11" t="s">
        <v>11</v>
      </c>
      <c r="D191" s="12">
        <v>14.98</v>
      </c>
      <c r="E191" s="12">
        <v>0</v>
      </c>
      <c r="F191" s="9">
        <f t="shared" si="30"/>
        <v>641998.44000000064</v>
      </c>
      <c r="G191" s="14"/>
      <c r="H191" s="11"/>
    </row>
    <row r="192" spans="1:8" ht="15" customHeight="1">
      <c r="A192" s="5">
        <v>44614</v>
      </c>
      <c r="B192" s="5">
        <v>44616</v>
      </c>
      <c r="C192" s="6" t="s">
        <v>15</v>
      </c>
      <c r="D192" s="7">
        <v>0</v>
      </c>
      <c r="E192" s="8">
        <v>101774.08</v>
      </c>
      <c r="F192" s="9">
        <f t="shared" ref="F192" si="31">F191-D192+E192</f>
        <v>743772.5200000006</v>
      </c>
      <c r="G192" s="10"/>
      <c r="H192" s="11"/>
    </row>
    <row r="193" spans="1:8" ht="15" customHeight="1">
      <c r="A193" s="5">
        <v>44614</v>
      </c>
      <c r="B193" s="5">
        <v>44616</v>
      </c>
      <c r="C193" s="6" t="s">
        <v>42</v>
      </c>
      <c r="D193" s="7">
        <v>0</v>
      </c>
      <c r="E193" s="8">
        <v>55077.74</v>
      </c>
      <c r="F193" s="9">
        <f t="shared" ref="F193:F195" si="32">F192-D193+E193</f>
        <v>798850.26000000059</v>
      </c>
      <c r="G193" s="10"/>
      <c r="H193" s="11"/>
    </row>
    <row r="194" spans="1:8" ht="15" customHeight="1">
      <c r="A194" s="5">
        <v>44614</v>
      </c>
      <c r="B194" s="5">
        <v>44616</v>
      </c>
      <c r="C194" s="11" t="s">
        <v>11</v>
      </c>
      <c r="D194" s="12">
        <v>14.98</v>
      </c>
      <c r="E194" s="12">
        <v>0</v>
      </c>
      <c r="F194" s="9">
        <f t="shared" si="32"/>
        <v>798835.28000000061</v>
      </c>
      <c r="G194" s="14"/>
      <c r="H194" s="11"/>
    </row>
    <row r="195" spans="1:8" ht="15" customHeight="1">
      <c r="A195" s="5">
        <v>44615</v>
      </c>
      <c r="B195" s="5">
        <v>44617</v>
      </c>
      <c r="C195" s="6" t="s">
        <v>35</v>
      </c>
      <c r="D195" s="7">
        <v>163110.47</v>
      </c>
      <c r="E195" s="8">
        <v>0</v>
      </c>
      <c r="F195" s="9">
        <f t="shared" si="32"/>
        <v>635724.81000000064</v>
      </c>
      <c r="G195" s="10"/>
      <c r="H195" s="11"/>
    </row>
    <row r="196" spans="1:8" ht="15" customHeight="1">
      <c r="A196" s="5">
        <v>44615</v>
      </c>
      <c r="B196" s="5">
        <v>44617</v>
      </c>
      <c r="C196" s="6" t="s">
        <v>72</v>
      </c>
      <c r="D196" s="7">
        <v>198438.55</v>
      </c>
      <c r="E196" s="8">
        <v>0</v>
      </c>
      <c r="F196" s="9">
        <f t="shared" ref="F196" si="33">F195-D196+E196</f>
        <v>437286.26000000065</v>
      </c>
      <c r="G196" s="10"/>
      <c r="H196" s="11"/>
    </row>
    <row r="197" spans="1:8" ht="15" customHeight="1">
      <c r="A197" s="5">
        <v>44615</v>
      </c>
      <c r="B197" s="5">
        <v>44617</v>
      </c>
      <c r="C197" s="6" t="s">
        <v>73</v>
      </c>
      <c r="D197" s="7">
        <v>0</v>
      </c>
      <c r="E197" s="8">
        <v>368182.7</v>
      </c>
      <c r="F197" s="9">
        <f t="shared" ref="F197:F226" si="34">F196-D197+E197</f>
        <v>805468.96000000066</v>
      </c>
      <c r="G197" s="10"/>
      <c r="H197" s="11"/>
    </row>
    <row r="198" spans="1:8" ht="15" customHeight="1">
      <c r="A198" s="5">
        <v>44615</v>
      </c>
      <c r="B198" s="5">
        <v>44617</v>
      </c>
      <c r="C198" s="6" t="s">
        <v>74</v>
      </c>
      <c r="D198" s="7">
        <v>157397.85</v>
      </c>
      <c r="E198" s="8">
        <v>0</v>
      </c>
      <c r="F198" s="9">
        <f t="shared" si="34"/>
        <v>648071.11000000068</v>
      </c>
      <c r="G198" s="10"/>
      <c r="H198" s="11"/>
    </row>
    <row r="199" spans="1:8" ht="15" customHeight="1">
      <c r="A199" s="5">
        <v>44615</v>
      </c>
      <c r="B199" s="5">
        <v>44617</v>
      </c>
      <c r="C199" s="11" t="s">
        <v>11</v>
      </c>
      <c r="D199" s="12">
        <v>14.98</v>
      </c>
      <c r="E199" s="12">
        <v>0</v>
      </c>
      <c r="F199" s="9">
        <f t="shared" si="34"/>
        <v>648056.1300000007</v>
      </c>
      <c r="G199" s="14"/>
      <c r="H199" s="11"/>
    </row>
    <row r="200" spans="1:8" ht="15" customHeight="1">
      <c r="A200" s="5" t="s">
        <v>12</v>
      </c>
      <c r="B200" s="5">
        <v>44620</v>
      </c>
      <c r="C200" s="11" t="s">
        <v>13</v>
      </c>
      <c r="D200" s="12">
        <v>43000</v>
      </c>
      <c r="E200" s="12">
        <v>0</v>
      </c>
      <c r="F200" s="9">
        <f t="shared" si="34"/>
        <v>605056.1300000007</v>
      </c>
      <c r="G200" s="14"/>
      <c r="H200" s="11"/>
    </row>
    <row r="201" spans="1:8" ht="15" customHeight="1">
      <c r="A201" s="5">
        <v>44616</v>
      </c>
      <c r="B201" s="5">
        <v>44620</v>
      </c>
      <c r="C201" s="6" t="s">
        <v>74</v>
      </c>
      <c r="D201" s="7">
        <v>48256.65</v>
      </c>
      <c r="E201" s="8">
        <v>0</v>
      </c>
      <c r="F201" s="9">
        <f t="shared" si="34"/>
        <v>556799.48000000068</v>
      </c>
      <c r="G201" s="10"/>
      <c r="H201" s="11"/>
    </row>
    <row r="202" spans="1:8" ht="15" customHeight="1">
      <c r="A202" s="5">
        <v>44616</v>
      </c>
      <c r="B202" s="5">
        <v>44620</v>
      </c>
      <c r="C202" s="6" t="s">
        <v>75</v>
      </c>
      <c r="D202" s="7">
        <v>127782.41</v>
      </c>
      <c r="E202" s="8">
        <v>0</v>
      </c>
      <c r="F202" s="9">
        <f t="shared" si="34"/>
        <v>429017.07000000065</v>
      </c>
      <c r="G202" s="10"/>
      <c r="H202" s="11"/>
    </row>
    <row r="203" spans="1:8" ht="15" customHeight="1">
      <c r="A203" s="18">
        <v>44616</v>
      </c>
      <c r="B203" s="18">
        <v>44620</v>
      </c>
      <c r="C203" s="19" t="s">
        <v>76</v>
      </c>
      <c r="D203" s="20">
        <v>126279.08</v>
      </c>
      <c r="E203" s="8">
        <v>0</v>
      </c>
      <c r="F203" s="9">
        <f t="shared" si="34"/>
        <v>302737.99000000063</v>
      </c>
      <c r="G203" s="10"/>
      <c r="H203" s="11"/>
    </row>
    <row r="204" spans="1:8" ht="15" customHeight="1">
      <c r="A204" s="5">
        <v>44616</v>
      </c>
      <c r="B204" s="5">
        <v>44620</v>
      </c>
      <c r="C204" s="6" t="s">
        <v>61</v>
      </c>
      <c r="D204" s="7">
        <v>0</v>
      </c>
      <c r="E204" s="8">
        <v>209534.87</v>
      </c>
      <c r="F204" s="9">
        <f t="shared" si="34"/>
        <v>512272.86000000063</v>
      </c>
      <c r="G204" s="10"/>
      <c r="H204" s="11"/>
    </row>
    <row r="205" spans="1:8" ht="15" customHeight="1">
      <c r="A205" s="5">
        <v>44616</v>
      </c>
      <c r="B205" s="5">
        <v>44620</v>
      </c>
      <c r="C205" s="11" t="s">
        <v>11</v>
      </c>
      <c r="D205" s="12">
        <v>14.98</v>
      </c>
      <c r="E205" s="12">
        <v>0</v>
      </c>
      <c r="F205" s="9">
        <f t="shared" si="34"/>
        <v>512257.88000000064</v>
      </c>
      <c r="G205" s="14"/>
      <c r="H205" s="11"/>
    </row>
    <row r="206" spans="1:8" ht="15" customHeight="1">
      <c r="A206" s="5">
        <v>44617</v>
      </c>
      <c r="B206" s="5">
        <v>44621</v>
      </c>
      <c r="C206" s="6" t="s">
        <v>23</v>
      </c>
      <c r="D206" s="7">
        <v>0</v>
      </c>
      <c r="E206" s="8">
        <v>296342.17</v>
      </c>
      <c r="F206" s="9">
        <f t="shared" si="34"/>
        <v>808600.05000000063</v>
      </c>
      <c r="G206" s="10"/>
      <c r="H206" s="11"/>
    </row>
    <row r="207" spans="1:8" ht="15" customHeight="1">
      <c r="A207" s="5">
        <v>44617</v>
      </c>
      <c r="B207" s="5">
        <v>44621</v>
      </c>
      <c r="C207" s="6" t="s">
        <v>9</v>
      </c>
      <c r="D207" s="7">
        <v>0</v>
      </c>
      <c r="E207" s="8">
        <v>377162.77</v>
      </c>
      <c r="F207" s="9">
        <f t="shared" si="34"/>
        <v>1185762.8200000008</v>
      </c>
      <c r="G207" s="10"/>
      <c r="H207" s="11"/>
    </row>
    <row r="208" spans="1:8" ht="15" customHeight="1">
      <c r="A208" s="5">
        <v>44617</v>
      </c>
      <c r="B208" s="5">
        <v>44621</v>
      </c>
      <c r="C208" s="6" t="s">
        <v>59</v>
      </c>
      <c r="D208" s="7">
        <v>0</v>
      </c>
      <c r="E208" s="8">
        <v>99778.51</v>
      </c>
      <c r="F208" s="9">
        <f t="shared" si="34"/>
        <v>1285541.3300000008</v>
      </c>
      <c r="G208" s="10"/>
      <c r="H208" s="11"/>
    </row>
    <row r="209" spans="1:8" ht="15" customHeight="1">
      <c r="A209" s="5">
        <v>44617</v>
      </c>
      <c r="B209" s="5">
        <v>44621</v>
      </c>
      <c r="C209" s="6" t="s">
        <v>36</v>
      </c>
      <c r="D209" s="7">
        <v>72911.13</v>
      </c>
      <c r="E209" s="8">
        <v>0</v>
      </c>
      <c r="F209" s="9">
        <f t="shared" si="34"/>
        <v>1212630.2000000007</v>
      </c>
      <c r="G209" s="10"/>
      <c r="H209" s="11"/>
    </row>
    <row r="210" spans="1:8" ht="15" customHeight="1">
      <c r="A210" s="5">
        <v>44617</v>
      </c>
      <c r="B210" s="5">
        <v>44621</v>
      </c>
      <c r="C210" s="6" t="s">
        <v>36</v>
      </c>
      <c r="D210" s="7">
        <v>72159.47</v>
      </c>
      <c r="E210" s="8">
        <v>0</v>
      </c>
      <c r="F210" s="9">
        <f t="shared" si="34"/>
        <v>1140470.7300000007</v>
      </c>
      <c r="G210" s="10"/>
      <c r="H210" s="11"/>
    </row>
    <row r="211" spans="1:8" ht="15" customHeight="1">
      <c r="A211" s="5">
        <v>44617</v>
      </c>
      <c r="B211" s="5">
        <v>44621</v>
      </c>
      <c r="C211" s="6" t="s">
        <v>36</v>
      </c>
      <c r="D211" s="7">
        <v>71407.81</v>
      </c>
      <c r="E211" s="8">
        <v>0</v>
      </c>
      <c r="F211" s="9">
        <f t="shared" si="34"/>
        <v>1069062.9200000006</v>
      </c>
      <c r="G211" s="10"/>
      <c r="H211" s="11"/>
    </row>
    <row r="212" spans="1:8" ht="15" customHeight="1">
      <c r="A212" s="5">
        <v>44617</v>
      </c>
      <c r="B212" s="5">
        <v>44621</v>
      </c>
      <c r="C212" s="11" t="s">
        <v>11</v>
      </c>
      <c r="D212" s="12">
        <v>14.98</v>
      </c>
      <c r="E212" s="12">
        <v>0</v>
      </c>
      <c r="F212" s="9">
        <f t="shared" si="34"/>
        <v>1069047.9400000006</v>
      </c>
      <c r="G212" s="14"/>
      <c r="H212" s="11"/>
    </row>
    <row r="213" spans="1:8" ht="15" customHeight="1">
      <c r="A213" s="5" t="s">
        <v>12</v>
      </c>
      <c r="B213" s="5">
        <v>44622</v>
      </c>
      <c r="C213" s="11" t="s">
        <v>77</v>
      </c>
      <c r="D213" s="12">
        <v>16800</v>
      </c>
      <c r="E213" s="12">
        <v>0</v>
      </c>
      <c r="F213" s="9">
        <f t="shared" si="34"/>
        <v>1052247.9400000006</v>
      </c>
      <c r="G213" s="14"/>
      <c r="H213" s="11"/>
    </row>
    <row r="214" spans="1:8" ht="15" customHeight="1">
      <c r="A214" s="5" t="s">
        <v>12</v>
      </c>
      <c r="B214" s="5">
        <v>44622</v>
      </c>
      <c r="C214" s="11" t="s">
        <v>78</v>
      </c>
      <c r="D214" s="12">
        <v>11600</v>
      </c>
      <c r="E214" s="12">
        <v>0</v>
      </c>
      <c r="F214" s="9">
        <f t="shared" si="34"/>
        <v>1040647.9400000006</v>
      </c>
      <c r="G214" s="14"/>
      <c r="H214" s="11"/>
    </row>
    <row r="215" spans="1:8" ht="15" customHeight="1">
      <c r="A215" s="5">
        <v>44620</v>
      </c>
      <c r="B215" s="5">
        <v>44622</v>
      </c>
      <c r="C215" s="6" t="s">
        <v>42</v>
      </c>
      <c r="D215" s="7">
        <v>0</v>
      </c>
      <c r="E215" s="8">
        <v>163437.20000000001</v>
      </c>
      <c r="F215" s="9">
        <f t="shared" si="34"/>
        <v>1204085.1400000006</v>
      </c>
      <c r="G215" s="10"/>
      <c r="H215" s="11"/>
    </row>
    <row r="216" spans="1:8" ht="15" customHeight="1">
      <c r="A216" s="5">
        <v>44620</v>
      </c>
      <c r="B216" s="5">
        <v>44622</v>
      </c>
      <c r="C216" s="6" t="s">
        <v>40</v>
      </c>
      <c r="D216" s="7">
        <v>89698.240000000005</v>
      </c>
      <c r="E216" s="8">
        <v>0</v>
      </c>
      <c r="F216" s="9">
        <f t="shared" si="34"/>
        <v>1114386.9000000006</v>
      </c>
      <c r="G216" s="10"/>
      <c r="H216" s="11"/>
    </row>
    <row r="217" spans="1:8" ht="15" customHeight="1">
      <c r="A217" s="5">
        <v>44620</v>
      </c>
      <c r="B217" s="5">
        <v>44622</v>
      </c>
      <c r="C217" s="6" t="s">
        <v>57</v>
      </c>
      <c r="D217" s="7">
        <v>0</v>
      </c>
      <c r="E217" s="8">
        <v>140687.70000000001</v>
      </c>
      <c r="F217" s="9">
        <f t="shared" si="34"/>
        <v>1255074.6000000006</v>
      </c>
      <c r="G217" s="10"/>
      <c r="H217" s="11"/>
    </row>
    <row r="218" spans="1:8" ht="15" customHeight="1">
      <c r="A218" s="5">
        <v>44620</v>
      </c>
      <c r="B218" s="5">
        <v>44622</v>
      </c>
      <c r="C218" s="11" t="s">
        <v>11</v>
      </c>
      <c r="D218" s="12">
        <v>14.98</v>
      </c>
      <c r="E218" s="12">
        <v>0</v>
      </c>
      <c r="F218" s="9">
        <f t="shared" si="34"/>
        <v>1255059.6200000006</v>
      </c>
      <c r="G218" s="14"/>
      <c r="H218" s="11"/>
    </row>
    <row r="219" spans="1:8" ht="15" customHeight="1">
      <c r="A219" s="5">
        <v>44621</v>
      </c>
      <c r="B219" s="5">
        <v>44623</v>
      </c>
      <c r="C219" s="6" t="s">
        <v>79</v>
      </c>
      <c r="D219" s="7">
        <v>0</v>
      </c>
      <c r="E219" s="7">
        <v>139689.91</v>
      </c>
      <c r="F219" s="9">
        <f t="shared" si="34"/>
        <v>1394749.5300000005</v>
      </c>
      <c r="G219" s="10"/>
      <c r="H219" s="11"/>
    </row>
    <row r="220" spans="1:8" ht="15" customHeight="1">
      <c r="A220" s="5">
        <v>44621</v>
      </c>
      <c r="B220" s="5">
        <v>44623</v>
      </c>
      <c r="C220" s="6" t="s">
        <v>22</v>
      </c>
      <c r="D220" s="7">
        <v>123272.43</v>
      </c>
      <c r="E220" s="8">
        <v>0</v>
      </c>
      <c r="F220" s="9">
        <f t="shared" si="34"/>
        <v>1271477.1000000006</v>
      </c>
      <c r="G220" s="10"/>
      <c r="H220" s="11"/>
    </row>
    <row r="221" spans="1:8" ht="15" customHeight="1">
      <c r="A221" s="5">
        <v>44621</v>
      </c>
      <c r="B221" s="5">
        <v>44623</v>
      </c>
      <c r="C221" s="6" t="s">
        <v>75</v>
      </c>
      <c r="D221" s="7">
        <v>25556.49</v>
      </c>
      <c r="E221" s="8">
        <v>0</v>
      </c>
      <c r="F221" s="9">
        <f t="shared" si="34"/>
        <v>1245920.6100000006</v>
      </c>
      <c r="G221" s="10"/>
      <c r="H221" s="11"/>
    </row>
    <row r="222" spans="1:8" ht="15" customHeight="1">
      <c r="A222" s="5">
        <v>44621</v>
      </c>
      <c r="B222" s="5">
        <v>44623</v>
      </c>
      <c r="C222" s="11" t="s">
        <v>11</v>
      </c>
      <c r="D222" s="12">
        <v>14.98</v>
      </c>
      <c r="E222" s="12">
        <v>0</v>
      </c>
      <c r="F222" s="9">
        <f t="shared" ref="F222:F250" si="35">F221-D222+E222</f>
        <v>1245905.6300000006</v>
      </c>
      <c r="G222" s="14"/>
      <c r="H222" s="11"/>
    </row>
    <row r="223" spans="1:8" ht="15" customHeight="1">
      <c r="A223" s="5" t="s">
        <v>12</v>
      </c>
      <c r="B223" s="5">
        <v>44624</v>
      </c>
      <c r="C223" s="6" t="s">
        <v>17</v>
      </c>
      <c r="D223" s="7">
        <v>0</v>
      </c>
      <c r="E223" s="8">
        <v>1999.8</v>
      </c>
      <c r="F223" s="9">
        <f t="shared" si="35"/>
        <v>1247905.4300000006</v>
      </c>
      <c r="G223" s="10"/>
      <c r="H223" s="11"/>
    </row>
    <row r="224" spans="1:8" ht="15" customHeight="1">
      <c r="A224" s="5" t="s">
        <v>12</v>
      </c>
      <c r="B224" s="5">
        <v>44624</v>
      </c>
      <c r="C224" s="6" t="s">
        <v>19</v>
      </c>
      <c r="D224" s="7">
        <v>0</v>
      </c>
      <c r="E224" s="8">
        <v>15660</v>
      </c>
      <c r="F224" s="9">
        <f t="shared" si="35"/>
        <v>1263565.4300000006</v>
      </c>
      <c r="G224" s="10"/>
      <c r="H224" s="11"/>
    </row>
    <row r="225" spans="1:8" ht="15" customHeight="1">
      <c r="A225" s="5">
        <v>44622</v>
      </c>
      <c r="B225" s="5">
        <v>44624</v>
      </c>
      <c r="C225" s="6" t="s">
        <v>80</v>
      </c>
      <c r="D225" s="7">
        <v>112248.07</v>
      </c>
      <c r="E225" s="8">
        <v>0</v>
      </c>
      <c r="F225" s="9">
        <f t="shared" si="35"/>
        <v>1151317.3600000006</v>
      </c>
      <c r="G225" s="10"/>
      <c r="H225" s="11"/>
    </row>
    <row r="226" spans="1:8" ht="15" customHeight="1">
      <c r="A226" s="5">
        <v>44622</v>
      </c>
      <c r="B226" s="5">
        <v>44624</v>
      </c>
      <c r="C226" s="6" t="s">
        <v>75</v>
      </c>
      <c r="D226" s="7">
        <v>0</v>
      </c>
      <c r="E226" s="8">
        <v>30711.83</v>
      </c>
      <c r="F226" s="9">
        <f t="shared" si="35"/>
        <v>1182029.1900000006</v>
      </c>
      <c r="G226" s="10"/>
      <c r="H226" s="11"/>
    </row>
    <row r="227" spans="1:8" ht="15" customHeight="1">
      <c r="A227" s="5">
        <v>44622</v>
      </c>
      <c r="B227" s="5">
        <v>44624</v>
      </c>
      <c r="C227" s="11" t="s">
        <v>11</v>
      </c>
      <c r="D227" s="12">
        <v>14.98</v>
      </c>
      <c r="E227" s="12">
        <v>0</v>
      </c>
      <c r="F227" s="9">
        <f t="shared" si="35"/>
        <v>1182014.2100000007</v>
      </c>
      <c r="G227" s="14"/>
      <c r="H227" s="11"/>
    </row>
    <row r="228" spans="1:8" ht="15" customHeight="1">
      <c r="A228" s="5" t="s">
        <v>12</v>
      </c>
      <c r="B228" s="5">
        <v>44624</v>
      </c>
      <c r="C228" s="11" t="s">
        <v>63</v>
      </c>
      <c r="D228" s="12">
        <v>1160</v>
      </c>
      <c r="E228" s="12">
        <v>0</v>
      </c>
      <c r="F228" s="9">
        <f t="shared" si="35"/>
        <v>1180854.2100000007</v>
      </c>
      <c r="G228" s="13"/>
      <c r="H228" s="11"/>
    </row>
    <row r="229" spans="1:8" ht="15" customHeight="1">
      <c r="A229" s="5">
        <v>44623</v>
      </c>
      <c r="B229" s="5">
        <v>44627</v>
      </c>
      <c r="C229" s="6" t="s">
        <v>75</v>
      </c>
      <c r="D229" s="7">
        <v>0</v>
      </c>
      <c r="E229" s="8">
        <v>122847.3</v>
      </c>
      <c r="F229" s="9">
        <f t="shared" si="35"/>
        <v>1303701.5100000007</v>
      </c>
      <c r="G229" s="10"/>
      <c r="H229" s="11"/>
    </row>
    <row r="230" spans="1:8" ht="15" customHeight="1">
      <c r="A230" s="5">
        <v>44623</v>
      </c>
      <c r="B230" s="5">
        <v>44627</v>
      </c>
      <c r="C230" s="6" t="s">
        <v>6</v>
      </c>
      <c r="D230" s="7">
        <v>58128.46</v>
      </c>
      <c r="E230" s="8">
        <v>0</v>
      </c>
      <c r="F230" s="9">
        <f t="shared" si="35"/>
        <v>1245573.0500000007</v>
      </c>
      <c r="G230" s="10"/>
      <c r="H230" s="11"/>
    </row>
    <row r="231" spans="1:8" ht="15" customHeight="1">
      <c r="A231" s="5">
        <v>44623</v>
      </c>
      <c r="B231" s="5">
        <v>44627</v>
      </c>
      <c r="C231" s="6" t="s">
        <v>35</v>
      </c>
      <c r="D231" s="7">
        <v>154090.54</v>
      </c>
      <c r="E231" s="8">
        <v>0</v>
      </c>
      <c r="F231" s="9">
        <f t="shared" si="35"/>
        <v>1091482.5100000007</v>
      </c>
      <c r="G231" s="10"/>
      <c r="H231" s="11"/>
    </row>
    <row r="232" spans="1:8" ht="15" customHeight="1">
      <c r="A232" s="5">
        <v>44623</v>
      </c>
      <c r="B232" s="5">
        <v>44627</v>
      </c>
      <c r="C232" s="6" t="s">
        <v>40</v>
      </c>
      <c r="D232" s="7">
        <v>896.98</v>
      </c>
      <c r="E232" s="8">
        <v>0</v>
      </c>
      <c r="F232" s="9">
        <f t="shared" si="35"/>
        <v>1090585.5300000007</v>
      </c>
      <c r="G232" s="10"/>
      <c r="H232" s="11"/>
    </row>
    <row r="233" spans="1:8" ht="15" customHeight="1">
      <c r="A233" s="5">
        <v>44623</v>
      </c>
      <c r="B233" s="5">
        <v>44627</v>
      </c>
      <c r="C233" s="11" t="s">
        <v>11</v>
      </c>
      <c r="D233" s="12">
        <v>14.98</v>
      </c>
      <c r="E233" s="12">
        <v>0</v>
      </c>
      <c r="F233" s="9">
        <f t="shared" si="35"/>
        <v>1090570.5500000007</v>
      </c>
      <c r="G233" s="14"/>
      <c r="H233" s="11"/>
    </row>
    <row r="234" spans="1:8" ht="15" customHeight="1">
      <c r="A234" s="18">
        <v>44624</v>
      </c>
      <c r="B234" s="18">
        <v>44628</v>
      </c>
      <c r="C234" s="19" t="s">
        <v>76</v>
      </c>
      <c r="D234" s="20">
        <v>63139.54</v>
      </c>
      <c r="E234" s="8">
        <v>0</v>
      </c>
      <c r="F234" s="9">
        <f t="shared" si="35"/>
        <v>1027431.0100000007</v>
      </c>
      <c r="G234" s="10"/>
      <c r="H234" s="11"/>
    </row>
    <row r="235" spans="1:8" ht="15" customHeight="1">
      <c r="A235" s="5">
        <v>44624</v>
      </c>
      <c r="B235" s="5">
        <v>44628</v>
      </c>
      <c r="C235" s="6" t="s">
        <v>37</v>
      </c>
      <c r="D235" s="7">
        <v>64517.59</v>
      </c>
      <c r="E235" s="8">
        <v>0</v>
      </c>
      <c r="F235" s="9">
        <f t="shared" si="35"/>
        <v>962913.42000000074</v>
      </c>
      <c r="G235" s="10"/>
      <c r="H235" s="11"/>
    </row>
    <row r="236" spans="1:8" ht="15" customHeight="1">
      <c r="A236" s="5">
        <v>44624</v>
      </c>
      <c r="B236" s="5">
        <v>44628</v>
      </c>
      <c r="C236" s="11" t="s">
        <v>11</v>
      </c>
      <c r="D236" s="12">
        <v>14.98</v>
      </c>
      <c r="E236" s="12">
        <v>0</v>
      </c>
      <c r="F236" s="9">
        <f t="shared" si="35"/>
        <v>962898.44000000076</v>
      </c>
      <c r="G236" s="14"/>
      <c r="H236" s="11"/>
    </row>
    <row r="237" spans="1:8" ht="15" customHeight="1">
      <c r="A237" s="5">
        <v>44627</v>
      </c>
      <c r="B237" s="5">
        <v>44629</v>
      </c>
      <c r="C237" s="6" t="s">
        <v>68</v>
      </c>
      <c r="D237" s="7">
        <v>64642.87</v>
      </c>
      <c r="E237" s="8">
        <v>0</v>
      </c>
      <c r="F237" s="9">
        <f t="shared" si="35"/>
        <v>898255.57000000076</v>
      </c>
      <c r="G237" s="10"/>
      <c r="H237" s="11"/>
    </row>
    <row r="238" spans="1:8" ht="15" customHeight="1">
      <c r="A238" s="5">
        <v>44627</v>
      </c>
      <c r="B238" s="5">
        <v>44629</v>
      </c>
      <c r="C238" s="6" t="s">
        <v>53</v>
      </c>
      <c r="D238" s="7">
        <v>121268</v>
      </c>
      <c r="E238" s="8">
        <v>0</v>
      </c>
      <c r="F238" s="9">
        <f t="shared" si="35"/>
        <v>776987.57000000076</v>
      </c>
      <c r="G238" s="10"/>
      <c r="H238" s="11"/>
    </row>
    <row r="239" spans="1:8" ht="15" customHeight="1">
      <c r="A239" s="5">
        <v>44627</v>
      </c>
      <c r="B239" s="5">
        <v>44629</v>
      </c>
      <c r="C239" s="6" t="s">
        <v>81</v>
      </c>
      <c r="D239" s="7">
        <v>102225.92</v>
      </c>
      <c r="E239" s="8">
        <v>0</v>
      </c>
      <c r="F239" s="9">
        <f t="shared" si="35"/>
        <v>674761.65000000072</v>
      </c>
      <c r="G239" s="10"/>
      <c r="H239" s="11"/>
    </row>
    <row r="240" spans="1:8" ht="15" customHeight="1">
      <c r="A240" s="5">
        <v>44627</v>
      </c>
      <c r="B240" s="5">
        <v>44629</v>
      </c>
      <c r="C240" s="6" t="s">
        <v>82</v>
      </c>
      <c r="D240" s="7">
        <v>114252.5</v>
      </c>
      <c r="E240" s="8">
        <v>0</v>
      </c>
      <c r="F240" s="9">
        <f t="shared" si="35"/>
        <v>560509.15000000072</v>
      </c>
      <c r="G240" s="10"/>
      <c r="H240" s="11"/>
    </row>
    <row r="241" spans="1:8" ht="15" customHeight="1">
      <c r="A241" s="5">
        <v>44627</v>
      </c>
      <c r="B241" s="5">
        <v>44629</v>
      </c>
      <c r="C241" s="11" t="s">
        <v>11</v>
      </c>
      <c r="D241" s="12">
        <v>14.98</v>
      </c>
      <c r="E241" s="12">
        <v>0</v>
      </c>
      <c r="F241" s="9">
        <f t="shared" si="35"/>
        <v>560494.17000000074</v>
      </c>
      <c r="G241" s="14"/>
      <c r="H241" s="11"/>
    </row>
    <row r="242" spans="1:8" ht="15" customHeight="1">
      <c r="A242" s="5" t="s">
        <v>12</v>
      </c>
      <c r="B242" s="5">
        <v>44631</v>
      </c>
      <c r="C242" s="19" t="s">
        <v>83</v>
      </c>
      <c r="D242" s="7">
        <v>0</v>
      </c>
      <c r="E242" s="7">
        <v>112167.31</v>
      </c>
      <c r="F242" s="9">
        <f t="shared" si="35"/>
        <v>672661.48000000068</v>
      </c>
      <c r="G242" s="10"/>
      <c r="H242" s="11"/>
    </row>
    <row r="243" spans="1:8" ht="15" customHeight="1">
      <c r="A243" s="5">
        <v>44629</v>
      </c>
      <c r="B243" s="5">
        <v>44631</v>
      </c>
      <c r="C243" s="6" t="s">
        <v>68</v>
      </c>
      <c r="D243" s="7">
        <v>0</v>
      </c>
      <c r="E243" s="7">
        <v>258925.23</v>
      </c>
      <c r="F243" s="9">
        <f t="shared" si="35"/>
        <v>931586.71000000066</v>
      </c>
      <c r="G243" s="10"/>
      <c r="H243" s="11"/>
    </row>
    <row r="244" spans="1:8" ht="15" customHeight="1">
      <c r="A244" s="5">
        <v>44629</v>
      </c>
      <c r="B244" s="5">
        <v>44631</v>
      </c>
      <c r="C244" s="11" t="s">
        <v>11</v>
      </c>
      <c r="D244" s="12">
        <v>14.98</v>
      </c>
      <c r="E244" s="12">
        <v>0</v>
      </c>
      <c r="F244" s="9">
        <f t="shared" si="35"/>
        <v>931571.73000000068</v>
      </c>
      <c r="G244" s="14"/>
      <c r="H244" s="11"/>
    </row>
    <row r="245" spans="1:8" ht="15" customHeight="1">
      <c r="A245" s="5" t="s">
        <v>12</v>
      </c>
      <c r="B245" s="5">
        <v>44635</v>
      </c>
      <c r="C245" s="11" t="s">
        <v>84</v>
      </c>
      <c r="D245" s="12">
        <v>20</v>
      </c>
      <c r="E245" s="12">
        <v>0</v>
      </c>
      <c r="F245" s="9">
        <f t="shared" ref="F245:F253" si="36">F244-D245+E245</f>
        <v>931551.73000000068</v>
      </c>
      <c r="G245" s="11"/>
      <c r="H245" s="11"/>
    </row>
    <row r="246" spans="1:8" ht="15" customHeight="1">
      <c r="A246" s="5">
        <v>44630</v>
      </c>
      <c r="B246" s="5">
        <v>44634</v>
      </c>
      <c r="C246" s="6" t="s">
        <v>7</v>
      </c>
      <c r="D246" s="7">
        <v>0</v>
      </c>
      <c r="E246" s="7">
        <v>72588.87</v>
      </c>
      <c r="F246" s="9">
        <f t="shared" si="36"/>
        <v>1004140.6000000007</v>
      </c>
      <c r="G246" s="10"/>
      <c r="H246" s="11"/>
    </row>
    <row r="247" spans="1:8" ht="15" customHeight="1">
      <c r="A247" s="5">
        <v>44630</v>
      </c>
      <c r="B247" s="5">
        <v>44634</v>
      </c>
      <c r="C247" s="6" t="s">
        <v>54</v>
      </c>
      <c r="D247" s="7">
        <v>0</v>
      </c>
      <c r="E247" s="7">
        <v>107760.79</v>
      </c>
      <c r="F247" s="9">
        <f t="shared" si="36"/>
        <v>1111901.3900000006</v>
      </c>
      <c r="G247" s="10"/>
      <c r="H247" s="11"/>
    </row>
    <row r="248" spans="1:8" ht="15" customHeight="1">
      <c r="A248" s="5">
        <v>44630</v>
      </c>
      <c r="B248" s="5">
        <v>44634</v>
      </c>
      <c r="C248" s="6" t="s">
        <v>85</v>
      </c>
      <c r="D248" s="7">
        <v>130287.94</v>
      </c>
      <c r="E248" s="7">
        <v>0</v>
      </c>
      <c r="F248" s="9">
        <f t="shared" si="36"/>
        <v>981613.45000000065</v>
      </c>
      <c r="G248" s="10"/>
      <c r="H248" s="11"/>
    </row>
    <row r="249" spans="1:8" ht="15" customHeight="1">
      <c r="A249" s="5">
        <v>44630</v>
      </c>
      <c r="B249" s="5">
        <v>44634</v>
      </c>
      <c r="C249" s="11" t="s">
        <v>11</v>
      </c>
      <c r="D249" s="12">
        <v>14.98</v>
      </c>
      <c r="E249" s="12">
        <v>0</v>
      </c>
      <c r="F249" s="9">
        <f t="shared" si="36"/>
        <v>981598.47000000067</v>
      </c>
      <c r="G249" s="14"/>
      <c r="H249" s="11"/>
    </row>
    <row r="250" spans="1:8" ht="15" customHeight="1">
      <c r="A250" s="5" t="s">
        <v>12</v>
      </c>
      <c r="B250" s="5">
        <v>44635</v>
      </c>
      <c r="C250" s="11" t="s">
        <v>39</v>
      </c>
      <c r="D250" s="12">
        <v>432</v>
      </c>
      <c r="E250" s="12">
        <v>0</v>
      </c>
      <c r="F250" s="9">
        <f t="shared" si="36"/>
        <v>981166.47000000067</v>
      </c>
      <c r="G250" s="11"/>
      <c r="H250" s="11"/>
    </row>
    <row r="251" spans="1:8" ht="15" customHeight="1">
      <c r="A251" s="5">
        <v>44634</v>
      </c>
      <c r="B251" s="5">
        <v>44636</v>
      </c>
      <c r="C251" s="6" t="s">
        <v>6</v>
      </c>
      <c r="D251" s="16">
        <v>57627.360000000001</v>
      </c>
      <c r="E251" s="8">
        <v>0</v>
      </c>
      <c r="F251" s="9">
        <f t="shared" si="36"/>
        <v>923539.11000000068</v>
      </c>
      <c r="G251" s="10"/>
      <c r="H251" s="11"/>
    </row>
    <row r="252" spans="1:8" ht="15" customHeight="1">
      <c r="A252" s="5">
        <v>44634</v>
      </c>
      <c r="B252" s="5">
        <v>44636</v>
      </c>
      <c r="C252" s="11" t="s">
        <v>11</v>
      </c>
      <c r="D252" s="12">
        <v>14.98</v>
      </c>
      <c r="E252" s="12">
        <v>0</v>
      </c>
      <c r="F252" s="9">
        <f t="shared" si="36"/>
        <v>923524.1300000007</v>
      </c>
      <c r="G252" s="14"/>
      <c r="H252" s="11"/>
    </row>
    <row r="253" spans="1:8" ht="15" customHeight="1">
      <c r="A253" s="5" t="s">
        <v>12</v>
      </c>
      <c r="B253" s="5">
        <v>44641</v>
      </c>
      <c r="C253" s="6" t="s">
        <v>28</v>
      </c>
      <c r="D253" s="7">
        <v>0</v>
      </c>
      <c r="E253" s="8">
        <v>35000</v>
      </c>
      <c r="F253" s="9">
        <f t="shared" si="36"/>
        <v>958524.1300000007</v>
      </c>
      <c r="G253" s="10"/>
      <c r="H253" s="11"/>
    </row>
    <row r="254" spans="1:8" ht="15" customHeight="1">
      <c r="A254" s="5" t="s">
        <v>12</v>
      </c>
      <c r="B254" s="5">
        <v>44641</v>
      </c>
      <c r="C254" s="6" t="s">
        <v>13</v>
      </c>
      <c r="D254" s="7">
        <v>35000</v>
      </c>
      <c r="E254" s="8">
        <v>0</v>
      </c>
      <c r="F254" s="9">
        <f t="shared" ref="F254:F257" si="37">F253-D254+E254</f>
        <v>923524.1300000007</v>
      </c>
      <c r="G254" s="10"/>
      <c r="H254" s="11"/>
    </row>
    <row r="255" spans="1:8" ht="15" customHeight="1">
      <c r="A255" s="5">
        <v>44638</v>
      </c>
      <c r="B255" s="5">
        <v>44642</v>
      </c>
      <c r="C255" s="6" t="s">
        <v>6</v>
      </c>
      <c r="D255" s="16">
        <v>64392.31</v>
      </c>
      <c r="E255" s="8">
        <v>0</v>
      </c>
      <c r="F255" s="9">
        <f t="shared" si="37"/>
        <v>859131.82000000076</v>
      </c>
      <c r="G255" s="10"/>
      <c r="H255" s="11"/>
    </row>
    <row r="256" spans="1:8" ht="15" customHeight="1">
      <c r="A256" s="5">
        <v>44638</v>
      </c>
      <c r="B256" s="5">
        <v>44642</v>
      </c>
      <c r="C256" s="11" t="s">
        <v>11</v>
      </c>
      <c r="D256" s="12">
        <v>14.98</v>
      </c>
      <c r="E256" s="12">
        <v>0</v>
      </c>
      <c r="F256" s="9">
        <f t="shared" si="37"/>
        <v>859116.84000000078</v>
      </c>
      <c r="G256" s="14"/>
      <c r="H256" s="11"/>
    </row>
    <row r="257" spans="1:8" ht="15" customHeight="1">
      <c r="A257" s="5">
        <v>44641</v>
      </c>
      <c r="B257" s="5">
        <v>44643</v>
      </c>
      <c r="C257" s="6" t="s">
        <v>30</v>
      </c>
      <c r="D257" s="16">
        <v>76669.45</v>
      </c>
      <c r="E257" s="8">
        <v>0</v>
      </c>
      <c r="F257" s="9">
        <f t="shared" si="37"/>
        <v>782447.39000000083</v>
      </c>
      <c r="G257" s="10"/>
      <c r="H257" s="11"/>
    </row>
    <row r="258" spans="1:8" ht="15" customHeight="1">
      <c r="A258" s="5">
        <v>44641</v>
      </c>
      <c r="B258" s="5">
        <v>44643</v>
      </c>
      <c r="C258" s="11" t="s">
        <v>11</v>
      </c>
      <c r="D258" s="12">
        <v>14.98</v>
      </c>
      <c r="E258" s="12">
        <v>0</v>
      </c>
      <c r="F258" s="9">
        <f t="shared" ref="F258:F259" si="38">F257-D258+E258</f>
        <v>782432.41000000085</v>
      </c>
      <c r="G258" s="14"/>
      <c r="H258" s="11"/>
    </row>
    <row r="259" spans="1:8" ht="15" customHeight="1">
      <c r="A259" s="5">
        <v>44642</v>
      </c>
      <c r="B259" s="5">
        <v>44644</v>
      </c>
      <c r="C259" s="6" t="s">
        <v>36</v>
      </c>
      <c r="D259" s="16">
        <v>151083.89000000001</v>
      </c>
      <c r="E259" s="8">
        <v>0</v>
      </c>
      <c r="F259" s="9">
        <f t="shared" si="38"/>
        <v>631348.52000000083</v>
      </c>
      <c r="G259" s="10"/>
      <c r="H259" s="11"/>
    </row>
    <row r="260" spans="1:8" ht="15" customHeight="1">
      <c r="A260" s="5">
        <v>44642</v>
      </c>
      <c r="B260" s="5">
        <v>44644</v>
      </c>
      <c r="C260" s="11" t="s">
        <v>11</v>
      </c>
      <c r="D260" s="12">
        <v>14.98</v>
      </c>
      <c r="E260" s="12">
        <v>0</v>
      </c>
      <c r="F260" s="9">
        <f t="shared" ref="F260:F266" si="39">F259-D260+E260</f>
        <v>631333.54000000085</v>
      </c>
      <c r="G260" s="14"/>
      <c r="H260" s="11"/>
    </row>
    <row r="261" spans="1:8" ht="15" customHeight="1">
      <c r="A261" s="5" t="s">
        <v>12</v>
      </c>
      <c r="B261" s="5">
        <v>44645</v>
      </c>
      <c r="C261" s="6" t="s">
        <v>86</v>
      </c>
      <c r="D261" s="7">
        <v>0</v>
      </c>
      <c r="E261" s="8">
        <v>2151</v>
      </c>
      <c r="F261" s="9">
        <f t="shared" si="39"/>
        <v>633484.54000000085</v>
      </c>
      <c r="G261" s="10"/>
      <c r="H261" s="11"/>
    </row>
    <row r="262" spans="1:8" ht="15" customHeight="1">
      <c r="A262" s="5">
        <v>44643</v>
      </c>
      <c r="B262" s="5">
        <v>44645</v>
      </c>
      <c r="C262" s="6" t="s">
        <v>7</v>
      </c>
      <c r="D262" s="16">
        <v>0</v>
      </c>
      <c r="E262" s="8">
        <v>75956.39</v>
      </c>
      <c r="F262" s="9">
        <f t="shared" si="39"/>
        <v>709440.93000000087</v>
      </c>
      <c r="G262" s="10"/>
      <c r="H262" s="11"/>
    </row>
    <row r="263" spans="1:8" ht="15" customHeight="1">
      <c r="A263" s="5">
        <v>44643</v>
      </c>
      <c r="B263" s="5">
        <v>44645</v>
      </c>
      <c r="C263" s="11" t="s">
        <v>11</v>
      </c>
      <c r="D263" s="12">
        <v>14.98</v>
      </c>
      <c r="E263" s="12">
        <v>0</v>
      </c>
      <c r="F263" s="9">
        <f t="shared" si="39"/>
        <v>709425.95000000088</v>
      </c>
      <c r="G263" s="14"/>
      <c r="H263" s="11"/>
    </row>
    <row r="264" spans="1:8" ht="15" customHeight="1">
      <c r="A264" s="5" t="s">
        <v>12</v>
      </c>
      <c r="B264" s="5">
        <v>44648</v>
      </c>
      <c r="C264" s="6" t="s">
        <v>87</v>
      </c>
      <c r="D264" s="7">
        <v>0</v>
      </c>
      <c r="E264" s="8">
        <v>1989</v>
      </c>
      <c r="F264" s="9">
        <f t="shared" si="39"/>
        <v>711414.95000000088</v>
      </c>
      <c r="G264" s="10"/>
      <c r="H264" s="11"/>
    </row>
    <row r="265" spans="1:8" ht="15" customHeight="1">
      <c r="A265" s="5">
        <v>44644</v>
      </c>
      <c r="B265" s="5">
        <v>44648</v>
      </c>
      <c r="C265" s="6" t="s">
        <v>54</v>
      </c>
      <c r="D265" s="16">
        <v>51233.23</v>
      </c>
      <c r="E265" s="8">
        <v>0</v>
      </c>
      <c r="F265" s="9">
        <f t="shared" si="39"/>
        <v>660181.7200000009</v>
      </c>
      <c r="G265" s="10"/>
      <c r="H265" s="11"/>
    </row>
    <row r="266" spans="1:8" ht="15" customHeight="1">
      <c r="A266" s="5">
        <v>44644</v>
      </c>
      <c r="B266" s="5">
        <v>44648</v>
      </c>
      <c r="C266" s="11" t="s">
        <v>11</v>
      </c>
      <c r="D266" s="12">
        <v>14.98</v>
      </c>
      <c r="E266" s="12">
        <v>0</v>
      </c>
      <c r="F266" s="9">
        <f t="shared" si="39"/>
        <v>660166.74000000092</v>
      </c>
      <c r="G266" s="14"/>
      <c r="H266" s="11"/>
    </row>
    <row r="267" spans="1:8" ht="15" customHeight="1">
      <c r="A267" s="5" t="s">
        <v>12</v>
      </c>
      <c r="B267" s="5">
        <v>44650</v>
      </c>
      <c r="C267" s="6" t="s">
        <v>46</v>
      </c>
      <c r="D267" s="7">
        <v>0</v>
      </c>
      <c r="E267" s="8">
        <v>6272.44</v>
      </c>
      <c r="F267" s="9">
        <f t="shared" ref="F267:F269" si="40">F266-D267+E267</f>
        <v>666439.18000000087</v>
      </c>
      <c r="G267" s="10"/>
      <c r="H267" s="11"/>
    </row>
    <row r="268" spans="1:8" ht="15" customHeight="1">
      <c r="A268" s="5">
        <v>44648</v>
      </c>
      <c r="B268" s="5">
        <v>44650</v>
      </c>
      <c r="C268" s="6" t="s">
        <v>7</v>
      </c>
      <c r="D268" s="16">
        <v>0</v>
      </c>
      <c r="E268" s="8">
        <v>78949.740000000005</v>
      </c>
      <c r="F268" s="9">
        <f t="shared" si="40"/>
        <v>745388.92000000086</v>
      </c>
      <c r="G268" s="10"/>
      <c r="H268" s="11"/>
    </row>
    <row r="269" spans="1:8" ht="15" customHeight="1">
      <c r="A269" s="5">
        <v>44648</v>
      </c>
      <c r="B269" s="5">
        <v>44650</v>
      </c>
      <c r="C269" s="11" t="s">
        <v>11</v>
      </c>
      <c r="D269" s="12">
        <v>14.98</v>
      </c>
      <c r="E269" s="12">
        <v>0</v>
      </c>
      <c r="F269" s="9">
        <f t="shared" si="40"/>
        <v>745373.94000000088</v>
      </c>
      <c r="G269" s="14"/>
      <c r="H269" s="11"/>
    </row>
    <row r="270" spans="1:8" ht="15" customHeight="1">
      <c r="A270" s="5">
        <v>44649</v>
      </c>
      <c r="B270" s="5">
        <v>44651</v>
      </c>
      <c r="C270" s="6" t="s">
        <v>45</v>
      </c>
      <c r="D270" s="16">
        <v>144318.95000000001</v>
      </c>
      <c r="E270" s="8">
        <v>0</v>
      </c>
      <c r="F270" s="9">
        <f t="shared" ref="F270:F289" si="41">F269-D270+E270</f>
        <v>601054.99000000092</v>
      </c>
      <c r="G270" s="10"/>
      <c r="H270" s="11"/>
    </row>
    <row r="271" spans="1:8" ht="15" customHeight="1">
      <c r="A271" s="5">
        <v>44649</v>
      </c>
      <c r="B271" s="5">
        <v>44651</v>
      </c>
      <c r="C271" s="11" t="s">
        <v>11</v>
      </c>
      <c r="D271" s="12">
        <v>14.98</v>
      </c>
      <c r="E271" s="12">
        <v>0</v>
      </c>
      <c r="F271" s="9">
        <f t="shared" si="41"/>
        <v>601040.01000000094</v>
      </c>
      <c r="G271" s="14"/>
      <c r="H271" s="11"/>
    </row>
    <row r="272" spans="1:8" ht="15" customHeight="1">
      <c r="A272" s="5" t="s">
        <v>12</v>
      </c>
      <c r="B272" s="5">
        <v>44651</v>
      </c>
      <c r="C272" s="6" t="s">
        <v>13</v>
      </c>
      <c r="D272" s="7">
        <v>100000</v>
      </c>
      <c r="E272" s="8">
        <v>0</v>
      </c>
      <c r="F272" s="9">
        <f t="shared" si="41"/>
        <v>501040.01000000094</v>
      </c>
      <c r="G272" s="10"/>
      <c r="H272" s="11"/>
    </row>
    <row r="273" spans="1:8" ht="15" customHeight="1">
      <c r="A273" s="5" t="s">
        <v>12</v>
      </c>
      <c r="B273" s="5">
        <v>44652</v>
      </c>
      <c r="C273" s="11" t="s">
        <v>63</v>
      </c>
      <c r="D273" s="12">
        <v>3185.1</v>
      </c>
      <c r="E273" s="12">
        <v>0</v>
      </c>
      <c r="F273" s="9">
        <f t="shared" si="41"/>
        <v>497854.91000000096</v>
      </c>
      <c r="G273" s="13"/>
      <c r="H273" s="11"/>
    </row>
    <row r="274" spans="1:8" ht="15" customHeight="1">
      <c r="A274" s="5" t="s">
        <v>12</v>
      </c>
      <c r="B274" s="5">
        <v>44652</v>
      </c>
      <c r="C274" s="6" t="s">
        <v>13</v>
      </c>
      <c r="D274" s="7">
        <v>100000</v>
      </c>
      <c r="E274" s="8">
        <v>0</v>
      </c>
      <c r="F274" s="9">
        <f t="shared" si="41"/>
        <v>397854.91000000096</v>
      </c>
      <c r="G274" s="10"/>
      <c r="H274" s="11"/>
    </row>
    <row r="275" spans="1:8" ht="15" customHeight="1">
      <c r="A275" s="5" t="s">
        <v>12</v>
      </c>
      <c r="B275" s="5">
        <v>44653</v>
      </c>
      <c r="C275" s="6" t="s">
        <v>13</v>
      </c>
      <c r="D275" s="7">
        <v>100000</v>
      </c>
      <c r="E275" s="8">
        <v>0</v>
      </c>
      <c r="F275" s="9">
        <f t="shared" si="41"/>
        <v>297854.91000000096</v>
      </c>
      <c r="G275" s="10"/>
      <c r="H275" s="11"/>
    </row>
    <row r="276" spans="1:8" ht="15" customHeight="1">
      <c r="A276" s="5">
        <v>44651</v>
      </c>
      <c r="B276" s="5">
        <v>44655</v>
      </c>
      <c r="C276" s="6" t="s">
        <v>25</v>
      </c>
      <c r="D276" s="16">
        <v>0</v>
      </c>
      <c r="E276" s="8">
        <v>182968.84</v>
      </c>
      <c r="F276" s="9">
        <f t="shared" si="41"/>
        <v>480823.75000000093</v>
      </c>
      <c r="G276" s="10"/>
      <c r="H276" s="11"/>
    </row>
    <row r="277" spans="1:8" ht="15" customHeight="1">
      <c r="A277" s="5">
        <v>44651</v>
      </c>
      <c r="B277" s="5">
        <v>44655</v>
      </c>
      <c r="C277" s="11" t="s">
        <v>11</v>
      </c>
      <c r="D277" s="12">
        <v>14.98</v>
      </c>
      <c r="E277" s="12">
        <v>0</v>
      </c>
      <c r="F277" s="9">
        <f t="shared" si="41"/>
        <v>480808.77000000095</v>
      </c>
      <c r="G277" s="14"/>
      <c r="H277" s="11"/>
    </row>
    <row r="278" spans="1:8" ht="15" customHeight="1">
      <c r="A278" s="5">
        <v>44652</v>
      </c>
      <c r="B278" s="5">
        <v>44656</v>
      </c>
      <c r="C278" s="6" t="s">
        <v>10</v>
      </c>
      <c r="D278" s="16">
        <v>0</v>
      </c>
      <c r="E278" s="8">
        <v>115992.52</v>
      </c>
      <c r="F278" s="9">
        <f t="shared" si="41"/>
        <v>596801.29000000097</v>
      </c>
      <c r="G278" s="10"/>
      <c r="H278" s="11"/>
    </row>
    <row r="279" spans="1:8" ht="15" customHeight="1">
      <c r="A279" s="5">
        <v>44652</v>
      </c>
      <c r="B279" s="5">
        <v>44656</v>
      </c>
      <c r="C279" s="11" t="s">
        <v>11</v>
      </c>
      <c r="D279" s="12">
        <v>14.98</v>
      </c>
      <c r="E279" s="12">
        <v>0</v>
      </c>
      <c r="F279" s="9">
        <f t="shared" si="41"/>
        <v>596786.31000000099</v>
      </c>
      <c r="G279" s="14"/>
      <c r="H279" s="11"/>
    </row>
    <row r="280" spans="1:8" ht="15" customHeight="1">
      <c r="A280" s="5" t="s">
        <v>12</v>
      </c>
      <c r="B280" s="5">
        <v>44659</v>
      </c>
      <c r="C280" s="6" t="s">
        <v>88</v>
      </c>
      <c r="D280" s="7">
        <v>0</v>
      </c>
      <c r="E280" s="8">
        <v>7290</v>
      </c>
      <c r="F280" s="9">
        <f t="shared" si="41"/>
        <v>604076.31000000099</v>
      </c>
      <c r="G280" s="10"/>
      <c r="H280" s="11"/>
    </row>
    <row r="281" spans="1:8" ht="15" customHeight="1">
      <c r="A281" s="5" t="s">
        <v>12</v>
      </c>
      <c r="B281" s="5">
        <v>44659</v>
      </c>
      <c r="C281" s="6" t="s">
        <v>13</v>
      </c>
      <c r="D281" s="7">
        <v>0</v>
      </c>
      <c r="E281" s="8">
        <v>50000</v>
      </c>
      <c r="F281" s="9">
        <f t="shared" si="41"/>
        <v>654076.31000000099</v>
      </c>
      <c r="G281" s="10"/>
      <c r="H281" s="11"/>
    </row>
    <row r="282" spans="1:8" ht="15" customHeight="1">
      <c r="A282" s="5">
        <v>44656</v>
      </c>
      <c r="B282" s="5">
        <v>44659</v>
      </c>
      <c r="C282" s="6" t="s">
        <v>45</v>
      </c>
      <c r="D282" s="16">
        <v>72159.47</v>
      </c>
      <c r="E282" s="8">
        <v>0</v>
      </c>
      <c r="F282" s="9">
        <f t="shared" si="41"/>
        <v>581916.84000000102</v>
      </c>
      <c r="G282" s="10"/>
      <c r="H282" s="11"/>
    </row>
    <row r="283" spans="1:8" ht="15" customHeight="1">
      <c r="A283" s="5">
        <v>44656</v>
      </c>
      <c r="B283" s="5">
        <v>44659</v>
      </c>
      <c r="C283" s="11" t="s">
        <v>11</v>
      </c>
      <c r="D283" s="12">
        <v>14.98</v>
      </c>
      <c r="E283" s="12">
        <v>0</v>
      </c>
      <c r="F283" s="9">
        <f t="shared" si="41"/>
        <v>581901.86000000103</v>
      </c>
      <c r="G283" s="14"/>
      <c r="H283" s="11"/>
    </row>
    <row r="284" spans="1:8" ht="15" customHeight="1">
      <c r="A284" s="5" t="s">
        <v>12</v>
      </c>
      <c r="B284" s="5">
        <v>44660</v>
      </c>
      <c r="C284" s="11" t="s">
        <v>84</v>
      </c>
      <c r="D284" s="12">
        <v>20</v>
      </c>
      <c r="E284" s="12">
        <v>0</v>
      </c>
      <c r="F284" s="9">
        <f t="shared" si="41"/>
        <v>581881.86000000103</v>
      </c>
      <c r="G284" s="11"/>
      <c r="H284" s="11"/>
    </row>
    <row r="285" spans="1:8" ht="15" customHeight="1">
      <c r="A285" s="5">
        <v>44658</v>
      </c>
      <c r="B285" s="5">
        <v>44662</v>
      </c>
      <c r="C285" s="6" t="s">
        <v>6</v>
      </c>
      <c r="D285" s="16">
        <v>62888.98</v>
      </c>
      <c r="E285" s="8">
        <v>0</v>
      </c>
      <c r="F285" s="9">
        <f t="shared" si="41"/>
        <v>518992.88000000105</v>
      </c>
      <c r="G285" s="10"/>
      <c r="H285" s="11"/>
    </row>
    <row r="286" spans="1:8" ht="15" customHeight="1">
      <c r="A286" s="5">
        <v>44658</v>
      </c>
      <c r="B286" s="5">
        <v>44662</v>
      </c>
      <c r="C286" s="6" t="s">
        <v>89</v>
      </c>
      <c r="D286" s="16">
        <v>165365.46</v>
      </c>
      <c r="E286" s="8">
        <v>0</v>
      </c>
      <c r="F286" s="9">
        <f t="shared" si="41"/>
        <v>353627.42000000109</v>
      </c>
      <c r="G286" s="10"/>
      <c r="H286" s="11"/>
    </row>
    <row r="287" spans="1:8" ht="15" customHeight="1">
      <c r="A287" s="5">
        <v>44658</v>
      </c>
      <c r="B287" s="5">
        <v>44662</v>
      </c>
      <c r="C287" s="11" t="s">
        <v>11</v>
      </c>
      <c r="D287" s="12">
        <v>14.98</v>
      </c>
      <c r="E287" s="12">
        <v>0</v>
      </c>
      <c r="F287" s="9">
        <f t="shared" si="41"/>
        <v>353612.44000000111</v>
      </c>
      <c r="G287" s="14"/>
      <c r="H287" s="11"/>
    </row>
    <row r="288" spans="1:8" ht="15" customHeight="1">
      <c r="A288" s="5">
        <v>44659</v>
      </c>
      <c r="B288" s="5">
        <v>44663</v>
      </c>
      <c r="C288" s="6" t="s">
        <v>89</v>
      </c>
      <c r="D288" s="16">
        <v>165365.46</v>
      </c>
      <c r="E288" s="8">
        <v>0</v>
      </c>
      <c r="F288" s="9">
        <f t="shared" si="41"/>
        <v>188246.98000000112</v>
      </c>
      <c r="G288" s="10"/>
      <c r="H288" s="11"/>
    </row>
    <row r="289" spans="1:8" ht="15" customHeight="1">
      <c r="A289" s="5">
        <v>44659</v>
      </c>
      <c r="B289" s="5">
        <v>44663</v>
      </c>
      <c r="C289" s="11" t="s">
        <v>11</v>
      </c>
      <c r="D289" s="12">
        <v>14.98</v>
      </c>
      <c r="E289" s="12">
        <v>0</v>
      </c>
      <c r="F289" s="9">
        <f t="shared" si="41"/>
        <v>188232.00000000111</v>
      </c>
      <c r="G289" s="14"/>
      <c r="H289" s="11"/>
    </row>
    <row r="290" spans="1:8" ht="15" customHeight="1">
      <c r="A290" s="5" t="s">
        <v>12</v>
      </c>
      <c r="B290" s="5">
        <v>44663</v>
      </c>
      <c r="C290" s="6" t="s">
        <v>90</v>
      </c>
      <c r="D290" s="7">
        <v>22800</v>
      </c>
      <c r="E290" s="8">
        <v>0</v>
      </c>
      <c r="F290" s="9">
        <f t="shared" ref="F290:F298" si="42">F289-D290+E290</f>
        <v>165432.00000000111</v>
      </c>
      <c r="G290" s="10"/>
      <c r="H290" s="11"/>
    </row>
    <row r="291" spans="1:8" ht="15" customHeight="1">
      <c r="A291" s="5" t="s">
        <v>12</v>
      </c>
      <c r="B291" s="5">
        <v>44663</v>
      </c>
      <c r="C291" s="6" t="s">
        <v>13</v>
      </c>
      <c r="D291" s="7">
        <v>10000</v>
      </c>
      <c r="E291" s="8">
        <v>0</v>
      </c>
      <c r="F291" s="21">
        <f t="shared" si="42"/>
        <v>155432.00000000111</v>
      </c>
      <c r="G291" s="10"/>
      <c r="H291" s="11"/>
    </row>
    <row r="292" spans="1:8" ht="15" customHeight="1">
      <c r="A292" s="5" t="s">
        <v>12</v>
      </c>
      <c r="B292" s="5">
        <v>44669</v>
      </c>
      <c r="C292" s="11" t="s">
        <v>39</v>
      </c>
      <c r="D292" s="12">
        <v>432</v>
      </c>
      <c r="E292" s="12">
        <v>0</v>
      </c>
      <c r="F292" s="9">
        <f t="shared" si="42"/>
        <v>155000.00000000111</v>
      </c>
      <c r="G292" s="11"/>
      <c r="H292" s="11"/>
    </row>
    <row r="293" spans="1:8" ht="15" customHeight="1">
      <c r="A293" s="18">
        <v>44663</v>
      </c>
      <c r="B293" s="18">
        <v>44670</v>
      </c>
      <c r="C293" s="19" t="s">
        <v>76</v>
      </c>
      <c r="D293" s="22">
        <v>58629.58</v>
      </c>
      <c r="E293" s="8">
        <v>0</v>
      </c>
      <c r="F293" s="9">
        <f t="shared" si="42"/>
        <v>96370.420000001104</v>
      </c>
      <c r="G293" s="10"/>
      <c r="H293" s="11"/>
    </row>
    <row r="294" spans="1:8" ht="15" customHeight="1">
      <c r="A294" s="5">
        <v>44663</v>
      </c>
      <c r="B294" s="5">
        <v>44670</v>
      </c>
      <c r="C294" s="11" t="s">
        <v>11</v>
      </c>
      <c r="D294" s="12">
        <v>14.98</v>
      </c>
      <c r="E294" s="12">
        <v>0</v>
      </c>
      <c r="F294" s="21">
        <f t="shared" si="42"/>
        <v>96355.440000001108</v>
      </c>
      <c r="G294" s="14"/>
      <c r="H294" s="11"/>
    </row>
    <row r="295" spans="1:8" ht="15" customHeight="1">
      <c r="A295" s="5">
        <v>44669</v>
      </c>
      <c r="B295" s="5">
        <v>44671</v>
      </c>
      <c r="C295" s="6" t="s">
        <v>85</v>
      </c>
      <c r="D295" s="16">
        <v>0</v>
      </c>
      <c r="E295" s="16">
        <v>126718.71</v>
      </c>
      <c r="F295" s="9">
        <f t="shared" si="42"/>
        <v>223074.15000000113</v>
      </c>
      <c r="G295" s="10"/>
      <c r="H295" s="11"/>
    </row>
    <row r="296" spans="1:8" ht="15" customHeight="1">
      <c r="A296" s="5">
        <v>44669</v>
      </c>
      <c r="B296" s="5">
        <v>44671</v>
      </c>
      <c r="C296" s="6" t="s">
        <v>22</v>
      </c>
      <c r="D296" s="16">
        <v>0</v>
      </c>
      <c r="E296" s="16">
        <v>241463.99</v>
      </c>
      <c r="F296" s="9">
        <f t="shared" si="42"/>
        <v>464538.14000000112</v>
      </c>
      <c r="G296" s="10"/>
      <c r="H296" s="11"/>
    </row>
    <row r="297" spans="1:8" ht="15" customHeight="1">
      <c r="A297" s="5">
        <v>44669</v>
      </c>
      <c r="B297" s="5">
        <v>44671</v>
      </c>
      <c r="C297" s="6" t="s">
        <v>62</v>
      </c>
      <c r="D297" s="16">
        <v>168051.4</v>
      </c>
      <c r="E297" s="16">
        <v>0</v>
      </c>
      <c r="F297" s="9">
        <f t="shared" si="42"/>
        <v>296486.74000000115</v>
      </c>
      <c r="G297" s="10"/>
      <c r="H297" s="11"/>
    </row>
    <row r="298" spans="1:8" ht="15" customHeight="1">
      <c r="A298" s="5">
        <v>44669</v>
      </c>
      <c r="B298" s="5">
        <v>44671</v>
      </c>
      <c r="C298" s="11" t="s">
        <v>11</v>
      </c>
      <c r="D298" s="12">
        <v>14.98</v>
      </c>
      <c r="E298" s="12">
        <v>0</v>
      </c>
      <c r="F298" s="21">
        <f t="shared" si="42"/>
        <v>296471.76000000117</v>
      </c>
      <c r="G298" s="14"/>
      <c r="H298" s="11"/>
    </row>
    <row r="299" spans="1:8" ht="15" customHeight="1">
      <c r="A299" s="5">
        <v>44670</v>
      </c>
      <c r="B299" s="5">
        <v>44672</v>
      </c>
      <c r="C299" s="6" t="s">
        <v>62</v>
      </c>
      <c r="D299" s="16">
        <v>152657.37</v>
      </c>
      <c r="E299" s="16">
        <v>0</v>
      </c>
      <c r="F299" s="9">
        <f t="shared" ref="F299:F301" si="43">F298-D299+E299</f>
        <v>143814.39000000118</v>
      </c>
      <c r="G299" s="10"/>
      <c r="H299" s="11"/>
    </row>
    <row r="300" spans="1:8" ht="15" customHeight="1">
      <c r="A300" s="5">
        <v>44670</v>
      </c>
      <c r="B300" s="5">
        <v>44672</v>
      </c>
      <c r="C300" s="11" t="s">
        <v>11</v>
      </c>
      <c r="D300" s="12">
        <v>14.98</v>
      </c>
      <c r="E300" s="12">
        <v>0</v>
      </c>
      <c r="F300" s="21">
        <f t="shared" si="43"/>
        <v>143799.41000000117</v>
      </c>
      <c r="G300" s="14"/>
      <c r="H300" s="11"/>
    </row>
    <row r="301" spans="1:8" ht="15" customHeight="1">
      <c r="A301" s="5" t="s">
        <v>12</v>
      </c>
      <c r="B301" s="5">
        <v>44673</v>
      </c>
      <c r="C301" s="6" t="s">
        <v>91</v>
      </c>
      <c r="D301" s="7">
        <v>0</v>
      </c>
      <c r="E301" s="8">
        <v>4980</v>
      </c>
      <c r="F301" s="9">
        <f t="shared" si="43"/>
        <v>148779.41000000117</v>
      </c>
      <c r="G301" s="10"/>
      <c r="H301" s="11"/>
    </row>
    <row r="302" spans="1:8" ht="15" customHeight="1">
      <c r="A302" s="5" t="s">
        <v>12</v>
      </c>
      <c r="B302" s="5">
        <v>44673</v>
      </c>
      <c r="C302" s="6" t="s">
        <v>92</v>
      </c>
      <c r="D302" s="7">
        <v>0</v>
      </c>
      <c r="E302" s="8">
        <v>14175</v>
      </c>
      <c r="F302" s="21">
        <f t="shared" ref="F302:F306" si="44">F301-D302+E302</f>
        <v>162954.41000000117</v>
      </c>
      <c r="G302" s="10"/>
      <c r="H302" s="11"/>
    </row>
    <row r="303" spans="1:8" ht="15" customHeight="1">
      <c r="A303" s="5">
        <v>44671</v>
      </c>
      <c r="B303" s="5">
        <v>44673</v>
      </c>
      <c r="C303" s="6" t="s">
        <v>54</v>
      </c>
      <c r="D303" s="16">
        <v>0</v>
      </c>
      <c r="E303" s="16">
        <v>53640.93</v>
      </c>
      <c r="F303" s="9">
        <f t="shared" si="44"/>
        <v>216595.34000000116</v>
      </c>
      <c r="G303" s="10"/>
      <c r="H303" s="11"/>
    </row>
    <row r="304" spans="1:8" ht="15" customHeight="1">
      <c r="A304" s="5">
        <v>44671</v>
      </c>
      <c r="B304" s="5">
        <v>44673</v>
      </c>
      <c r="C304" s="11" t="s">
        <v>11</v>
      </c>
      <c r="D304" s="12">
        <v>14.98</v>
      </c>
      <c r="E304" s="12">
        <v>0</v>
      </c>
      <c r="F304" s="9">
        <f t="shared" si="44"/>
        <v>216580.36000000115</v>
      </c>
      <c r="G304" s="14"/>
      <c r="H304" s="11"/>
    </row>
    <row r="305" spans="1:8" ht="15" customHeight="1">
      <c r="A305" s="5">
        <v>44672</v>
      </c>
      <c r="B305" s="5">
        <v>44676</v>
      </c>
      <c r="C305" s="6" t="s">
        <v>62</v>
      </c>
      <c r="D305" s="16">
        <v>181902.01</v>
      </c>
      <c r="E305" s="16">
        <v>0</v>
      </c>
      <c r="F305" s="9">
        <f t="shared" si="44"/>
        <v>34678.350000001141</v>
      </c>
      <c r="G305" s="10"/>
      <c r="H305" s="11"/>
    </row>
    <row r="306" spans="1:8" ht="15" customHeight="1">
      <c r="A306" s="5">
        <v>44672</v>
      </c>
      <c r="B306" s="5">
        <v>44676</v>
      </c>
      <c r="C306" s="11" t="s">
        <v>11</v>
      </c>
      <c r="D306" s="12">
        <v>14.98</v>
      </c>
      <c r="E306" s="12">
        <v>0</v>
      </c>
      <c r="F306" s="9">
        <f t="shared" si="44"/>
        <v>34663.370000001138</v>
      </c>
      <c r="G306" s="14"/>
      <c r="H306" s="11"/>
    </row>
    <row r="307" spans="1:8" ht="15" customHeight="1">
      <c r="A307" s="5">
        <v>44673</v>
      </c>
      <c r="B307" s="5">
        <v>44677</v>
      </c>
      <c r="C307" s="6" t="s">
        <v>70</v>
      </c>
      <c r="D307" s="16">
        <v>0</v>
      </c>
      <c r="E307" s="16">
        <v>202550.38</v>
      </c>
      <c r="F307" s="9">
        <f t="shared" ref="F307:F313" si="45">F306-D307+E307</f>
        <v>237213.75000000114</v>
      </c>
      <c r="G307" s="10"/>
      <c r="H307" s="11"/>
    </row>
    <row r="308" spans="1:8" ht="15" customHeight="1">
      <c r="A308" s="5">
        <v>44673</v>
      </c>
      <c r="B308" s="5">
        <v>44677</v>
      </c>
      <c r="C308" s="11" t="s">
        <v>11</v>
      </c>
      <c r="D308" s="12">
        <v>14.98</v>
      </c>
      <c r="E308" s="12">
        <v>0</v>
      </c>
      <c r="F308" s="9">
        <f t="shared" si="45"/>
        <v>237198.77000000112</v>
      </c>
      <c r="G308" s="14"/>
      <c r="H308" s="11"/>
    </row>
    <row r="309" spans="1:8" ht="15" customHeight="1">
      <c r="A309" s="5" t="s">
        <v>12</v>
      </c>
      <c r="B309" s="5">
        <v>44677</v>
      </c>
      <c r="C309" s="6" t="s">
        <v>93</v>
      </c>
      <c r="D309" s="7">
        <v>0</v>
      </c>
      <c r="E309" s="8">
        <v>8100</v>
      </c>
      <c r="F309" s="9">
        <f t="shared" si="45"/>
        <v>245298.77000000112</v>
      </c>
      <c r="G309" s="10"/>
      <c r="H309" s="11"/>
    </row>
    <row r="310" spans="1:8" ht="15" customHeight="1">
      <c r="A310" s="5" t="s">
        <v>12</v>
      </c>
      <c r="B310" s="5">
        <v>44678</v>
      </c>
      <c r="C310" s="6" t="s">
        <v>94</v>
      </c>
      <c r="D310" s="7">
        <v>0</v>
      </c>
      <c r="E310" s="8">
        <v>3645</v>
      </c>
      <c r="F310" s="9">
        <f t="shared" si="45"/>
        <v>248943.77000000112</v>
      </c>
      <c r="G310" s="10"/>
      <c r="H310" s="11"/>
    </row>
    <row r="311" spans="1:8" ht="15" customHeight="1">
      <c r="A311" s="5">
        <v>44676</v>
      </c>
      <c r="B311" s="5">
        <v>44678</v>
      </c>
      <c r="C311" s="6" t="s">
        <v>89</v>
      </c>
      <c r="D311" s="16">
        <v>165365.46</v>
      </c>
      <c r="E311" s="16">
        <v>0</v>
      </c>
      <c r="F311" s="9">
        <f t="shared" si="45"/>
        <v>83578.310000001133</v>
      </c>
      <c r="G311" s="10"/>
      <c r="H311" s="11"/>
    </row>
    <row r="312" spans="1:8" ht="15" customHeight="1">
      <c r="A312" s="5">
        <v>44676</v>
      </c>
      <c r="B312" s="5">
        <v>44678</v>
      </c>
      <c r="C312" s="6" t="s">
        <v>45</v>
      </c>
      <c r="D312" s="16">
        <v>66146.179999999993</v>
      </c>
      <c r="E312" s="16">
        <v>0</v>
      </c>
      <c r="F312" s="9">
        <f t="shared" si="45"/>
        <v>17432.13000000114</v>
      </c>
      <c r="G312" s="10"/>
      <c r="H312" s="11"/>
    </row>
    <row r="313" spans="1:8" ht="15" customHeight="1">
      <c r="A313" s="5">
        <v>44676</v>
      </c>
      <c r="B313" s="5">
        <v>44678</v>
      </c>
      <c r="C313" s="11" t="s">
        <v>11</v>
      </c>
      <c r="D313" s="12">
        <v>14.98</v>
      </c>
      <c r="E313" s="12">
        <v>0</v>
      </c>
      <c r="F313" s="9">
        <f t="shared" si="45"/>
        <v>17417.15000000114</v>
      </c>
      <c r="G313" s="14"/>
      <c r="H313" s="11"/>
    </row>
    <row r="314" spans="1:8" ht="15" customHeight="1">
      <c r="A314" s="5" t="s">
        <v>12</v>
      </c>
      <c r="B314" s="5">
        <v>44680</v>
      </c>
      <c r="C314" s="6" t="s">
        <v>95</v>
      </c>
      <c r="D314" s="7">
        <v>0</v>
      </c>
      <c r="E314" s="8">
        <v>6480</v>
      </c>
      <c r="F314" s="21">
        <f t="shared" ref="F314:F331" si="46">F313-D314+E314</f>
        <v>23897.15000000114</v>
      </c>
      <c r="G314" s="10"/>
      <c r="H314" s="11"/>
    </row>
    <row r="315" spans="1:8" ht="15" customHeight="1">
      <c r="A315" s="5" t="s">
        <v>12</v>
      </c>
      <c r="B315" s="5">
        <v>44683</v>
      </c>
      <c r="C315" s="11" t="s">
        <v>63</v>
      </c>
      <c r="D315" s="12">
        <v>1420</v>
      </c>
      <c r="E315" s="12">
        <v>0</v>
      </c>
      <c r="F315" s="9">
        <f t="shared" si="46"/>
        <v>22477.15000000114</v>
      </c>
      <c r="G315" s="13"/>
      <c r="H315" s="11"/>
    </row>
    <row r="316" spans="1:8" ht="15" customHeight="1">
      <c r="A316" s="5">
        <v>44679</v>
      </c>
      <c r="B316" s="5">
        <v>44684</v>
      </c>
      <c r="C316" s="6" t="s">
        <v>62</v>
      </c>
      <c r="D316" s="16">
        <v>0</v>
      </c>
      <c r="E316" s="16">
        <v>187084.7</v>
      </c>
      <c r="F316" s="9">
        <f t="shared" si="46"/>
        <v>209561.85000000114</v>
      </c>
      <c r="G316" s="10"/>
      <c r="H316" s="11"/>
    </row>
    <row r="317" spans="1:8" ht="15" customHeight="1">
      <c r="A317" s="5">
        <v>44679</v>
      </c>
      <c r="B317" s="5">
        <v>44684</v>
      </c>
      <c r="C317" s="11" t="s">
        <v>11</v>
      </c>
      <c r="D317" s="12">
        <v>14.98</v>
      </c>
      <c r="E317" s="12">
        <v>0</v>
      </c>
      <c r="F317" s="21">
        <f t="shared" si="46"/>
        <v>209546.87000000113</v>
      </c>
      <c r="G317" s="14"/>
      <c r="H317" s="11"/>
    </row>
    <row r="318" spans="1:8" ht="15" customHeight="1">
      <c r="A318" s="5" t="s">
        <v>12</v>
      </c>
      <c r="B318" s="5">
        <v>44685</v>
      </c>
      <c r="C318" s="6" t="s">
        <v>13</v>
      </c>
      <c r="D318" s="7">
        <v>100000</v>
      </c>
      <c r="E318" s="8">
        <v>0</v>
      </c>
      <c r="F318" s="21">
        <f t="shared" si="46"/>
        <v>109546.87000000113</v>
      </c>
      <c r="G318" s="10"/>
      <c r="H318" s="11"/>
    </row>
    <row r="319" spans="1:8" ht="15" customHeight="1">
      <c r="A319" s="5">
        <v>44680</v>
      </c>
      <c r="B319" s="5">
        <v>44686</v>
      </c>
      <c r="C319" s="6" t="s">
        <v>80</v>
      </c>
      <c r="D319" s="16">
        <v>0</v>
      </c>
      <c r="E319" s="16">
        <v>109756.36</v>
      </c>
      <c r="F319" s="9">
        <f t="shared" si="46"/>
        <v>219303.23000000115</v>
      </c>
      <c r="G319" s="10"/>
      <c r="H319" s="11"/>
    </row>
    <row r="320" spans="1:8" ht="15" customHeight="1">
      <c r="A320" s="5">
        <v>44680</v>
      </c>
      <c r="B320" s="5">
        <v>44686</v>
      </c>
      <c r="C320" s="6" t="s">
        <v>33</v>
      </c>
      <c r="D320" s="16">
        <v>64041.53</v>
      </c>
      <c r="E320" s="16">
        <v>0</v>
      </c>
      <c r="F320" s="9">
        <f t="shared" si="46"/>
        <v>155261.70000000115</v>
      </c>
      <c r="G320" s="10"/>
      <c r="H320" s="11"/>
    </row>
    <row r="321" spans="1:8" ht="15" customHeight="1">
      <c r="A321" s="5">
        <v>44680</v>
      </c>
      <c r="B321" s="5">
        <v>44686</v>
      </c>
      <c r="C321" s="11" t="s">
        <v>11</v>
      </c>
      <c r="D321" s="12">
        <v>14.98</v>
      </c>
      <c r="E321" s="12">
        <v>0</v>
      </c>
      <c r="F321" s="9">
        <f t="shared" si="46"/>
        <v>155246.72000000114</v>
      </c>
      <c r="G321" s="14"/>
      <c r="H321" s="11"/>
    </row>
    <row r="322" spans="1:8" ht="15" customHeight="1">
      <c r="A322" s="5" t="s">
        <v>12</v>
      </c>
      <c r="B322" s="5">
        <v>44686</v>
      </c>
      <c r="C322" s="6" t="s">
        <v>31</v>
      </c>
      <c r="D322" s="7">
        <v>0</v>
      </c>
      <c r="E322" s="8">
        <v>24500</v>
      </c>
      <c r="F322" s="9">
        <f t="shared" si="46"/>
        <v>179746.72000000114</v>
      </c>
      <c r="G322" s="10"/>
      <c r="H322" s="11"/>
    </row>
    <row r="323" spans="1:8" ht="15" customHeight="1">
      <c r="A323" s="5" t="s">
        <v>12</v>
      </c>
      <c r="B323" s="5">
        <v>44686</v>
      </c>
      <c r="C323" s="6" t="s">
        <v>96</v>
      </c>
      <c r="D323" s="7">
        <v>0</v>
      </c>
      <c r="E323" s="8">
        <v>7020</v>
      </c>
      <c r="F323" s="9">
        <f t="shared" si="46"/>
        <v>186766.72000000114</v>
      </c>
      <c r="G323" s="10"/>
      <c r="H323" s="11"/>
    </row>
    <row r="324" spans="1:8" ht="15" customHeight="1">
      <c r="A324" s="5">
        <v>44684</v>
      </c>
      <c r="B324" s="5">
        <v>44686</v>
      </c>
      <c r="C324" s="6" t="s">
        <v>72</v>
      </c>
      <c r="D324" s="16">
        <v>0</v>
      </c>
      <c r="E324" s="16">
        <v>66153.149999999994</v>
      </c>
      <c r="F324" s="9">
        <f t="shared" si="46"/>
        <v>252919.87000000113</v>
      </c>
      <c r="G324" s="10"/>
      <c r="H324" s="11"/>
    </row>
    <row r="325" spans="1:8" ht="15" customHeight="1">
      <c r="A325" s="5">
        <v>44684</v>
      </c>
      <c r="B325" s="5">
        <v>44686</v>
      </c>
      <c r="C325" s="6" t="s">
        <v>45</v>
      </c>
      <c r="D325" s="16">
        <v>66146.179999999993</v>
      </c>
      <c r="E325" s="16">
        <v>0</v>
      </c>
      <c r="F325" s="9">
        <f t="shared" si="46"/>
        <v>186773.69000000114</v>
      </c>
      <c r="G325" s="10"/>
      <c r="H325" s="11"/>
    </row>
    <row r="326" spans="1:8" ht="15" customHeight="1">
      <c r="A326" s="18">
        <v>44684</v>
      </c>
      <c r="B326" s="18">
        <v>44686</v>
      </c>
      <c r="C326" s="19" t="s">
        <v>76</v>
      </c>
      <c r="D326" s="22">
        <v>55622.93</v>
      </c>
      <c r="E326" s="16">
        <v>0</v>
      </c>
      <c r="F326" s="9">
        <f t="shared" si="46"/>
        <v>131150.76000000114</v>
      </c>
      <c r="G326" s="10"/>
      <c r="H326" s="11"/>
    </row>
    <row r="327" spans="1:8" ht="15" customHeight="1">
      <c r="A327" s="5">
        <v>44684</v>
      </c>
      <c r="B327" s="5">
        <v>44686</v>
      </c>
      <c r="C327" s="11" t="s">
        <v>11</v>
      </c>
      <c r="D327" s="12">
        <v>14.98</v>
      </c>
      <c r="E327" s="12">
        <v>0</v>
      </c>
      <c r="F327" s="9">
        <f t="shared" ref="F327:F332" si="47">F326-D327+E327</f>
        <v>131135.78000000113</v>
      </c>
      <c r="G327" s="14"/>
      <c r="H327" s="11"/>
    </row>
    <row r="328" spans="1:8" ht="15" customHeight="1">
      <c r="A328" s="5" t="s">
        <v>12</v>
      </c>
      <c r="B328" s="5">
        <v>44687</v>
      </c>
      <c r="C328" s="6" t="s">
        <v>97</v>
      </c>
      <c r="D328" s="7">
        <v>0</v>
      </c>
      <c r="E328" s="8">
        <v>9720</v>
      </c>
      <c r="F328" s="9">
        <f t="shared" si="47"/>
        <v>140855.78000000113</v>
      </c>
      <c r="G328" s="10"/>
      <c r="H328" s="11"/>
    </row>
    <row r="329" spans="1:8" ht="15" customHeight="1">
      <c r="A329" s="5" t="s">
        <v>12</v>
      </c>
      <c r="B329" s="5">
        <v>44687</v>
      </c>
      <c r="C329" s="6" t="s">
        <v>27</v>
      </c>
      <c r="D329" s="7">
        <v>0</v>
      </c>
      <c r="E329" s="8">
        <v>13387.5</v>
      </c>
      <c r="F329" s="9">
        <f t="shared" si="47"/>
        <v>154243.28000000113</v>
      </c>
      <c r="G329" s="10"/>
      <c r="H329" s="11"/>
    </row>
    <row r="330" spans="1:8" ht="15" customHeight="1">
      <c r="A330" s="5" t="s">
        <v>12</v>
      </c>
      <c r="B330" s="5">
        <v>44687</v>
      </c>
      <c r="C330" s="6" t="s">
        <v>98</v>
      </c>
      <c r="D330" s="7">
        <v>0</v>
      </c>
      <c r="E330" s="8">
        <v>17010</v>
      </c>
      <c r="F330" s="9">
        <f t="shared" si="47"/>
        <v>171253.28000000113</v>
      </c>
      <c r="G330" s="10"/>
      <c r="H330" s="11"/>
    </row>
    <row r="331" spans="1:8" ht="15" customHeight="1">
      <c r="A331" s="5" t="s">
        <v>12</v>
      </c>
      <c r="B331" s="5">
        <v>44690</v>
      </c>
      <c r="C331" s="6" t="s">
        <v>99</v>
      </c>
      <c r="D331" s="7">
        <v>0</v>
      </c>
      <c r="E331" s="8">
        <v>12402</v>
      </c>
      <c r="F331" s="9">
        <f t="shared" si="47"/>
        <v>183655.28000000113</v>
      </c>
      <c r="G331" s="10"/>
      <c r="H331" s="11"/>
    </row>
    <row r="332" spans="1:8" ht="15" customHeight="1">
      <c r="A332" s="5">
        <v>44686</v>
      </c>
      <c r="B332" s="5">
        <v>44690</v>
      </c>
      <c r="C332" s="6" t="s">
        <v>55</v>
      </c>
      <c r="D332" s="16">
        <v>89598.01</v>
      </c>
      <c r="E332" s="16">
        <v>0</v>
      </c>
      <c r="F332" s="9">
        <f t="shared" si="47"/>
        <v>94057.270000001139</v>
      </c>
      <c r="G332" s="10"/>
      <c r="H332" s="11"/>
    </row>
    <row r="333" spans="1:8" ht="15" customHeight="1">
      <c r="A333" s="5">
        <v>44686</v>
      </c>
      <c r="B333" s="5">
        <v>44690</v>
      </c>
      <c r="C333" s="11" t="s">
        <v>11</v>
      </c>
      <c r="D333" s="12">
        <v>14.98</v>
      </c>
      <c r="E333" s="12">
        <v>0</v>
      </c>
      <c r="F333" s="9">
        <f t="shared" ref="F333:F334" si="48">F332-D333+E333</f>
        <v>94042.290000001143</v>
      </c>
      <c r="G333" s="14"/>
      <c r="H333" s="11"/>
    </row>
    <row r="334" spans="1:8" ht="15" customHeight="1">
      <c r="A334" s="5">
        <v>44687</v>
      </c>
      <c r="B334" s="5">
        <v>44691</v>
      </c>
      <c r="C334" s="6" t="s">
        <v>10</v>
      </c>
      <c r="D334" s="16">
        <v>0</v>
      </c>
      <c r="E334" s="16">
        <v>112250.82</v>
      </c>
      <c r="F334" s="9">
        <f t="shared" si="48"/>
        <v>206293.11000000115</v>
      </c>
      <c r="G334" s="10"/>
      <c r="H334" s="11"/>
    </row>
    <row r="335" spans="1:8" ht="15" customHeight="1">
      <c r="A335" s="5">
        <v>44687</v>
      </c>
      <c r="B335" s="5">
        <v>44691</v>
      </c>
      <c r="C335" s="6" t="s">
        <v>37</v>
      </c>
      <c r="D335" s="16">
        <v>32772.43</v>
      </c>
      <c r="E335" s="16">
        <v>0</v>
      </c>
      <c r="F335" s="9">
        <f t="shared" ref="F335:F336" si="49">F334-D335+E335</f>
        <v>173520.68000000116</v>
      </c>
      <c r="G335" s="10"/>
      <c r="H335" s="11"/>
    </row>
    <row r="336" spans="1:8" ht="15" customHeight="1">
      <c r="A336" s="5">
        <v>44687</v>
      </c>
      <c r="B336" s="5">
        <v>44691</v>
      </c>
      <c r="C336" s="11" t="s">
        <v>11</v>
      </c>
      <c r="D336" s="12">
        <v>14.98</v>
      </c>
      <c r="E336" s="12">
        <v>0</v>
      </c>
      <c r="F336" s="9">
        <f t="shared" si="49"/>
        <v>173505.70000000115</v>
      </c>
      <c r="G336" s="14"/>
      <c r="H336" s="11"/>
    </row>
    <row r="337" spans="1:8" ht="15" customHeight="1">
      <c r="A337" s="5">
        <v>44690</v>
      </c>
      <c r="B337" s="5">
        <v>44692</v>
      </c>
      <c r="C337" s="6" t="s">
        <v>45</v>
      </c>
      <c r="D337" s="16">
        <v>64342.19</v>
      </c>
      <c r="E337" s="16">
        <v>0</v>
      </c>
      <c r="F337" s="9">
        <f t="shared" ref="F337" si="50">F336-D337+E337</f>
        <v>109163.51000000114</v>
      </c>
      <c r="G337" s="10"/>
      <c r="H337" s="11"/>
    </row>
    <row r="338" spans="1:8" ht="15" customHeight="1">
      <c r="A338" s="5">
        <v>44690</v>
      </c>
      <c r="B338" s="5">
        <v>44692</v>
      </c>
      <c r="C338" s="6" t="s">
        <v>55</v>
      </c>
      <c r="D338" s="16">
        <v>88395.35</v>
      </c>
      <c r="E338" s="16">
        <v>0</v>
      </c>
      <c r="F338" s="9">
        <f t="shared" ref="F338:F359" si="51">F337-D338+E338</f>
        <v>20768.160000001139</v>
      </c>
      <c r="G338" s="10"/>
      <c r="H338" s="11"/>
    </row>
    <row r="339" spans="1:8" ht="15" customHeight="1">
      <c r="A339" s="5">
        <v>44690</v>
      </c>
      <c r="B339" s="5">
        <v>44692</v>
      </c>
      <c r="C339" s="11" t="s">
        <v>11</v>
      </c>
      <c r="D339" s="12">
        <v>14.98</v>
      </c>
      <c r="E339" s="12">
        <v>0</v>
      </c>
      <c r="F339" s="9">
        <f t="shared" si="51"/>
        <v>20753.180000001139</v>
      </c>
      <c r="G339" s="14"/>
      <c r="H339" s="11"/>
    </row>
    <row r="340" spans="1:8" ht="15" customHeight="1">
      <c r="A340" s="5" t="s">
        <v>12</v>
      </c>
      <c r="B340" s="5">
        <v>44693</v>
      </c>
      <c r="C340" s="6" t="s">
        <v>100</v>
      </c>
      <c r="D340" s="7">
        <v>0</v>
      </c>
      <c r="E340" s="8">
        <v>6075</v>
      </c>
      <c r="F340" s="9">
        <f t="shared" si="51"/>
        <v>26828.180000001139</v>
      </c>
      <c r="G340" s="10"/>
      <c r="H340" s="11"/>
    </row>
    <row r="341" spans="1:8" ht="15" customHeight="1">
      <c r="A341" s="5">
        <v>44691</v>
      </c>
      <c r="B341" s="5">
        <v>44693</v>
      </c>
      <c r="C341" s="6" t="s">
        <v>54</v>
      </c>
      <c r="D341" s="16">
        <v>0</v>
      </c>
      <c r="E341" s="16">
        <v>46456.87</v>
      </c>
      <c r="F341" s="9">
        <f t="shared" si="51"/>
        <v>73285.050000001138</v>
      </c>
      <c r="G341" s="10"/>
      <c r="H341" s="11"/>
    </row>
    <row r="342" spans="1:8" ht="15" customHeight="1">
      <c r="A342" s="5">
        <v>44691</v>
      </c>
      <c r="B342" s="5">
        <v>44693</v>
      </c>
      <c r="C342" s="11" t="s">
        <v>11</v>
      </c>
      <c r="D342" s="12">
        <v>14.98</v>
      </c>
      <c r="E342" s="12">
        <v>0</v>
      </c>
      <c r="F342" s="9">
        <f t="shared" si="51"/>
        <v>73270.070000001142</v>
      </c>
      <c r="G342" s="14"/>
      <c r="H342" s="11"/>
    </row>
    <row r="343" spans="1:8" ht="15" customHeight="1">
      <c r="A343" s="5" t="s">
        <v>12</v>
      </c>
      <c r="B343" s="5">
        <v>44694</v>
      </c>
      <c r="C343" s="6" t="s">
        <v>101</v>
      </c>
      <c r="D343" s="7">
        <v>0</v>
      </c>
      <c r="E343" s="8">
        <v>4860</v>
      </c>
      <c r="F343" s="9">
        <f t="shared" si="51"/>
        <v>78130.070000001142</v>
      </c>
      <c r="G343" s="10"/>
      <c r="H343" s="11"/>
    </row>
    <row r="344" spans="1:8" ht="15" customHeight="1">
      <c r="A344" s="5">
        <v>44692</v>
      </c>
      <c r="B344" s="5">
        <v>44694</v>
      </c>
      <c r="C344" s="6" t="s">
        <v>72</v>
      </c>
      <c r="D344" s="16">
        <v>0</v>
      </c>
      <c r="E344" s="16">
        <v>126918.27</v>
      </c>
      <c r="F344" s="9">
        <f t="shared" si="51"/>
        <v>205048.34000000113</v>
      </c>
      <c r="G344" s="10"/>
      <c r="H344" s="11"/>
    </row>
    <row r="345" spans="1:8" ht="15" customHeight="1">
      <c r="A345" s="5">
        <v>44692</v>
      </c>
      <c r="B345" s="5">
        <v>44694</v>
      </c>
      <c r="C345" s="11" t="s">
        <v>11</v>
      </c>
      <c r="D345" s="12">
        <v>14.98</v>
      </c>
      <c r="E345" s="12">
        <v>0</v>
      </c>
      <c r="F345" s="9">
        <f t="shared" si="51"/>
        <v>205033.36000000112</v>
      </c>
      <c r="G345" s="14"/>
      <c r="H345" s="11"/>
    </row>
    <row r="346" spans="1:8" ht="15" customHeight="1">
      <c r="A346" s="5" t="s">
        <v>12</v>
      </c>
      <c r="B346" s="5">
        <v>44695</v>
      </c>
      <c r="C346" s="11" t="s">
        <v>84</v>
      </c>
      <c r="D346" s="12">
        <v>20</v>
      </c>
      <c r="E346" s="12">
        <v>0</v>
      </c>
      <c r="F346" s="21">
        <f t="shared" si="51"/>
        <v>205013.36000000112</v>
      </c>
      <c r="G346" s="11"/>
      <c r="H346" s="11"/>
    </row>
    <row r="347" spans="1:8" ht="15" customHeight="1">
      <c r="A347" s="5" t="s">
        <v>12</v>
      </c>
      <c r="B347" s="5">
        <v>44698</v>
      </c>
      <c r="C347" s="6" t="s">
        <v>102</v>
      </c>
      <c r="D347" s="7">
        <v>0</v>
      </c>
      <c r="E347" s="8">
        <v>3240</v>
      </c>
      <c r="F347" s="9">
        <f t="shared" si="51"/>
        <v>208253.36000000112</v>
      </c>
      <c r="G347" s="10"/>
      <c r="H347" s="11"/>
    </row>
    <row r="348" spans="1:8" ht="15" customHeight="1">
      <c r="A348" s="5" t="s">
        <v>12</v>
      </c>
      <c r="B348" s="5">
        <v>44698</v>
      </c>
      <c r="C348" s="6" t="s">
        <v>103</v>
      </c>
      <c r="D348" s="7">
        <v>0</v>
      </c>
      <c r="E348" s="8">
        <v>5400</v>
      </c>
      <c r="F348" s="9">
        <f t="shared" si="51"/>
        <v>213653.36000000112</v>
      </c>
      <c r="G348" s="10"/>
      <c r="H348" s="11"/>
    </row>
    <row r="349" spans="1:8" ht="15" customHeight="1">
      <c r="A349" s="5">
        <v>44693</v>
      </c>
      <c r="B349" s="5">
        <v>44697</v>
      </c>
      <c r="C349" s="6" t="s">
        <v>51</v>
      </c>
      <c r="D349" s="16">
        <v>0</v>
      </c>
      <c r="E349" s="16">
        <v>79323.91</v>
      </c>
      <c r="F349" s="9">
        <f t="shared" si="51"/>
        <v>292977.27000000112</v>
      </c>
      <c r="G349" s="10"/>
      <c r="H349" s="11"/>
    </row>
    <row r="350" spans="1:8" ht="15" customHeight="1">
      <c r="A350" s="5">
        <v>44693</v>
      </c>
      <c r="B350" s="5">
        <v>44697</v>
      </c>
      <c r="C350" s="6" t="s">
        <v>45</v>
      </c>
      <c r="D350" s="16">
        <v>58328.9</v>
      </c>
      <c r="E350" s="16">
        <v>0</v>
      </c>
      <c r="F350" s="9">
        <f t="shared" si="51"/>
        <v>234648.37000000113</v>
      </c>
      <c r="G350" s="10"/>
      <c r="H350" s="11"/>
    </row>
    <row r="351" spans="1:8" ht="15" customHeight="1">
      <c r="A351" s="5">
        <v>44693</v>
      </c>
      <c r="B351" s="5">
        <v>44697</v>
      </c>
      <c r="C351" s="11" t="s">
        <v>11</v>
      </c>
      <c r="D351" s="12">
        <v>14.98</v>
      </c>
      <c r="E351" s="12">
        <v>0</v>
      </c>
      <c r="F351" s="9">
        <f t="shared" si="51"/>
        <v>234633.39000000112</v>
      </c>
      <c r="G351" s="14"/>
      <c r="H351" s="11"/>
    </row>
    <row r="352" spans="1:8" ht="15" customHeight="1">
      <c r="A352" s="5" t="s">
        <v>12</v>
      </c>
      <c r="B352" s="5">
        <v>44698</v>
      </c>
      <c r="C352" s="11" t="s">
        <v>39</v>
      </c>
      <c r="D352" s="12">
        <v>432</v>
      </c>
      <c r="E352" s="12">
        <v>0</v>
      </c>
      <c r="F352" s="21">
        <f t="shared" si="51"/>
        <v>234201.39000000112</v>
      </c>
      <c r="G352" s="11"/>
      <c r="H352" s="11"/>
    </row>
    <row r="353" spans="1:8" ht="15" customHeight="1">
      <c r="A353" s="5">
        <v>44694</v>
      </c>
      <c r="B353" s="5">
        <v>44698</v>
      </c>
      <c r="C353" s="6" t="s">
        <v>51</v>
      </c>
      <c r="D353" s="16">
        <v>0</v>
      </c>
      <c r="E353" s="16">
        <v>77827.240000000005</v>
      </c>
      <c r="F353" s="9">
        <f t="shared" si="51"/>
        <v>312028.63000000111</v>
      </c>
      <c r="G353" s="10"/>
      <c r="H353" s="11"/>
    </row>
    <row r="354" spans="1:8" ht="15" customHeight="1">
      <c r="A354" s="5">
        <v>44694</v>
      </c>
      <c r="B354" s="5">
        <v>44698</v>
      </c>
      <c r="C354" s="11" t="s">
        <v>11</v>
      </c>
      <c r="D354" s="12">
        <v>14.98</v>
      </c>
      <c r="E354" s="12">
        <v>0</v>
      </c>
      <c r="F354" s="9">
        <f t="shared" si="51"/>
        <v>312013.65000000113</v>
      </c>
      <c r="G354" s="14"/>
      <c r="H354" s="11"/>
    </row>
    <row r="355" spans="1:8" ht="15" customHeight="1">
      <c r="A355" s="5" t="s">
        <v>12</v>
      </c>
      <c r="B355" s="5">
        <v>44700</v>
      </c>
      <c r="C355" s="6" t="s">
        <v>104</v>
      </c>
      <c r="D355" s="7">
        <v>0</v>
      </c>
      <c r="E355" s="8">
        <v>864</v>
      </c>
      <c r="F355" s="9">
        <f t="shared" si="51"/>
        <v>312877.65000000113</v>
      </c>
      <c r="G355" s="10"/>
      <c r="H355" s="11"/>
    </row>
    <row r="356" spans="1:8" ht="15" customHeight="1">
      <c r="A356" s="5" t="s">
        <v>12</v>
      </c>
      <c r="B356" s="5">
        <v>44700</v>
      </c>
      <c r="C356" s="6" t="s">
        <v>105</v>
      </c>
      <c r="D356" s="7">
        <v>0</v>
      </c>
      <c r="E356" s="8">
        <v>12870</v>
      </c>
      <c r="F356" s="9">
        <f t="shared" si="51"/>
        <v>325747.65000000113</v>
      </c>
      <c r="G356" s="10"/>
      <c r="H356" s="11"/>
    </row>
    <row r="357" spans="1:8" ht="15" customHeight="1">
      <c r="A357" s="5">
        <v>44698</v>
      </c>
      <c r="B357" s="5">
        <v>44700</v>
      </c>
      <c r="C357" s="6" t="s">
        <v>53</v>
      </c>
      <c r="D357" s="16">
        <v>105232.56</v>
      </c>
      <c r="E357" s="16">
        <v>0</v>
      </c>
      <c r="F357" s="9">
        <f t="shared" si="51"/>
        <v>220515.09000000113</v>
      </c>
      <c r="G357" s="10"/>
      <c r="H357" s="11"/>
    </row>
    <row r="358" spans="1:8" ht="15" customHeight="1">
      <c r="A358" s="5">
        <v>44698</v>
      </c>
      <c r="B358" s="5">
        <v>44700</v>
      </c>
      <c r="C358" s="6" t="s">
        <v>51</v>
      </c>
      <c r="D358" s="16">
        <v>0</v>
      </c>
      <c r="E358" s="16">
        <v>76829.45</v>
      </c>
      <c r="F358" s="9">
        <f t="shared" si="51"/>
        <v>297344.54000000114</v>
      </c>
      <c r="G358" s="10"/>
      <c r="H358" s="11"/>
    </row>
    <row r="359" spans="1:8" ht="15" customHeight="1">
      <c r="A359" s="5">
        <v>44698</v>
      </c>
      <c r="B359" s="5">
        <v>44700</v>
      </c>
      <c r="C359" s="6" t="s">
        <v>10</v>
      </c>
      <c r="D359" s="16">
        <v>0</v>
      </c>
      <c r="E359" s="16">
        <v>110754.15</v>
      </c>
      <c r="F359" s="9">
        <f t="shared" si="51"/>
        <v>408098.69000000111</v>
      </c>
      <c r="G359" s="10"/>
      <c r="H359" s="11"/>
    </row>
    <row r="360" spans="1:8" ht="15" customHeight="1">
      <c r="A360" s="5">
        <v>44698</v>
      </c>
      <c r="B360" s="5">
        <v>44700</v>
      </c>
      <c r="C360" s="11" t="s">
        <v>11</v>
      </c>
      <c r="D360" s="12">
        <v>14.98</v>
      </c>
      <c r="E360" s="12">
        <v>0</v>
      </c>
      <c r="F360" s="9">
        <f t="shared" ref="F360:F364" si="52">F359-D360+E360</f>
        <v>408083.71000000113</v>
      </c>
      <c r="G360" s="14"/>
      <c r="H360" s="11"/>
    </row>
    <row r="361" spans="1:8" ht="15" customHeight="1">
      <c r="A361" s="5"/>
      <c r="B361" s="5">
        <v>44701</v>
      </c>
      <c r="C361" s="6" t="s">
        <v>106</v>
      </c>
      <c r="D361" s="7">
        <v>0</v>
      </c>
      <c r="E361" s="8">
        <v>7290</v>
      </c>
      <c r="F361" s="9">
        <f t="shared" si="52"/>
        <v>415373.71000000113</v>
      </c>
      <c r="G361" s="10"/>
      <c r="H361" s="11"/>
    </row>
    <row r="362" spans="1:8" ht="15" customHeight="1">
      <c r="A362" s="5" t="s">
        <v>12</v>
      </c>
      <c r="B362" s="5">
        <v>44701</v>
      </c>
      <c r="C362" s="6" t="s">
        <v>18</v>
      </c>
      <c r="D362" s="7">
        <v>0</v>
      </c>
      <c r="E362" s="8">
        <v>32700</v>
      </c>
      <c r="F362" s="21">
        <f t="shared" si="52"/>
        <v>448073.71000000113</v>
      </c>
      <c r="G362" s="10"/>
      <c r="H362" s="11"/>
    </row>
    <row r="363" spans="1:8" ht="15" customHeight="1">
      <c r="A363" s="5">
        <v>44700</v>
      </c>
      <c r="B363" s="5">
        <v>44704</v>
      </c>
      <c r="C363" s="6" t="s">
        <v>80</v>
      </c>
      <c r="D363" s="16">
        <v>110243.64</v>
      </c>
      <c r="E363" s="16">
        <v>0</v>
      </c>
      <c r="F363" s="9">
        <f t="shared" si="52"/>
        <v>337830.07000000111</v>
      </c>
      <c r="G363" s="10"/>
      <c r="H363" s="11"/>
    </row>
    <row r="364" spans="1:8" ht="15" customHeight="1">
      <c r="A364" s="5">
        <v>44700</v>
      </c>
      <c r="B364" s="5">
        <v>44704</v>
      </c>
      <c r="C364" s="11" t="s">
        <v>11</v>
      </c>
      <c r="D364" s="12">
        <v>14.98</v>
      </c>
      <c r="E364" s="12">
        <v>0</v>
      </c>
      <c r="F364" s="9">
        <f t="shared" si="52"/>
        <v>337815.09000000113</v>
      </c>
      <c r="G364" s="14"/>
      <c r="H364" s="11"/>
    </row>
    <row r="365" spans="1:8" ht="15" customHeight="1">
      <c r="A365" s="5"/>
      <c r="B365" s="5">
        <v>44705</v>
      </c>
      <c r="C365" s="6" t="s">
        <v>24</v>
      </c>
      <c r="D365" s="7">
        <v>0</v>
      </c>
      <c r="E365" s="8">
        <v>4050</v>
      </c>
      <c r="F365" s="9">
        <f t="shared" ref="F365:F367" si="53">F364-D365+E365</f>
        <v>341865.09000000113</v>
      </c>
      <c r="G365" s="10"/>
      <c r="H365" s="11"/>
    </row>
    <row r="366" spans="1:8" ht="15" customHeight="1">
      <c r="A366" s="5" t="s">
        <v>12</v>
      </c>
      <c r="B366" s="5">
        <v>44705</v>
      </c>
      <c r="C366" s="6" t="s">
        <v>107</v>
      </c>
      <c r="D366" s="7">
        <v>0</v>
      </c>
      <c r="E366" s="8">
        <v>17010</v>
      </c>
      <c r="F366" s="9">
        <f t="shared" si="53"/>
        <v>358875.09000000113</v>
      </c>
      <c r="G366" s="10"/>
      <c r="H366" s="11"/>
    </row>
    <row r="367" spans="1:8" ht="15" customHeight="1">
      <c r="A367" s="5" t="s">
        <v>12</v>
      </c>
      <c r="B367" s="5">
        <v>44706</v>
      </c>
      <c r="C367" s="6" t="s">
        <v>108</v>
      </c>
      <c r="D367" s="7">
        <v>0</v>
      </c>
      <c r="E367" s="8">
        <v>16200</v>
      </c>
      <c r="F367" s="21">
        <f t="shared" si="53"/>
        <v>375075.09000000113</v>
      </c>
      <c r="G367" s="10"/>
      <c r="H367" s="11"/>
    </row>
    <row r="368" spans="1:8" ht="15" customHeight="1">
      <c r="A368" s="5" t="s">
        <v>12</v>
      </c>
      <c r="B368" s="23">
        <v>44706</v>
      </c>
      <c r="C368" s="24" t="s">
        <v>109</v>
      </c>
      <c r="D368" s="25">
        <v>0</v>
      </c>
      <c r="E368" s="26">
        <v>17316.189999999999</v>
      </c>
      <c r="F368" s="21">
        <f t="shared" ref="F368:F383" si="54">F367-D368+E368</f>
        <v>392391.28000000113</v>
      </c>
      <c r="G368" s="10"/>
      <c r="H368" s="11"/>
    </row>
    <row r="369" spans="1:8" ht="15" customHeight="1">
      <c r="A369" s="5">
        <v>44704</v>
      </c>
      <c r="B369" s="5">
        <v>44706</v>
      </c>
      <c r="C369" s="6" t="s">
        <v>40</v>
      </c>
      <c r="D369" s="16">
        <v>0</v>
      </c>
      <c r="E369" s="16">
        <v>838.14</v>
      </c>
      <c r="F369" s="9">
        <f t="shared" si="54"/>
        <v>393229.42000000115</v>
      </c>
      <c r="G369" s="10"/>
      <c r="H369" s="11"/>
    </row>
    <row r="370" spans="1:8" ht="15" customHeight="1">
      <c r="A370" s="5">
        <v>44704</v>
      </c>
      <c r="B370" s="5">
        <v>44706</v>
      </c>
      <c r="C370" s="6" t="s">
        <v>48</v>
      </c>
      <c r="D370" s="16">
        <v>0</v>
      </c>
      <c r="E370" s="16">
        <v>152661.12</v>
      </c>
      <c r="F370" s="9">
        <f t="shared" si="54"/>
        <v>545890.5400000012</v>
      </c>
      <c r="G370" s="10"/>
      <c r="H370" s="11"/>
    </row>
    <row r="371" spans="1:8" ht="15" customHeight="1">
      <c r="A371" s="5">
        <v>44704</v>
      </c>
      <c r="B371" s="5">
        <v>44706</v>
      </c>
      <c r="C371" s="11" t="s">
        <v>11</v>
      </c>
      <c r="D371" s="12">
        <v>14.98</v>
      </c>
      <c r="E371" s="12">
        <v>0</v>
      </c>
      <c r="F371" s="21">
        <f t="shared" si="54"/>
        <v>545875.56000000122</v>
      </c>
      <c r="G371" s="14"/>
      <c r="H371" s="11"/>
    </row>
    <row r="372" spans="1:8" ht="15" customHeight="1">
      <c r="A372" s="5">
        <v>44705</v>
      </c>
      <c r="B372" s="5">
        <v>44707</v>
      </c>
      <c r="C372" s="6" t="s">
        <v>42</v>
      </c>
      <c r="D372" s="16">
        <v>144318.95000000001</v>
      </c>
      <c r="E372" s="16">
        <v>0</v>
      </c>
      <c r="F372" s="9">
        <f t="shared" si="54"/>
        <v>401556.61000000121</v>
      </c>
      <c r="G372" s="10"/>
      <c r="H372" s="11"/>
    </row>
    <row r="373" spans="1:8" ht="15" customHeight="1">
      <c r="A373" s="5">
        <v>44705</v>
      </c>
      <c r="B373" s="5">
        <v>44707</v>
      </c>
      <c r="C373" s="11" t="s">
        <v>11</v>
      </c>
      <c r="D373" s="12">
        <v>14.98</v>
      </c>
      <c r="E373" s="12">
        <v>0</v>
      </c>
      <c r="F373" s="21">
        <f t="shared" si="54"/>
        <v>401541.63000000123</v>
      </c>
      <c r="G373" s="14"/>
      <c r="H373" s="11"/>
    </row>
    <row r="374" spans="1:8" ht="15" customHeight="1">
      <c r="A374" s="5">
        <v>44706</v>
      </c>
      <c r="B374" s="5">
        <v>44708</v>
      </c>
      <c r="C374" s="6" t="s">
        <v>25</v>
      </c>
      <c r="D374" s="16">
        <v>103729.25</v>
      </c>
      <c r="E374" s="16">
        <v>0</v>
      </c>
      <c r="F374" s="9">
        <f t="shared" si="54"/>
        <v>297812.38000000123</v>
      </c>
      <c r="G374" s="10"/>
      <c r="H374" s="11"/>
    </row>
    <row r="375" spans="1:8" ht="15" customHeight="1">
      <c r="A375" s="5">
        <v>44706</v>
      </c>
      <c r="B375" s="5">
        <v>44708</v>
      </c>
      <c r="C375" s="6" t="s">
        <v>33</v>
      </c>
      <c r="D375" s="16">
        <v>55622.93</v>
      </c>
      <c r="E375" s="16">
        <v>0</v>
      </c>
      <c r="F375" s="9">
        <f t="shared" si="54"/>
        <v>242189.45000000123</v>
      </c>
      <c r="G375" s="10"/>
      <c r="H375" s="11"/>
    </row>
    <row r="376" spans="1:8" ht="15" customHeight="1">
      <c r="A376" s="5">
        <v>44706</v>
      </c>
      <c r="B376" s="5">
        <v>44708</v>
      </c>
      <c r="C376" s="11" t="s">
        <v>11</v>
      </c>
      <c r="D376" s="12">
        <v>14.98</v>
      </c>
      <c r="E376" s="12">
        <v>0</v>
      </c>
      <c r="F376" s="21">
        <f t="shared" si="54"/>
        <v>242174.47000000122</v>
      </c>
      <c r="G376" s="14"/>
      <c r="H376" s="11"/>
    </row>
    <row r="377" spans="1:8" ht="15" customHeight="1">
      <c r="A377" s="5" t="s">
        <v>12</v>
      </c>
      <c r="B377" s="5">
        <v>44709</v>
      </c>
      <c r="C377" s="6" t="s">
        <v>13</v>
      </c>
      <c r="D377" s="7">
        <v>4000</v>
      </c>
      <c r="E377" s="8">
        <v>0</v>
      </c>
      <c r="F377" s="21">
        <f t="shared" si="54"/>
        <v>238174.47000000122</v>
      </c>
      <c r="G377" s="10"/>
      <c r="H377" s="11"/>
    </row>
    <row r="378" spans="1:8" ht="15" customHeight="1">
      <c r="A378" s="5">
        <v>44707</v>
      </c>
      <c r="B378" s="5">
        <v>44711</v>
      </c>
      <c r="C378" s="6" t="s">
        <v>110</v>
      </c>
      <c r="D378" s="16">
        <v>117259.14</v>
      </c>
      <c r="E378" s="16">
        <v>0</v>
      </c>
      <c r="F378" s="9">
        <f t="shared" si="54"/>
        <v>120915.33000000122</v>
      </c>
      <c r="G378" s="10"/>
      <c r="H378" s="11"/>
    </row>
    <row r="379" spans="1:8" ht="15" customHeight="1">
      <c r="A379" s="5">
        <v>44707</v>
      </c>
      <c r="B379" s="5">
        <v>44711</v>
      </c>
      <c r="C379" s="6" t="s">
        <v>25</v>
      </c>
      <c r="D379" s="16">
        <v>0</v>
      </c>
      <c r="E379" s="16">
        <v>24545.52</v>
      </c>
      <c r="F379" s="9">
        <f t="shared" si="54"/>
        <v>145460.85000000123</v>
      </c>
      <c r="G379" s="10"/>
      <c r="H379" s="11"/>
    </row>
    <row r="380" spans="1:8" ht="15" customHeight="1">
      <c r="A380" s="5">
        <v>44707</v>
      </c>
      <c r="B380" s="5">
        <v>44711</v>
      </c>
      <c r="C380" s="11" t="s">
        <v>11</v>
      </c>
      <c r="D380" s="12">
        <v>14.98</v>
      </c>
      <c r="E380" s="12">
        <v>0</v>
      </c>
      <c r="F380" s="9">
        <f t="shared" si="54"/>
        <v>145445.87000000122</v>
      </c>
      <c r="G380" s="14"/>
      <c r="H380" s="11"/>
    </row>
    <row r="381" spans="1:8" ht="15" customHeight="1">
      <c r="A381" s="5" t="s">
        <v>12</v>
      </c>
      <c r="B381" s="5">
        <v>44712</v>
      </c>
      <c r="C381" s="6" t="s">
        <v>16</v>
      </c>
      <c r="D381" s="7">
        <v>0</v>
      </c>
      <c r="E381" s="8">
        <v>2970</v>
      </c>
      <c r="F381" s="9">
        <f t="shared" si="54"/>
        <v>148415.87000000122</v>
      </c>
      <c r="G381" s="10"/>
      <c r="H381" s="11"/>
    </row>
    <row r="382" spans="1:8" ht="15" customHeight="1">
      <c r="A382" s="5">
        <v>44708</v>
      </c>
      <c r="B382" s="5">
        <v>44712</v>
      </c>
      <c r="C382" s="6" t="s">
        <v>25</v>
      </c>
      <c r="D382" s="16">
        <v>0</v>
      </c>
      <c r="E382" s="16">
        <v>86607.74</v>
      </c>
      <c r="F382" s="9">
        <f t="shared" si="54"/>
        <v>235023.61000000121</v>
      </c>
      <c r="G382" s="10"/>
      <c r="H382" s="11"/>
    </row>
    <row r="383" spans="1:8" ht="15" customHeight="1">
      <c r="A383" s="5">
        <v>44708</v>
      </c>
      <c r="B383" s="5">
        <v>44712</v>
      </c>
      <c r="C383" s="11" t="s">
        <v>11</v>
      </c>
      <c r="D383" s="12">
        <v>14.98</v>
      </c>
      <c r="E383" s="12">
        <v>0</v>
      </c>
      <c r="F383" s="21">
        <f t="shared" si="54"/>
        <v>235008.6300000012</v>
      </c>
      <c r="G383" s="14"/>
      <c r="H383" s="11"/>
    </row>
    <row r="384" spans="1:8" ht="15" customHeight="1">
      <c r="A384" s="5">
        <v>44711</v>
      </c>
      <c r="B384" s="5">
        <v>44713</v>
      </c>
      <c r="C384" s="6" t="s">
        <v>65</v>
      </c>
      <c r="D384" s="16">
        <v>0</v>
      </c>
      <c r="E384" s="16">
        <v>151912.78</v>
      </c>
      <c r="F384" s="9">
        <f t="shared" ref="F384" si="55">F383-D384+E384</f>
        <v>386921.4100000012</v>
      </c>
      <c r="G384" s="10"/>
      <c r="H384" s="11"/>
    </row>
    <row r="385" spans="1:8" ht="15" customHeight="1">
      <c r="A385" s="5">
        <v>44711</v>
      </c>
      <c r="B385" s="5">
        <v>44713</v>
      </c>
      <c r="C385" s="6" t="s">
        <v>42</v>
      </c>
      <c r="D385" s="16">
        <v>147325.59</v>
      </c>
      <c r="E385" s="16">
        <v>0</v>
      </c>
      <c r="F385" s="9">
        <f t="shared" ref="F385:F392" si="56">F384-D385+E385</f>
        <v>239595.8200000012</v>
      </c>
      <c r="G385" s="10"/>
      <c r="H385" s="11"/>
    </row>
    <row r="386" spans="1:8" ht="15" customHeight="1">
      <c r="A386" s="5">
        <v>44711</v>
      </c>
      <c r="B386" s="5">
        <v>44713</v>
      </c>
      <c r="C386" s="11" t="s">
        <v>11</v>
      </c>
      <c r="D386" s="12">
        <v>14.98</v>
      </c>
      <c r="E386" s="12">
        <v>0</v>
      </c>
      <c r="F386" s="9">
        <f t="shared" si="56"/>
        <v>239580.84000000119</v>
      </c>
      <c r="G386" s="14"/>
      <c r="H386" s="11"/>
    </row>
    <row r="387" spans="1:8" ht="15" customHeight="1">
      <c r="A387" s="5" t="s">
        <v>12</v>
      </c>
      <c r="B387" s="5">
        <v>44713</v>
      </c>
      <c r="C387" s="11" t="s">
        <v>63</v>
      </c>
      <c r="D387" s="12">
        <v>7030</v>
      </c>
      <c r="E387" s="12">
        <v>0</v>
      </c>
      <c r="F387" s="9">
        <f t="shared" si="56"/>
        <v>232550.84000000119</v>
      </c>
      <c r="G387" s="13"/>
      <c r="H387" s="11"/>
    </row>
    <row r="388" spans="1:8" ht="15" customHeight="1">
      <c r="A388" s="5">
        <v>44712</v>
      </c>
      <c r="B388" s="5">
        <v>44714</v>
      </c>
      <c r="C388" s="6" t="s">
        <v>42</v>
      </c>
      <c r="D388" s="16">
        <v>0</v>
      </c>
      <c r="E388" s="16">
        <v>293348.82</v>
      </c>
      <c r="F388" s="9">
        <f t="shared" si="56"/>
        <v>525899.6600000012</v>
      </c>
      <c r="G388" s="10"/>
      <c r="H388" s="11"/>
    </row>
    <row r="389" spans="1:8" ht="15" customHeight="1">
      <c r="A389" s="5">
        <v>44712</v>
      </c>
      <c r="B389" s="5">
        <v>44714</v>
      </c>
      <c r="C389" s="11" t="s">
        <v>11</v>
      </c>
      <c r="D389" s="12">
        <v>14.98</v>
      </c>
      <c r="E389" s="12">
        <v>0</v>
      </c>
      <c r="F389" s="9">
        <f t="shared" si="56"/>
        <v>525884.68000000122</v>
      </c>
      <c r="G389" s="14"/>
      <c r="H389" s="11"/>
    </row>
    <row r="390" spans="1:8" ht="15" customHeight="1">
      <c r="A390" s="5" t="s">
        <v>12</v>
      </c>
      <c r="B390" s="5">
        <v>44718</v>
      </c>
      <c r="C390" s="6" t="s">
        <v>19</v>
      </c>
      <c r="D390" s="7">
        <v>0</v>
      </c>
      <c r="E390" s="8">
        <v>13000</v>
      </c>
      <c r="F390" s="9">
        <f t="shared" si="56"/>
        <v>538884.68000000122</v>
      </c>
      <c r="G390" s="10"/>
      <c r="H390" s="11"/>
    </row>
    <row r="391" spans="1:8" ht="15" customHeight="1">
      <c r="A391" s="5">
        <v>44713</v>
      </c>
      <c r="B391" s="5">
        <v>44718</v>
      </c>
      <c r="C391" s="6" t="s">
        <v>111</v>
      </c>
      <c r="D391" s="16">
        <v>126279.08</v>
      </c>
      <c r="E391" s="16">
        <v>0</v>
      </c>
      <c r="F391" s="9">
        <f t="shared" si="56"/>
        <v>412605.6000000012</v>
      </c>
      <c r="G391" s="10"/>
      <c r="H391" s="11"/>
    </row>
    <row r="392" spans="1:8" ht="15" customHeight="1">
      <c r="A392" s="5">
        <v>44713</v>
      </c>
      <c r="B392" s="5">
        <v>44718</v>
      </c>
      <c r="C392" s="11" t="s">
        <v>11</v>
      </c>
      <c r="D392" s="12">
        <v>14.98</v>
      </c>
      <c r="E392" s="12">
        <v>0</v>
      </c>
      <c r="F392" s="9">
        <f t="shared" si="56"/>
        <v>412590.62000000122</v>
      </c>
      <c r="G392" s="14"/>
      <c r="H392" s="11"/>
    </row>
    <row r="393" spans="1:8" ht="15" customHeight="1">
      <c r="A393" s="5" t="s">
        <v>12</v>
      </c>
      <c r="B393" s="5">
        <v>44720</v>
      </c>
      <c r="C393" s="6" t="s">
        <v>28</v>
      </c>
      <c r="D393" s="7">
        <v>0</v>
      </c>
      <c r="E393" s="8">
        <v>32200</v>
      </c>
      <c r="F393" s="9">
        <f t="shared" ref="F393" si="57">F392-D393+E393</f>
        <v>444790.62000000122</v>
      </c>
      <c r="G393" s="10"/>
      <c r="H393" s="11"/>
    </row>
    <row r="394" spans="1:8" ht="15" customHeight="1">
      <c r="A394" s="5" t="s">
        <v>12</v>
      </c>
      <c r="B394" s="5">
        <v>44720</v>
      </c>
      <c r="C394" s="6" t="s">
        <v>13</v>
      </c>
      <c r="D394" s="7">
        <f>30000*0.23</f>
        <v>6900</v>
      </c>
      <c r="E394" s="8">
        <v>0</v>
      </c>
      <c r="F394" s="9">
        <f t="shared" ref="F394:F395" si="58">F393-D394+E394</f>
        <v>437890.62000000122</v>
      </c>
      <c r="G394" s="10"/>
      <c r="H394" s="11"/>
    </row>
    <row r="395" spans="1:8" ht="15" customHeight="1">
      <c r="A395" s="5">
        <v>44718</v>
      </c>
      <c r="B395" s="5">
        <v>44720</v>
      </c>
      <c r="C395" s="6" t="s">
        <v>25</v>
      </c>
      <c r="D395" s="16">
        <v>102827.25</v>
      </c>
      <c r="E395" s="16">
        <v>0</v>
      </c>
      <c r="F395" s="9">
        <f t="shared" si="58"/>
        <v>335063.37000000122</v>
      </c>
      <c r="G395" s="10"/>
      <c r="H395" s="11"/>
    </row>
    <row r="396" spans="1:8" ht="15" customHeight="1">
      <c r="A396" s="5">
        <v>44718</v>
      </c>
      <c r="B396" s="5">
        <v>44720</v>
      </c>
      <c r="C396" s="6" t="s">
        <v>60</v>
      </c>
      <c r="D396" s="16">
        <v>172882.08</v>
      </c>
      <c r="E396" s="16">
        <v>0</v>
      </c>
      <c r="F396" s="9">
        <f t="shared" ref="F396:F397" si="59">F395-D396+E396</f>
        <v>162181.29000000123</v>
      </c>
      <c r="G396" s="10"/>
      <c r="H396" s="11"/>
    </row>
    <row r="397" spans="1:8" ht="15" customHeight="1">
      <c r="A397" s="5">
        <v>44718</v>
      </c>
      <c r="B397" s="5">
        <v>44720</v>
      </c>
      <c r="C397" s="11" t="s">
        <v>11</v>
      </c>
      <c r="D397" s="12">
        <v>14.98</v>
      </c>
      <c r="E397" s="12">
        <v>0</v>
      </c>
      <c r="F397" s="9">
        <f t="shared" si="59"/>
        <v>162166.31000000122</v>
      </c>
      <c r="G397" s="14"/>
      <c r="H397" s="11"/>
    </row>
    <row r="398" spans="1:8" ht="15" customHeight="1">
      <c r="A398" s="5">
        <v>44719</v>
      </c>
      <c r="B398" s="5">
        <v>44721</v>
      </c>
      <c r="C398" s="6" t="s">
        <v>112</v>
      </c>
      <c r="D398" s="16">
        <v>83885.39</v>
      </c>
      <c r="E398" s="16">
        <v>0</v>
      </c>
      <c r="F398" s="9">
        <f t="shared" ref="F398:F400" si="60">F397-D398+E398</f>
        <v>78280.920000001221</v>
      </c>
      <c r="G398" s="10"/>
      <c r="H398" s="11"/>
    </row>
    <row r="399" spans="1:8" ht="15" customHeight="1">
      <c r="A399" s="5">
        <v>44719</v>
      </c>
      <c r="B399" s="5">
        <v>44721</v>
      </c>
      <c r="C399" s="11" t="s">
        <v>11</v>
      </c>
      <c r="D399" s="12">
        <v>14.98</v>
      </c>
      <c r="E399" s="12">
        <v>0</v>
      </c>
      <c r="F399" s="9">
        <f t="shared" si="60"/>
        <v>78265.940000001225</v>
      </c>
      <c r="G399" s="14"/>
      <c r="H399" s="11"/>
    </row>
    <row r="400" spans="1:8" ht="15" customHeight="1">
      <c r="A400" s="5">
        <v>44718</v>
      </c>
      <c r="B400" s="5">
        <v>44720</v>
      </c>
      <c r="C400" s="6" t="s">
        <v>60</v>
      </c>
      <c r="D400" s="16">
        <v>0</v>
      </c>
      <c r="E400" s="16">
        <v>181097.99</v>
      </c>
      <c r="F400" s="9">
        <f t="shared" si="60"/>
        <v>259363.93000000122</v>
      </c>
      <c r="G400" s="10"/>
      <c r="H400" s="11"/>
    </row>
    <row r="401" spans="1:8" ht="15" customHeight="1">
      <c r="A401" s="5">
        <v>44718</v>
      </c>
      <c r="B401" s="5">
        <v>44720</v>
      </c>
      <c r="C401" s="11" t="s">
        <v>11</v>
      </c>
      <c r="D401" s="12">
        <v>14.98</v>
      </c>
      <c r="E401" s="12">
        <v>0</v>
      </c>
      <c r="F401" s="9">
        <f t="shared" ref="F401:F412" si="61">F400-D401+E401</f>
        <v>259348.9500000012</v>
      </c>
      <c r="G401" s="14"/>
      <c r="H401" s="11"/>
    </row>
    <row r="402" spans="1:8" ht="15" customHeight="1">
      <c r="A402" s="5" t="s">
        <v>12</v>
      </c>
      <c r="B402" s="5">
        <v>44723</v>
      </c>
      <c r="C402" s="11" t="s">
        <v>84</v>
      </c>
      <c r="D402" s="12">
        <v>20</v>
      </c>
      <c r="E402" s="12">
        <v>0</v>
      </c>
      <c r="F402" s="9">
        <f t="shared" si="61"/>
        <v>259328.9500000012</v>
      </c>
      <c r="G402" s="11"/>
      <c r="H402" s="11"/>
    </row>
    <row r="403" spans="1:8" ht="15" customHeight="1">
      <c r="A403" s="5">
        <v>44722</v>
      </c>
      <c r="B403" s="5">
        <v>44726</v>
      </c>
      <c r="C403" s="6" t="s">
        <v>60</v>
      </c>
      <c r="D403" s="16">
        <v>172882.08</v>
      </c>
      <c r="E403" s="16">
        <v>0</v>
      </c>
      <c r="F403" s="9">
        <f t="shared" si="61"/>
        <v>86446.870000001218</v>
      </c>
      <c r="G403" s="10"/>
      <c r="H403" s="11"/>
    </row>
    <row r="404" spans="1:8" ht="15" customHeight="1">
      <c r="A404" s="5">
        <v>44722</v>
      </c>
      <c r="B404" s="5">
        <v>44726</v>
      </c>
      <c r="C404" s="11" t="s">
        <v>11</v>
      </c>
      <c r="D404" s="12">
        <v>14.98</v>
      </c>
      <c r="E404" s="12">
        <v>0</v>
      </c>
      <c r="F404" s="9">
        <f t="shared" si="61"/>
        <v>86431.890000001222</v>
      </c>
      <c r="G404" s="14"/>
      <c r="H404" s="11"/>
    </row>
    <row r="405" spans="1:8" ht="15" customHeight="1">
      <c r="A405" s="5" t="s">
        <v>12</v>
      </c>
      <c r="B405" s="5">
        <v>44727</v>
      </c>
      <c r="C405" s="6" t="s">
        <v>86</v>
      </c>
      <c r="D405" s="7">
        <v>0</v>
      </c>
      <c r="E405" s="2">
        <v>5170.5</v>
      </c>
      <c r="F405" s="9">
        <f t="shared" si="61"/>
        <v>91602.390000001222</v>
      </c>
      <c r="G405" s="10"/>
      <c r="H405" s="11"/>
    </row>
    <row r="406" spans="1:8" ht="15" customHeight="1">
      <c r="A406" s="5">
        <v>44725</v>
      </c>
      <c r="B406" s="5">
        <v>44727</v>
      </c>
      <c r="C406" s="6" t="s">
        <v>37</v>
      </c>
      <c r="D406" s="16">
        <v>0</v>
      </c>
      <c r="E406" s="16">
        <v>33226.239999999998</v>
      </c>
      <c r="F406" s="9">
        <f t="shared" si="61"/>
        <v>124828.63000000123</v>
      </c>
      <c r="G406" s="10"/>
      <c r="H406" s="11"/>
    </row>
    <row r="407" spans="1:8" ht="15" customHeight="1">
      <c r="A407" s="5">
        <v>44725</v>
      </c>
      <c r="B407" s="5">
        <v>44727</v>
      </c>
      <c r="C407" s="6" t="s">
        <v>69</v>
      </c>
      <c r="D407" s="16">
        <v>0</v>
      </c>
      <c r="E407" s="16">
        <v>134700.99</v>
      </c>
      <c r="F407" s="9">
        <f t="shared" si="61"/>
        <v>259529.62000000122</v>
      </c>
      <c r="G407" s="10"/>
      <c r="H407" s="11"/>
    </row>
    <row r="408" spans="1:8" ht="15" customHeight="1">
      <c r="A408" s="5">
        <v>44725</v>
      </c>
      <c r="B408" s="5">
        <v>44727</v>
      </c>
      <c r="C408" s="11" t="s">
        <v>11</v>
      </c>
      <c r="D408" s="12">
        <v>14.98</v>
      </c>
      <c r="E408" s="12">
        <v>0</v>
      </c>
      <c r="F408" s="9">
        <f t="shared" si="61"/>
        <v>259514.64000000121</v>
      </c>
      <c r="G408" s="14"/>
      <c r="H408" s="11"/>
    </row>
    <row r="409" spans="1:8" ht="15" customHeight="1">
      <c r="A409" s="5" t="s">
        <v>12</v>
      </c>
      <c r="B409" s="5">
        <v>44727</v>
      </c>
      <c r="C409" s="11" t="s">
        <v>39</v>
      </c>
      <c r="D409" s="12">
        <v>91</v>
      </c>
      <c r="E409" s="12">
        <v>0</v>
      </c>
      <c r="F409" s="9">
        <f t="shared" si="61"/>
        <v>259423.64000000121</v>
      </c>
      <c r="G409" s="11"/>
      <c r="H409" s="11"/>
    </row>
    <row r="410" spans="1:8" ht="15" customHeight="1">
      <c r="A410" s="5" t="s">
        <v>12</v>
      </c>
      <c r="B410" s="5">
        <v>44728</v>
      </c>
      <c r="C410" s="6" t="s">
        <v>32</v>
      </c>
      <c r="D410" s="7">
        <v>0</v>
      </c>
      <c r="E410" s="2">
        <v>2160</v>
      </c>
      <c r="F410" s="9">
        <f t="shared" si="61"/>
        <v>261583.64000000121</v>
      </c>
      <c r="G410" s="10"/>
      <c r="H410" s="11"/>
    </row>
    <row r="411" spans="1:8" ht="15" customHeight="1">
      <c r="A411" s="5">
        <v>44726</v>
      </c>
      <c r="B411" s="5">
        <v>44728</v>
      </c>
      <c r="C411" s="6" t="s">
        <v>6</v>
      </c>
      <c r="D411" s="16">
        <v>61385.67</v>
      </c>
      <c r="E411" s="16">
        <v>0</v>
      </c>
      <c r="F411" s="9">
        <f t="shared" si="61"/>
        <v>200197.97000000119</v>
      </c>
      <c r="G411" s="10"/>
      <c r="H411" s="11"/>
    </row>
    <row r="412" spans="1:8" ht="15" customHeight="1">
      <c r="A412" s="5">
        <v>44726</v>
      </c>
      <c r="B412" s="5">
        <v>44728</v>
      </c>
      <c r="C412" s="11" t="s">
        <v>11</v>
      </c>
      <c r="D412" s="12">
        <v>14.98</v>
      </c>
      <c r="E412" s="12">
        <v>0</v>
      </c>
      <c r="F412" s="21">
        <f t="shared" si="61"/>
        <v>200182.99000000118</v>
      </c>
      <c r="G412" s="14"/>
      <c r="H412" s="11"/>
    </row>
    <row r="413" spans="1:8" ht="15" customHeight="1">
      <c r="A413" s="5">
        <v>44728</v>
      </c>
      <c r="B413" s="5">
        <v>44732</v>
      </c>
      <c r="C413" s="6" t="s">
        <v>6</v>
      </c>
      <c r="D413" s="16">
        <v>108239.21</v>
      </c>
      <c r="E413" s="16">
        <v>0</v>
      </c>
      <c r="F413" s="9">
        <f t="shared" ref="F413:F432" si="62">F412-D413+E413</f>
        <v>91943.780000001178</v>
      </c>
      <c r="G413" s="10"/>
      <c r="H413" s="11"/>
    </row>
    <row r="414" spans="1:8" ht="15" customHeight="1">
      <c r="A414" s="5">
        <v>44728</v>
      </c>
      <c r="B414" s="5">
        <v>44732</v>
      </c>
      <c r="C414" s="11" t="s">
        <v>11</v>
      </c>
      <c r="D414" s="12">
        <v>14.98</v>
      </c>
      <c r="E414" s="12">
        <v>0</v>
      </c>
      <c r="F414" s="21">
        <f t="shared" si="62"/>
        <v>91928.800000001182</v>
      </c>
      <c r="G414" s="14"/>
      <c r="H414" s="11"/>
    </row>
    <row r="415" spans="1:8" ht="15" customHeight="1">
      <c r="A415" s="5" t="s">
        <v>12</v>
      </c>
      <c r="B415" s="5">
        <v>44736</v>
      </c>
      <c r="C415" s="6" t="s">
        <v>113</v>
      </c>
      <c r="D415" s="7">
        <v>0</v>
      </c>
      <c r="E415" s="8">
        <v>5601.6</v>
      </c>
      <c r="F415" s="9">
        <f t="shared" si="62"/>
        <v>97530.400000001187</v>
      </c>
      <c r="G415" s="10"/>
      <c r="H415" s="11"/>
    </row>
    <row r="416" spans="1:8" ht="15" customHeight="1">
      <c r="A416" s="5">
        <v>44734</v>
      </c>
      <c r="B416" s="5">
        <v>44736</v>
      </c>
      <c r="C416" s="6" t="s">
        <v>61</v>
      </c>
      <c r="D416" s="16">
        <v>82983.399999999994</v>
      </c>
      <c r="E416" s="16">
        <v>0</v>
      </c>
      <c r="F416" s="9">
        <f t="shared" si="62"/>
        <v>14547.000000001193</v>
      </c>
      <c r="G416" s="10"/>
      <c r="H416" s="11"/>
    </row>
    <row r="417" spans="1:8" ht="15" customHeight="1">
      <c r="A417" s="5">
        <v>44734</v>
      </c>
      <c r="B417" s="5">
        <v>44736</v>
      </c>
      <c r="C417" s="11" t="s">
        <v>11</v>
      </c>
      <c r="D417" s="12">
        <v>14.98</v>
      </c>
      <c r="E417" s="12">
        <v>0</v>
      </c>
      <c r="F417" s="9">
        <f t="shared" si="62"/>
        <v>14532.020000001194</v>
      </c>
      <c r="G417" s="14"/>
      <c r="H417" s="11"/>
    </row>
    <row r="418" spans="1:8" ht="15" customHeight="1">
      <c r="A418" s="5">
        <v>44735</v>
      </c>
      <c r="B418" s="5">
        <v>44739</v>
      </c>
      <c r="C418" s="6" t="s">
        <v>61</v>
      </c>
      <c r="D418" s="16">
        <v>0</v>
      </c>
      <c r="E418" s="22">
        <v>83514.61</v>
      </c>
      <c r="F418" s="9">
        <f t="shared" si="62"/>
        <v>98046.630000001198</v>
      </c>
      <c r="G418" s="10"/>
      <c r="H418" s="11"/>
    </row>
    <row r="419" spans="1:8" ht="15" customHeight="1">
      <c r="A419" s="5">
        <v>44735</v>
      </c>
      <c r="B419" s="5">
        <v>44739</v>
      </c>
      <c r="C419" s="6" t="s">
        <v>110</v>
      </c>
      <c r="D419" s="16">
        <v>0</v>
      </c>
      <c r="E419" s="22">
        <v>111352.82</v>
      </c>
      <c r="F419" s="9">
        <f t="shared" si="62"/>
        <v>209399.4500000012</v>
      </c>
      <c r="G419" s="10"/>
      <c r="H419" s="11"/>
    </row>
    <row r="420" spans="1:8" ht="15" customHeight="1">
      <c r="A420" s="5">
        <v>44735</v>
      </c>
      <c r="B420" s="5">
        <v>44739</v>
      </c>
      <c r="C420" s="6" t="s">
        <v>80</v>
      </c>
      <c r="D420" s="22">
        <v>97715.96</v>
      </c>
      <c r="E420" s="16">
        <v>0</v>
      </c>
      <c r="F420" s="9">
        <f t="shared" si="62"/>
        <v>111683.4900000012</v>
      </c>
      <c r="G420" s="10"/>
      <c r="H420" s="11"/>
    </row>
    <row r="421" spans="1:8" ht="15" customHeight="1">
      <c r="A421" s="5">
        <v>44735</v>
      </c>
      <c r="B421" s="5">
        <v>44739</v>
      </c>
      <c r="C421" s="11" t="s">
        <v>11</v>
      </c>
      <c r="D421" s="12">
        <v>14.98</v>
      </c>
      <c r="E421" s="12">
        <v>0</v>
      </c>
      <c r="F421" s="9">
        <f t="shared" si="62"/>
        <v>111668.5100000012</v>
      </c>
      <c r="G421" s="14"/>
      <c r="H421" s="11"/>
    </row>
    <row r="422" spans="1:8" ht="15" customHeight="1">
      <c r="A422" s="5">
        <v>44739</v>
      </c>
      <c r="B422" s="5">
        <v>44741</v>
      </c>
      <c r="C422" s="6" t="s">
        <v>111</v>
      </c>
      <c r="D422" s="16">
        <v>0</v>
      </c>
      <c r="E422" s="22">
        <v>124723.14</v>
      </c>
      <c r="F422" s="9">
        <f t="shared" si="62"/>
        <v>236391.65000000119</v>
      </c>
      <c r="G422" s="10"/>
      <c r="H422" s="11"/>
    </row>
    <row r="423" spans="1:8" ht="15" customHeight="1">
      <c r="A423" s="5">
        <v>44739</v>
      </c>
      <c r="B423" s="5">
        <v>44741</v>
      </c>
      <c r="C423" s="6" t="s">
        <v>61</v>
      </c>
      <c r="D423" s="22">
        <v>82983.399999999994</v>
      </c>
      <c r="E423" s="16">
        <v>0</v>
      </c>
      <c r="F423" s="9">
        <f t="shared" si="62"/>
        <v>153408.25000000119</v>
      </c>
      <c r="G423" s="10"/>
      <c r="H423" s="11"/>
    </row>
    <row r="424" spans="1:8" ht="15" customHeight="1">
      <c r="A424" s="5">
        <v>44739</v>
      </c>
      <c r="B424" s="5">
        <v>44741</v>
      </c>
      <c r="C424" s="11" t="s">
        <v>11</v>
      </c>
      <c r="D424" s="12">
        <v>14.98</v>
      </c>
      <c r="E424" s="12">
        <v>0</v>
      </c>
      <c r="F424" s="9">
        <f t="shared" si="62"/>
        <v>153393.27000000118</v>
      </c>
      <c r="G424" s="14"/>
      <c r="H424" s="11"/>
    </row>
    <row r="425" spans="1:8" ht="15" customHeight="1">
      <c r="A425" s="5">
        <v>44740</v>
      </c>
      <c r="B425" s="5">
        <v>44742</v>
      </c>
      <c r="C425" s="6" t="s">
        <v>62</v>
      </c>
      <c r="D425" s="22">
        <v>57126.25</v>
      </c>
      <c r="E425" s="16">
        <v>0</v>
      </c>
      <c r="F425" s="9">
        <f t="shared" si="62"/>
        <v>96267.020000001183</v>
      </c>
      <c r="G425" s="10"/>
      <c r="H425" s="11"/>
    </row>
    <row r="426" spans="1:8" ht="15" customHeight="1">
      <c r="A426" s="5">
        <v>44740</v>
      </c>
      <c r="B426" s="5">
        <v>44742</v>
      </c>
      <c r="C426" s="11" t="s">
        <v>11</v>
      </c>
      <c r="D426" s="12">
        <v>14.98</v>
      </c>
      <c r="E426" s="12">
        <v>0</v>
      </c>
      <c r="F426" s="9">
        <f t="shared" si="62"/>
        <v>96252.040000001187</v>
      </c>
      <c r="G426" s="14"/>
      <c r="H426" s="11"/>
    </row>
    <row r="427" spans="1:8" ht="15" customHeight="1">
      <c r="A427" s="5" t="s">
        <v>12</v>
      </c>
      <c r="B427" s="5">
        <v>44742</v>
      </c>
      <c r="C427" s="6" t="s">
        <v>13</v>
      </c>
      <c r="D427" s="7">
        <v>10000</v>
      </c>
      <c r="E427" s="8">
        <v>0</v>
      </c>
      <c r="F427" s="9">
        <f t="shared" si="62"/>
        <v>86252.040000001187</v>
      </c>
      <c r="G427" s="10"/>
      <c r="H427" s="11"/>
    </row>
    <row r="428" spans="1:8" ht="15" customHeight="1">
      <c r="A428" s="5">
        <v>44741</v>
      </c>
      <c r="B428" s="5">
        <v>44743</v>
      </c>
      <c r="C428" s="6" t="s">
        <v>62</v>
      </c>
      <c r="D428" s="16">
        <v>0</v>
      </c>
      <c r="E428" s="22">
        <v>58370.42</v>
      </c>
      <c r="F428" s="9">
        <f t="shared" si="62"/>
        <v>144622.46000000119</v>
      </c>
      <c r="G428" s="10"/>
      <c r="H428" s="11"/>
    </row>
    <row r="429" spans="1:8" ht="15" customHeight="1">
      <c r="A429" s="5">
        <v>44741</v>
      </c>
      <c r="B429" s="5">
        <v>44743</v>
      </c>
      <c r="C429" s="6" t="s">
        <v>36</v>
      </c>
      <c r="D429" s="22">
        <v>119514.13</v>
      </c>
      <c r="E429" s="16">
        <v>0</v>
      </c>
      <c r="F429" s="9">
        <f t="shared" si="62"/>
        <v>25108.33000000118</v>
      </c>
      <c r="G429" s="10"/>
      <c r="H429" s="11"/>
    </row>
    <row r="430" spans="1:8" ht="15" customHeight="1">
      <c r="A430" s="5">
        <v>44741</v>
      </c>
      <c r="B430" s="5">
        <v>44743</v>
      </c>
      <c r="C430" s="11" t="s">
        <v>11</v>
      </c>
      <c r="D430" s="12">
        <v>14.98</v>
      </c>
      <c r="E430" s="12">
        <v>0</v>
      </c>
      <c r="F430" s="9">
        <f t="shared" si="62"/>
        <v>25093.350000001181</v>
      </c>
      <c r="G430" s="13"/>
      <c r="H430" s="11"/>
    </row>
    <row r="431" spans="1:8" ht="15" customHeight="1">
      <c r="A431" s="5" t="s">
        <v>12</v>
      </c>
      <c r="B431" s="5">
        <v>44743</v>
      </c>
      <c r="C431" s="6" t="s">
        <v>13</v>
      </c>
      <c r="D431" s="7">
        <v>0</v>
      </c>
      <c r="E431" s="8">
        <v>30000</v>
      </c>
      <c r="F431" s="9">
        <f t="shared" si="62"/>
        <v>55093.350000001185</v>
      </c>
      <c r="G431" s="10"/>
      <c r="H431" s="10"/>
    </row>
    <row r="432" spans="1:8" ht="15" customHeight="1">
      <c r="A432" s="5" t="s">
        <v>12</v>
      </c>
      <c r="B432" s="5">
        <v>44744</v>
      </c>
      <c r="C432" s="11" t="s">
        <v>63</v>
      </c>
      <c r="D432" s="12">
        <v>3464</v>
      </c>
      <c r="E432" s="12">
        <v>0</v>
      </c>
      <c r="F432" s="9">
        <f t="shared" si="62"/>
        <v>51629.350000001185</v>
      </c>
      <c r="G432" s="13"/>
      <c r="H432" s="11"/>
    </row>
    <row r="433" spans="1:8" ht="15" customHeight="1">
      <c r="A433" s="5">
        <v>44746</v>
      </c>
      <c r="B433" s="5">
        <v>44748</v>
      </c>
      <c r="C433" s="6" t="s">
        <v>70</v>
      </c>
      <c r="D433" s="16">
        <v>0</v>
      </c>
      <c r="E433" s="16">
        <v>88303.98</v>
      </c>
      <c r="F433" s="9">
        <f t="shared" ref="F433" si="63">F432-D433+E433</f>
        <v>139933.33000000118</v>
      </c>
      <c r="G433" s="10"/>
      <c r="H433" s="11"/>
    </row>
    <row r="434" spans="1:8" ht="15" customHeight="1">
      <c r="A434" s="5">
        <v>44746</v>
      </c>
      <c r="B434" s="5">
        <v>44748</v>
      </c>
      <c r="C434" s="6" t="s">
        <v>80</v>
      </c>
      <c r="D434" s="16">
        <v>91702.67</v>
      </c>
      <c r="E434" s="16">
        <v>0</v>
      </c>
      <c r="F434" s="9">
        <f t="shared" ref="F434:F439" si="64">F433-D434+E434</f>
        <v>48230.660000001182</v>
      </c>
      <c r="G434" s="10"/>
      <c r="H434" s="11"/>
    </row>
    <row r="435" spans="1:8" ht="15" customHeight="1">
      <c r="A435" s="5">
        <v>44746</v>
      </c>
      <c r="B435" s="5">
        <v>44748</v>
      </c>
      <c r="C435" s="11" t="s">
        <v>11</v>
      </c>
      <c r="D435" s="12">
        <v>14.98</v>
      </c>
      <c r="E435" s="12">
        <v>0</v>
      </c>
      <c r="F435" s="9">
        <f t="shared" si="64"/>
        <v>48215.680000001179</v>
      </c>
      <c r="G435" s="13"/>
      <c r="H435" s="11"/>
    </row>
    <row r="436" spans="1:8" ht="15" customHeight="1">
      <c r="A436" s="5" t="s">
        <v>12</v>
      </c>
      <c r="B436" s="5">
        <v>44751</v>
      </c>
      <c r="C436" s="11" t="s">
        <v>84</v>
      </c>
      <c r="D436" s="12">
        <v>20</v>
      </c>
      <c r="E436" s="12">
        <v>0</v>
      </c>
      <c r="F436" s="9">
        <f t="shared" si="64"/>
        <v>48195.680000001179</v>
      </c>
      <c r="G436" s="11"/>
      <c r="H436" s="11"/>
    </row>
    <row r="437" spans="1:8" ht="15" customHeight="1">
      <c r="A437" s="5" t="s">
        <v>12</v>
      </c>
      <c r="B437" s="5">
        <v>44751</v>
      </c>
      <c r="C437" s="6" t="s">
        <v>13</v>
      </c>
      <c r="D437" s="7">
        <v>5000</v>
      </c>
      <c r="E437" s="8">
        <v>0</v>
      </c>
      <c r="F437" s="9">
        <f t="shared" si="64"/>
        <v>43195.680000001179</v>
      </c>
      <c r="G437" s="10"/>
      <c r="H437" s="10"/>
    </row>
    <row r="438" spans="1:8" ht="15" customHeight="1">
      <c r="A438" s="5" t="s">
        <v>12</v>
      </c>
      <c r="B438" s="5">
        <v>42186</v>
      </c>
      <c r="C438" s="11" t="s">
        <v>39</v>
      </c>
      <c r="D438" s="12">
        <v>91</v>
      </c>
      <c r="E438" s="12">
        <v>0</v>
      </c>
      <c r="F438" s="9">
        <f t="shared" si="64"/>
        <v>43104.680000001179</v>
      </c>
      <c r="G438" s="11"/>
      <c r="H438" s="11"/>
    </row>
    <row r="439" spans="1:8" ht="15" customHeight="1">
      <c r="A439" s="5">
        <v>44764</v>
      </c>
      <c r="B439" s="5">
        <v>44768</v>
      </c>
      <c r="C439" s="6" t="s">
        <v>70</v>
      </c>
      <c r="D439" s="16">
        <v>0</v>
      </c>
      <c r="E439" s="16">
        <v>88303.98</v>
      </c>
      <c r="F439" s="9">
        <f t="shared" si="64"/>
        <v>131408.66000000117</v>
      </c>
      <c r="G439" s="10"/>
      <c r="H439" s="11"/>
    </row>
    <row r="440" spans="1:8" ht="15" customHeight="1">
      <c r="A440" s="5">
        <v>44764</v>
      </c>
      <c r="B440" s="5">
        <v>44768</v>
      </c>
      <c r="C440" s="11" t="s">
        <v>11</v>
      </c>
      <c r="D440" s="12">
        <v>14.98</v>
      </c>
      <c r="E440" s="12">
        <v>0</v>
      </c>
      <c r="F440" s="9">
        <f t="shared" ref="F440:F441" si="65">F439-D440+E440</f>
        <v>131393.68000000116</v>
      </c>
      <c r="G440" s="13"/>
      <c r="H440" s="11"/>
    </row>
    <row r="441" spans="1:8" ht="15" customHeight="1">
      <c r="A441" s="5">
        <v>44767</v>
      </c>
      <c r="B441" s="5">
        <v>44769</v>
      </c>
      <c r="C441" s="6" t="s">
        <v>25</v>
      </c>
      <c r="D441" s="16">
        <v>0</v>
      </c>
      <c r="E441" s="16">
        <v>103270.75</v>
      </c>
      <c r="F441" s="9">
        <f t="shared" si="65"/>
        <v>234664.43000000116</v>
      </c>
      <c r="G441" s="10"/>
      <c r="H441" s="11"/>
    </row>
    <row r="442" spans="1:8" ht="15" customHeight="1">
      <c r="A442" s="5">
        <v>44767</v>
      </c>
      <c r="B442" s="5">
        <v>44769</v>
      </c>
      <c r="C442" s="6" t="s">
        <v>61</v>
      </c>
      <c r="D442" s="16">
        <v>0</v>
      </c>
      <c r="E442" s="16">
        <v>83514.61</v>
      </c>
      <c r="F442" s="9">
        <f t="shared" ref="F442:F455" si="66">F441-D442+E442</f>
        <v>318179.04000000114</v>
      </c>
      <c r="G442" s="10"/>
      <c r="H442" s="11"/>
    </row>
    <row r="443" spans="1:8" ht="15" customHeight="1">
      <c r="A443" s="5">
        <v>44767</v>
      </c>
      <c r="B443" s="5">
        <v>44769</v>
      </c>
      <c r="C443" s="11" t="s">
        <v>11</v>
      </c>
      <c r="D443" s="12">
        <v>14.98</v>
      </c>
      <c r="E443" s="12">
        <v>0</v>
      </c>
      <c r="F443" s="9">
        <f t="shared" si="66"/>
        <v>318164.06000000116</v>
      </c>
      <c r="G443" s="13"/>
      <c r="H443" s="11"/>
    </row>
    <row r="444" spans="1:8" ht="15" customHeight="1">
      <c r="A444" s="5" t="s">
        <v>12</v>
      </c>
      <c r="B444" s="5">
        <v>44774</v>
      </c>
      <c r="C444" s="11" t="s">
        <v>63</v>
      </c>
      <c r="D444" s="12">
        <v>526</v>
      </c>
      <c r="E444" s="12">
        <v>0</v>
      </c>
      <c r="F444" s="21">
        <f t="shared" si="66"/>
        <v>317638.06000000116</v>
      </c>
      <c r="G444" s="13"/>
      <c r="H444" s="11"/>
    </row>
    <row r="445" spans="1:8" ht="15" customHeight="1">
      <c r="A445" s="5">
        <v>44777</v>
      </c>
      <c r="B445" s="5">
        <v>44781</v>
      </c>
      <c r="C445" s="6" t="s">
        <v>114</v>
      </c>
      <c r="D445" s="16">
        <v>93205.99</v>
      </c>
      <c r="E445" s="16">
        <v>0</v>
      </c>
      <c r="F445" s="9">
        <f t="shared" si="66"/>
        <v>224432.07000000117</v>
      </c>
      <c r="G445" s="10"/>
      <c r="H445" s="11"/>
    </row>
    <row r="446" spans="1:8" ht="15" customHeight="1">
      <c r="A446" s="5">
        <v>44777</v>
      </c>
      <c r="B446" s="5">
        <v>44781</v>
      </c>
      <c r="C446" s="11" t="s">
        <v>11</v>
      </c>
      <c r="D446" s="12">
        <v>14.98</v>
      </c>
      <c r="E446" s="12">
        <v>0</v>
      </c>
      <c r="F446" s="9">
        <f t="shared" si="66"/>
        <v>224417.09000000116</v>
      </c>
      <c r="G446" s="13"/>
      <c r="H446" s="11"/>
    </row>
    <row r="447" spans="1:8" ht="15" customHeight="1">
      <c r="A447" s="5" t="s">
        <v>12</v>
      </c>
      <c r="B447" s="5">
        <v>44782</v>
      </c>
      <c r="C447" s="6" t="s">
        <v>115</v>
      </c>
      <c r="D447" s="7">
        <v>24400</v>
      </c>
      <c r="E447" s="8">
        <v>0</v>
      </c>
      <c r="F447" s="9">
        <f t="shared" si="66"/>
        <v>200017.09000000116</v>
      </c>
      <c r="G447" s="10"/>
      <c r="H447" s="10"/>
    </row>
    <row r="448" spans="1:8" ht="15" customHeight="1">
      <c r="A448" s="5" t="s">
        <v>12</v>
      </c>
      <c r="B448" s="5">
        <v>44787</v>
      </c>
      <c r="C448" s="11" t="s">
        <v>84</v>
      </c>
      <c r="D448" s="12">
        <v>20</v>
      </c>
      <c r="E448" s="12">
        <v>0</v>
      </c>
      <c r="F448" s="9">
        <f t="shared" si="66"/>
        <v>199997.09000000116</v>
      </c>
      <c r="G448" s="11"/>
      <c r="H448" s="11"/>
    </row>
    <row r="449" spans="1:8" ht="15" customHeight="1">
      <c r="A449" s="5" t="s">
        <v>12</v>
      </c>
      <c r="B449" s="5">
        <v>44788</v>
      </c>
      <c r="C449" s="11" t="s">
        <v>39</v>
      </c>
      <c r="D449" s="12">
        <v>91</v>
      </c>
      <c r="E449" s="12">
        <v>0</v>
      </c>
      <c r="F449" s="9">
        <f t="shared" si="66"/>
        <v>199906.09000000116</v>
      </c>
      <c r="G449" s="11"/>
      <c r="H449" s="11"/>
    </row>
    <row r="450" spans="1:8" ht="15" customHeight="1">
      <c r="A450" s="5">
        <v>44788</v>
      </c>
      <c r="B450" s="5">
        <v>44790</v>
      </c>
      <c r="C450" s="6" t="s">
        <v>114</v>
      </c>
      <c r="D450" s="16">
        <v>0</v>
      </c>
      <c r="E450" s="16">
        <v>93093.35</v>
      </c>
      <c r="F450" s="9">
        <f t="shared" si="66"/>
        <v>292999.44000000117</v>
      </c>
      <c r="G450" s="10"/>
      <c r="H450" s="11"/>
    </row>
    <row r="451" spans="1:8" ht="15" customHeight="1">
      <c r="A451" s="5">
        <v>44788</v>
      </c>
      <c r="B451" s="5">
        <v>44790</v>
      </c>
      <c r="C451" s="6" t="s">
        <v>116</v>
      </c>
      <c r="D451" s="16">
        <v>100722.6</v>
      </c>
      <c r="E451" s="16">
        <v>0</v>
      </c>
      <c r="F451" s="9">
        <f t="shared" si="66"/>
        <v>192276.84000000116</v>
      </c>
      <c r="G451" s="10"/>
      <c r="H451" s="11"/>
    </row>
    <row r="452" spans="1:8" ht="15" customHeight="1">
      <c r="A452" s="5">
        <v>44788</v>
      </c>
      <c r="B452" s="5">
        <v>44790</v>
      </c>
      <c r="C452" s="11" t="s">
        <v>11</v>
      </c>
      <c r="D452" s="12">
        <v>14.98</v>
      </c>
      <c r="E452" s="12">
        <v>0</v>
      </c>
      <c r="F452" s="9">
        <f t="shared" si="66"/>
        <v>192261.86000000115</v>
      </c>
      <c r="G452" s="13"/>
      <c r="H452" s="11"/>
    </row>
    <row r="453" spans="1:8" ht="15" customHeight="1">
      <c r="A453" s="5">
        <v>44789</v>
      </c>
      <c r="B453" s="5">
        <v>44791</v>
      </c>
      <c r="C453" s="6" t="s">
        <v>117</v>
      </c>
      <c r="D453" s="16">
        <v>97214.85</v>
      </c>
      <c r="E453" s="16">
        <v>0</v>
      </c>
      <c r="F453" s="9">
        <f t="shared" si="66"/>
        <v>95047.010000001144</v>
      </c>
      <c r="G453" s="10"/>
      <c r="H453" s="11"/>
    </row>
    <row r="454" spans="1:8" ht="15" customHeight="1">
      <c r="A454" s="5">
        <v>44789</v>
      </c>
      <c r="B454" s="5">
        <v>44791</v>
      </c>
      <c r="C454" s="11" t="s">
        <v>11</v>
      </c>
      <c r="D454" s="12">
        <v>14.98</v>
      </c>
      <c r="E454" s="12">
        <v>0</v>
      </c>
      <c r="F454" s="9">
        <f t="shared" si="66"/>
        <v>95032.030000001148</v>
      </c>
      <c r="G454" s="13"/>
      <c r="H454" s="11"/>
    </row>
    <row r="455" spans="1:8" ht="15" customHeight="1">
      <c r="A455" s="5" t="s">
        <v>12</v>
      </c>
      <c r="B455" s="5">
        <v>44791</v>
      </c>
      <c r="C455" s="6" t="s">
        <v>13</v>
      </c>
      <c r="D455" s="7">
        <v>34000</v>
      </c>
      <c r="E455" s="8">
        <v>0</v>
      </c>
      <c r="F455" s="9">
        <f t="shared" si="66"/>
        <v>61032.030000001148</v>
      </c>
      <c r="G455" s="10"/>
      <c r="H455" s="10"/>
    </row>
    <row r="456" spans="1:8" ht="15" customHeight="1">
      <c r="A456" s="5" t="s">
        <v>12</v>
      </c>
      <c r="B456" s="5">
        <v>44798</v>
      </c>
      <c r="C456" s="6" t="s">
        <v>13</v>
      </c>
      <c r="D456" s="7">
        <v>8000</v>
      </c>
      <c r="E456" s="8">
        <v>0</v>
      </c>
      <c r="F456" s="9">
        <f t="shared" ref="F456:F462" si="67">F455-D456+E456</f>
        <v>53032.030000001148</v>
      </c>
      <c r="G456" s="10"/>
      <c r="H456" s="10"/>
    </row>
    <row r="457" spans="1:8" ht="15" customHeight="1">
      <c r="A457" s="5">
        <v>44796</v>
      </c>
      <c r="B457" s="5">
        <v>44798</v>
      </c>
      <c r="C457" s="6" t="s">
        <v>60</v>
      </c>
      <c r="D457" s="16">
        <v>0</v>
      </c>
      <c r="E457" s="16">
        <v>176607.96</v>
      </c>
      <c r="F457" s="9">
        <f t="shared" si="67"/>
        <v>229639.99000000115</v>
      </c>
      <c r="G457" s="10"/>
      <c r="H457" s="11"/>
    </row>
    <row r="458" spans="1:8" ht="15" customHeight="1">
      <c r="A458" s="5">
        <v>44796</v>
      </c>
      <c r="B458" s="5">
        <v>44798</v>
      </c>
      <c r="C458" s="11" t="s">
        <v>11</v>
      </c>
      <c r="D458" s="12">
        <v>14.98</v>
      </c>
      <c r="E458" s="12">
        <v>0</v>
      </c>
      <c r="F458" s="9">
        <f t="shared" si="67"/>
        <v>229625.01000000114</v>
      </c>
      <c r="G458" s="13"/>
      <c r="H458" s="11"/>
    </row>
    <row r="459" spans="1:8" ht="15" customHeight="1">
      <c r="A459" s="5" t="s">
        <v>12</v>
      </c>
      <c r="B459" s="5">
        <v>44799</v>
      </c>
      <c r="C459" s="6" t="s">
        <v>93</v>
      </c>
      <c r="D459" s="7">
        <v>0</v>
      </c>
      <c r="E459" s="8">
        <v>4860</v>
      </c>
      <c r="F459" s="9">
        <f t="shared" si="67"/>
        <v>234485.01000000114</v>
      </c>
      <c r="G459" s="10"/>
      <c r="H459" s="11"/>
    </row>
    <row r="460" spans="1:8" ht="15" customHeight="1">
      <c r="A460" s="5" t="s">
        <v>12</v>
      </c>
      <c r="B460" s="5">
        <v>44799</v>
      </c>
      <c r="C460" s="6" t="s">
        <v>118</v>
      </c>
      <c r="D460" s="7">
        <v>0</v>
      </c>
      <c r="E460" s="8">
        <v>2295</v>
      </c>
      <c r="F460" s="9">
        <f t="shared" ref="F460:F462" si="68">F459-D460+E460</f>
        <v>236780.01000000114</v>
      </c>
      <c r="G460" s="10"/>
      <c r="H460" s="11"/>
    </row>
    <row r="461" spans="1:8" ht="15" customHeight="1">
      <c r="A461" s="5">
        <v>44797</v>
      </c>
      <c r="B461" s="5">
        <v>44799</v>
      </c>
      <c r="C461" s="6" t="s">
        <v>119</v>
      </c>
      <c r="D461" s="16">
        <v>91702.67</v>
      </c>
      <c r="E461" s="16">
        <v>0</v>
      </c>
      <c r="F461" s="9">
        <f t="shared" si="68"/>
        <v>145077.34000000113</v>
      </c>
      <c r="G461" s="10"/>
      <c r="H461" s="11"/>
    </row>
    <row r="462" spans="1:8" ht="15" customHeight="1">
      <c r="A462" s="5">
        <v>44797</v>
      </c>
      <c r="B462" s="5">
        <v>44799</v>
      </c>
      <c r="C462" s="11" t="s">
        <v>11</v>
      </c>
      <c r="D462" s="12">
        <v>14.98</v>
      </c>
      <c r="E462" s="12">
        <v>0</v>
      </c>
      <c r="F462" s="9">
        <f t="shared" si="68"/>
        <v>145062.36000000112</v>
      </c>
      <c r="G462" s="13"/>
      <c r="H462" s="11"/>
    </row>
    <row r="463" spans="1:8" ht="15" customHeight="1">
      <c r="A463" s="5">
        <v>44802</v>
      </c>
      <c r="B463" s="5">
        <v>44804</v>
      </c>
      <c r="C463" s="6" t="s">
        <v>42</v>
      </c>
      <c r="D463" s="16">
        <v>105833.89</v>
      </c>
      <c r="E463" s="16">
        <v>0</v>
      </c>
      <c r="F463" s="9">
        <f t="shared" ref="F463:F500" si="69">F462-D463+E463</f>
        <v>39228.470000001122</v>
      </c>
      <c r="G463" s="10"/>
      <c r="H463" s="11"/>
    </row>
    <row r="464" spans="1:8" ht="15" customHeight="1">
      <c r="A464" s="5">
        <v>44802</v>
      </c>
      <c r="B464" s="5">
        <v>44804</v>
      </c>
      <c r="C464" s="11" t="s">
        <v>11</v>
      </c>
      <c r="D464" s="12">
        <v>14.98</v>
      </c>
      <c r="E464" s="12">
        <v>0</v>
      </c>
      <c r="F464" s="9">
        <f t="shared" si="69"/>
        <v>39213.490000001118</v>
      </c>
      <c r="G464" s="13"/>
      <c r="H464" s="11"/>
    </row>
    <row r="465" spans="1:8" ht="15" customHeight="1">
      <c r="A465" s="5" t="s">
        <v>12</v>
      </c>
      <c r="B465" s="5">
        <v>44805</v>
      </c>
      <c r="C465" s="11" t="s">
        <v>63</v>
      </c>
      <c r="D465" s="12">
        <v>3527</v>
      </c>
      <c r="E465" s="12">
        <v>0</v>
      </c>
      <c r="F465" s="9">
        <f t="shared" si="69"/>
        <v>35686.490000001118</v>
      </c>
      <c r="G465" s="13"/>
      <c r="H465" s="11"/>
    </row>
    <row r="466" spans="1:8" ht="15" customHeight="1">
      <c r="A466" s="5" t="s">
        <v>12</v>
      </c>
      <c r="B466" s="5">
        <v>44806</v>
      </c>
      <c r="C466" s="6" t="s">
        <v>120</v>
      </c>
      <c r="D466" s="7">
        <v>0</v>
      </c>
      <c r="E466" s="8">
        <v>1260</v>
      </c>
      <c r="F466" s="9">
        <f t="shared" si="69"/>
        <v>36946.490000001118</v>
      </c>
      <c r="G466" s="10"/>
      <c r="H466" s="11"/>
    </row>
    <row r="467" spans="1:8" ht="15" customHeight="1">
      <c r="A467" s="5" t="s">
        <v>12</v>
      </c>
      <c r="B467" s="5">
        <v>44806</v>
      </c>
      <c r="C467" s="6" t="s">
        <v>18</v>
      </c>
      <c r="D467" s="7">
        <v>0</v>
      </c>
      <c r="E467" s="8">
        <v>23625</v>
      </c>
      <c r="F467" s="9">
        <f t="shared" si="69"/>
        <v>60571.490000001118</v>
      </c>
      <c r="G467" s="10"/>
      <c r="H467" s="11"/>
    </row>
    <row r="468" spans="1:8" ht="15" customHeight="1">
      <c r="A468" s="5" t="s">
        <v>12</v>
      </c>
      <c r="B468" s="5">
        <v>44806</v>
      </c>
      <c r="C468" s="6" t="s">
        <v>121</v>
      </c>
      <c r="D468" s="7">
        <v>0</v>
      </c>
      <c r="E468" s="8">
        <v>1500</v>
      </c>
      <c r="F468" s="9">
        <f t="shared" si="69"/>
        <v>62071.490000001118</v>
      </c>
      <c r="G468" s="10"/>
      <c r="H468" s="11"/>
    </row>
    <row r="469" spans="1:8" ht="15" customHeight="1">
      <c r="A469" s="5" t="s">
        <v>12</v>
      </c>
      <c r="B469" s="5">
        <v>44806</v>
      </c>
      <c r="C469" s="6" t="s">
        <v>86</v>
      </c>
      <c r="D469" s="7">
        <v>0</v>
      </c>
      <c r="E469" s="8">
        <v>5184</v>
      </c>
      <c r="F469" s="21">
        <f t="shared" si="69"/>
        <v>67255.490000001126</v>
      </c>
      <c r="G469" s="10"/>
      <c r="H469" s="11"/>
    </row>
    <row r="470" spans="1:8" ht="15" customHeight="1">
      <c r="A470" s="5" t="s">
        <v>12</v>
      </c>
      <c r="B470" s="5">
        <v>44809</v>
      </c>
      <c r="C470" s="6" t="s">
        <v>19</v>
      </c>
      <c r="D470" s="7">
        <v>0</v>
      </c>
      <c r="E470" s="8">
        <v>10400</v>
      </c>
      <c r="F470" s="9">
        <f t="shared" si="69"/>
        <v>77655.490000001126</v>
      </c>
      <c r="G470" s="10"/>
      <c r="H470" s="11"/>
    </row>
    <row r="471" spans="1:8" ht="15" customHeight="1">
      <c r="A471" s="5" t="s">
        <v>12</v>
      </c>
      <c r="B471" s="5">
        <v>44809</v>
      </c>
      <c r="C471" s="6" t="s">
        <v>96</v>
      </c>
      <c r="D471" s="7">
        <v>0</v>
      </c>
      <c r="E471" s="8">
        <v>2916</v>
      </c>
      <c r="F471" s="9">
        <f t="shared" si="69"/>
        <v>80571.490000001126</v>
      </c>
      <c r="G471" s="10"/>
      <c r="H471" s="11"/>
    </row>
    <row r="472" spans="1:8" ht="15" customHeight="1">
      <c r="A472" s="5">
        <v>44805</v>
      </c>
      <c r="B472" s="5">
        <v>44809</v>
      </c>
      <c r="C472" s="6" t="s">
        <v>33</v>
      </c>
      <c r="D472" s="16">
        <v>0</v>
      </c>
      <c r="E472" s="16">
        <v>56873.75</v>
      </c>
      <c r="F472" s="9">
        <f t="shared" si="69"/>
        <v>137445.24000000113</v>
      </c>
      <c r="G472" s="10"/>
      <c r="H472" s="11"/>
    </row>
    <row r="473" spans="1:8" ht="15" customHeight="1">
      <c r="A473" s="5">
        <v>44805</v>
      </c>
      <c r="B473" s="5">
        <v>44809</v>
      </c>
      <c r="C473" s="11" t="s">
        <v>11</v>
      </c>
      <c r="D473" s="12">
        <v>14.98</v>
      </c>
      <c r="E473" s="12">
        <v>0</v>
      </c>
      <c r="F473" s="21">
        <f t="shared" si="69"/>
        <v>137430.26000000112</v>
      </c>
      <c r="G473" s="13"/>
      <c r="H473" s="11"/>
    </row>
    <row r="474" spans="1:8" ht="15" customHeight="1">
      <c r="A474" s="5" t="s">
        <v>12</v>
      </c>
      <c r="B474" s="5">
        <v>44810</v>
      </c>
      <c r="C474" s="6" t="s">
        <v>16</v>
      </c>
      <c r="D474" s="7">
        <v>0</v>
      </c>
      <c r="E474" s="8">
        <v>1890</v>
      </c>
      <c r="F474" s="9">
        <f t="shared" si="69"/>
        <v>139320.26000000112</v>
      </c>
      <c r="G474" s="10"/>
      <c r="H474" s="11"/>
    </row>
    <row r="475" spans="1:8" ht="15" customHeight="1">
      <c r="A475" s="5" t="s">
        <v>12</v>
      </c>
      <c r="B475" s="5">
        <v>44810</v>
      </c>
      <c r="C475" s="6" t="s">
        <v>28</v>
      </c>
      <c r="D475" s="7">
        <v>0</v>
      </c>
      <c r="E475" s="8">
        <v>36800</v>
      </c>
      <c r="F475" s="9">
        <f t="shared" si="69"/>
        <v>176120.26000000112</v>
      </c>
      <c r="G475" s="10"/>
      <c r="H475" s="11"/>
    </row>
    <row r="476" spans="1:8" ht="15" customHeight="1">
      <c r="A476" s="5" t="s">
        <v>12</v>
      </c>
      <c r="B476" s="5">
        <v>44810</v>
      </c>
      <c r="C476" s="6" t="s">
        <v>104</v>
      </c>
      <c r="D476" s="7">
        <v>0</v>
      </c>
      <c r="E476" s="8">
        <v>1215</v>
      </c>
      <c r="F476" s="21">
        <f t="shared" si="69"/>
        <v>177335.26000000112</v>
      </c>
      <c r="G476" s="10"/>
      <c r="H476" s="11"/>
    </row>
    <row r="477" spans="1:8" ht="15" customHeight="1">
      <c r="A477" s="5" t="s">
        <v>12</v>
      </c>
      <c r="B477" s="5">
        <v>44810</v>
      </c>
      <c r="C477" s="6" t="s">
        <v>13</v>
      </c>
      <c r="D477" s="7">
        <v>19000</v>
      </c>
      <c r="E477" s="8">
        <v>0</v>
      </c>
      <c r="F477" s="9">
        <f t="shared" si="69"/>
        <v>158335.26000000112</v>
      </c>
      <c r="G477" s="10"/>
      <c r="H477" s="10"/>
    </row>
    <row r="478" spans="1:8" ht="15" customHeight="1">
      <c r="A478" s="5" t="s">
        <v>12</v>
      </c>
      <c r="B478" s="5">
        <v>44811</v>
      </c>
      <c r="C478" s="6" t="s">
        <v>97</v>
      </c>
      <c r="D478" s="7">
        <v>0</v>
      </c>
      <c r="E478" s="8">
        <v>2916</v>
      </c>
      <c r="F478" s="9">
        <f t="shared" si="69"/>
        <v>161251.26000000112</v>
      </c>
      <c r="G478" s="10"/>
      <c r="H478" s="11"/>
    </row>
    <row r="479" spans="1:8" ht="15" customHeight="1">
      <c r="A479" s="5">
        <v>44809</v>
      </c>
      <c r="B479" s="5">
        <v>44811</v>
      </c>
      <c r="C479" s="6" t="s">
        <v>81</v>
      </c>
      <c r="D479" s="16">
        <v>0</v>
      </c>
      <c r="E479" s="16">
        <v>102372.75</v>
      </c>
      <c r="F479" s="9">
        <f t="shared" si="69"/>
        <v>263624.01000000112</v>
      </c>
      <c r="G479" s="10"/>
      <c r="H479" s="11"/>
    </row>
    <row r="480" spans="1:8" ht="15" customHeight="1">
      <c r="A480" s="5">
        <v>44809</v>
      </c>
      <c r="B480" s="5">
        <v>44811</v>
      </c>
      <c r="C480" s="11" t="s">
        <v>11</v>
      </c>
      <c r="D480" s="12">
        <v>14.98</v>
      </c>
      <c r="E480" s="12">
        <v>0</v>
      </c>
      <c r="F480" s="9">
        <f t="shared" si="69"/>
        <v>263609.03000000113</v>
      </c>
      <c r="G480" s="13"/>
      <c r="H480" s="11"/>
    </row>
    <row r="481" spans="1:8" ht="15" customHeight="1">
      <c r="A481" s="5" t="s">
        <v>12</v>
      </c>
      <c r="B481" s="5">
        <v>44812</v>
      </c>
      <c r="C481" s="6" t="s">
        <v>103</v>
      </c>
      <c r="D481" s="7">
        <v>0</v>
      </c>
      <c r="E481" s="8">
        <v>1890</v>
      </c>
      <c r="F481" s="9">
        <f t="shared" si="69"/>
        <v>265499.03000000113</v>
      </c>
      <c r="G481" s="10"/>
      <c r="H481" s="11"/>
    </row>
    <row r="482" spans="1:8" ht="15" customHeight="1">
      <c r="A482" s="5" t="s">
        <v>12</v>
      </c>
      <c r="B482" s="5">
        <v>44813</v>
      </c>
      <c r="C482" s="6" t="s">
        <v>99</v>
      </c>
      <c r="D482" s="7">
        <v>0</v>
      </c>
      <c r="E482" s="8">
        <v>14085</v>
      </c>
      <c r="F482" s="9">
        <f t="shared" si="69"/>
        <v>279584.03000000113</v>
      </c>
      <c r="G482" s="10"/>
      <c r="H482" s="11"/>
    </row>
    <row r="483" spans="1:8" ht="15" customHeight="1">
      <c r="A483" s="5" t="s">
        <v>12</v>
      </c>
      <c r="B483" s="5">
        <v>44813</v>
      </c>
      <c r="C483" s="6" t="s">
        <v>109</v>
      </c>
      <c r="D483" s="7">
        <v>0</v>
      </c>
      <c r="E483" s="8">
        <v>12060.51</v>
      </c>
      <c r="F483" s="9">
        <f t="shared" si="69"/>
        <v>291644.54000000114</v>
      </c>
      <c r="G483" s="10"/>
      <c r="H483" s="11"/>
    </row>
    <row r="484" spans="1:8" ht="15" customHeight="1">
      <c r="A484" s="5" t="s">
        <v>12</v>
      </c>
      <c r="B484" s="5">
        <v>44813</v>
      </c>
      <c r="C484" s="6" t="s">
        <v>27</v>
      </c>
      <c r="D484" s="7">
        <v>0</v>
      </c>
      <c r="E484" s="8">
        <v>20587.5</v>
      </c>
      <c r="F484" s="9">
        <f t="shared" si="69"/>
        <v>312232.04000000114</v>
      </c>
      <c r="G484" s="10"/>
      <c r="H484" s="11"/>
    </row>
    <row r="485" spans="1:8" ht="15" customHeight="1">
      <c r="A485" s="5" t="s">
        <v>12</v>
      </c>
      <c r="B485" s="5">
        <v>44813</v>
      </c>
      <c r="C485" s="6" t="s">
        <v>98</v>
      </c>
      <c r="D485" s="7">
        <v>0</v>
      </c>
      <c r="E485" s="8">
        <v>6480</v>
      </c>
      <c r="F485" s="9">
        <f t="shared" si="69"/>
        <v>318712.04000000114</v>
      </c>
      <c r="G485" s="10"/>
      <c r="H485" s="11"/>
    </row>
    <row r="486" spans="1:8" ht="15" customHeight="1">
      <c r="A486" s="5" t="s">
        <v>12</v>
      </c>
      <c r="B486" s="5">
        <v>44843</v>
      </c>
      <c r="C486" s="11" t="s">
        <v>84</v>
      </c>
      <c r="D486" s="12">
        <v>20</v>
      </c>
      <c r="E486" s="12">
        <v>0</v>
      </c>
      <c r="F486" s="9">
        <f t="shared" si="69"/>
        <v>318692.04000000114</v>
      </c>
      <c r="G486" s="11"/>
      <c r="H486" s="11"/>
    </row>
    <row r="487" spans="1:8" ht="15" customHeight="1">
      <c r="A487" s="5">
        <v>44812</v>
      </c>
      <c r="B487" s="5">
        <v>44816</v>
      </c>
      <c r="C487" s="6" t="s">
        <v>80</v>
      </c>
      <c r="D487" s="16">
        <v>78673.88</v>
      </c>
      <c r="E487" s="16">
        <v>0</v>
      </c>
      <c r="F487" s="9">
        <f t="shared" si="69"/>
        <v>240018.16000000114</v>
      </c>
      <c r="G487" s="10"/>
      <c r="H487" s="11"/>
    </row>
    <row r="488" spans="1:8" ht="15" customHeight="1">
      <c r="A488" s="5">
        <v>44812</v>
      </c>
      <c r="B488" s="5">
        <v>44816</v>
      </c>
      <c r="C488" s="6" t="s">
        <v>122</v>
      </c>
      <c r="D488" s="16">
        <v>105232.56</v>
      </c>
      <c r="E488" s="16">
        <v>0</v>
      </c>
      <c r="F488" s="9">
        <f t="shared" si="69"/>
        <v>134785.60000000114</v>
      </c>
      <c r="G488" s="10"/>
      <c r="H488" s="11"/>
    </row>
    <row r="489" spans="1:8" ht="15" customHeight="1">
      <c r="A489" s="5">
        <v>44812</v>
      </c>
      <c r="B489" s="5">
        <v>44816</v>
      </c>
      <c r="C489" s="11" t="s">
        <v>11</v>
      </c>
      <c r="D489" s="12">
        <v>14.98</v>
      </c>
      <c r="E489" s="12">
        <v>0</v>
      </c>
      <c r="F489" s="9">
        <f t="shared" si="69"/>
        <v>134770.62000000113</v>
      </c>
      <c r="G489" s="13"/>
      <c r="H489" s="11"/>
    </row>
    <row r="490" spans="1:8" ht="15" customHeight="1">
      <c r="A490" s="5" t="s">
        <v>12</v>
      </c>
      <c r="B490" s="5">
        <v>44817</v>
      </c>
      <c r="C490" s="6" t="s">
        <v>107</v>
      </c>
      <c r="D490" s="7">
        <v>0</v>
      </c>
      <c r="E490" s="8">
        <v>6075</v>
      </c>
      <c r="F490" s="9">
        <f t="shared" si="69"/>
        <v>140845.62000000113</v>
      </c>
      <c r="G490" s="10"/>
      <c r="H490" s="11"/>
    </row>
    <row r="491" spans="1:8" ht="15" customHeight="1">
      <c r="A491" s="5">
        <v>44813</v>
      </c>
      <c r="B491" s="5">
        <v>44817</v>
      </c>
      <c r="C491" s="6" t="s">
        <v>80</v>
      </c>
      <c r="D491" s="16">
        <v>0</v>
      </c>
      <c r="E491" s="16">
        <v>82317.27</v>
      </c>
      <c r="F491" s="9">
        <f t="shared" si="69"/>
        <v>223162.89000000112</v>
      </c>
      <c r="G491" s="10"/>
      <c r="H491" s="11"/>
    </row>
    <row r="492" spans="1:8" ht="15" customHeight="1">
      <c r="A492" s="5">
        <v>44813</v>
      </c>
      <c r="B492" s="5">
        <v>44817</v>
      </c>
      <c r="C492" s="11" t="s">
        <v>11</v>
      </c>
      <c r="D492" s="12">
        <v>14.98</v>
      </c>
      <c r="E492" s="12">
        <v>0</v>
      </c>
      <c r="F492" s="9">
        <f t="shared" si="69"/>
        <v>223147.91000000111</v>
      </c>
      <c r="G492" s="13"/>
      <c r="H492" s="11"/>
    </row>
    <row r="493" spans="1:8" ht="15" customHeight="1">
      <c r="A493" s="5" t="s">
        <v>12</v>
      </c>
      <c r="B493" s="5">
        <v>44818</v>
      </c>
      <c r="C493" s="6" t="s">
        <v>108</v>
      </c>
      <c r="D493" s="7">
        <v>0</v>
      </c>
      <c r="E493" s="8">
        <v>7560</v>
      </c>
      <c r="F493" s="9">
        <f t="shared" si="69"/>
        <v>230707.91000000111</v>
      </c>
      <c r="G493" s="10"/>
      <c r="H493" s="11"/>
    </row>
    <row r="494" spans="1:8" ht="15" customHeight="1">
      <c r="A494" s="5" t="s">
        <v>12</v>
      </c>
      <c r="B494" s="5">
        <v>44818</v>
      </c>
      <c r="C494" s="6" t="s">
        <v>123</v>
      </c>
      <c r="D494" s="7">
        <v>0</v>
      </c>
      <c r="E494" s="8">
        <v>1809</v>
      </c>
      <c r="F494" s="9">
        <f t="shared" si="69"/>
        <v>232516.91000000111</v>
      </c>
      <c r="G494" s="10"/>
      <c r="H494" s="11"/>
    </row>
    <row r="495" spans="1:8" ht="15" customHeight="1">
      <c r="A495" s="5">
        <v>44816</v>
      </c>
      <c r="B495" s="5">
        <v>44818</v>
      </c>
      <c r="C495" s="6" t="s">
        <v>122</v>
      </c>
      <c r="D495" s="16">
        <v>0</v>
      </c>
      <c r="E495" s="16">
        <v>108509.13</v>
      </c>
      <c r="F495" s="9">
        <f t="shared" si="69"/>
        <v>341026.04000000108</v>
      </c>
      <c r="G495" s="10"/>
      <c r="H495" s="11"/>
    </row>
    <row r="496" spans="1:8" ht="15" customHeight="1">
      <c r="A496" s="5">
        <v>44816</v>
      </c>
      <c r="B496" s="5">
        <v>44818</v>
      </c>
      <c r="C496" s="11" t="s">
        <v>11</v>
      </c>
      <c r="D496" s="12">
        <v>14.98</v>
      </c>
      <c r="E496" s="12">
        <v>0</v>
      </c>
      <c r="F496" s="9">
        <f t="shared" si="69"/>
        <v>341011.0600000011</v>
      </c>
      <c r="G496" s="13"/>
      <c r="H496" s="11"/>
    </row>
    <row r="497" spans="1:8" ht="15" customHeight="1">
      <c r="A497" s="5" t="s">
        <v>12</v>
      </c>
      <c r="B497" s="5">
        <v>44819</v>
      </c>
      <c r="C497" s="6" t="s">
        <v>32</v>
      </c>
      <c r="D497" s="7">
        <v>0</v>
      </c>
      <c r="E497" s="8">
        <v>864</v>
      </c>
      <c r="F497" s="9">
        <f t="shared" si="69"/>
        <v>341875.0600000011</v>
      </c>
      <c r="G497" s="10"/>
      <c r="H497" s="11"/>
    </row>
    <row r="498" spans="1:8" ht="15" customHeight="1">
      <c r="A498" s="5" t="s">
        <v>12</v>
      </c>
      <c r="B498" s="5">
        <v>44819</v>
      </c>
      <c r="C498" s="11" t="s">
        <v>39</v>
      </c>
      <c r="D498" s="12">
        <v>432</v>
      </c>
      <c r="E498" s="12">
        <v>0</v>
      </c>
      <c r="F498" s="9">
        <f t="shared" si="69"/>
        <v>341443.0600000011</v>
      </c>
      <c r="G498" s="11"/>
      <c r="H498" s="11"/>
    </row>
    <row r="499" spans="1:8" ht="15" customHeight="1">
      <c r="A499" s="5">
        <v>44818</v>
      </c>
      <c r="B499" s="5">
        <v>44820</v>
      </c>
      <c r="C499" s="6" t="s">
        <v>117</v>
      </c>
      <c r="D499" s="16">
        <v>95210.42</v>
      </c>
      <c r="E499" s="16">
        <v>0</v>
      </c>
      <c r="F499" s="9">
        <f t="shared" si="69"/>
        <v>246232.64000000112</v>
      </c>
      <c r="G499" s="10"/>
      <c r="H499" s="11"/>
    </row>
    <row r="500" spans="1:8" ht="15" customHeight="1">
      <c r="A500" s="5">
        <v>44818</v>
      </c>
      <c r="B500" s="5">
        <v>44820</v>
      </c>
      <c r="C500" s="11" t="s">
        <v>11</v>
      </c>
      <c r="D500" s="12">
        <v>14.98</v>
      </c>
      <c r="E500" s="12">
        <v>0</v>
      </c>
      <c r="F500" s="9">
        <f t="shared" si="69"/>
        <v>246217.66000000111</v>
      </c>
      <c r="G500" s="13"/>
      <c r="H500" s="13"/>
    </row>
    <row r="501" spans="1:8" ht="15" customHeight="1">
      <c r="A501" s="5" t="s">
        <v>12</v>
      </c>
      <c r="B501" s="5">
        <v>44821</v>
      </c>
      <c r="C501" s="11" t="s">
        <v>124</v>
      </c>
      <c r="D501" s="12">
        <v>1026.03</v>
      </c>
      <c r="E501" s="12">
        <v>0</v>
      </c>
      <c r="F501" s="9">
        <f t="shared" ref="F501:F502" si="70">F500-D501+E501</f>
        <v>245191.63000000111</v>
      </c>
      <c r="G501" s="11"/>
      <c r="H501" s="11"/>
    </row>
    <row r="502" spans="1:8" ht="15" customHeight="1">
      <c r="A502" s="5" t="s">
        <v>12</v>
      </c>
      <c r="B502" s="5">
        <v>44823</v>
      </c>
      <c r="C502" s="6" t="s">
        <v>113</v>
      </c>
      <c r="D502" s="7">
        <v>0</v>
      </c>
      <c r="E502" s="8">
        <v>5601.6</v>
      </c>
      <c r="F502" s="9">
        <f t="shared" si="70"/>
        <v>250793.23000000112</v>
      </c>
      <c r="G502" s="10"/>
      <c r="H502" s="11"/>
    </row>
    <row r="503" spans="1:8" ht="15" customHeight="1">
      <c r="A503" s="5" t="s">
        <v>12</v>
      </c>
      <c r="B503" s="5">
        <v>44825</v>
      </c>
      <c r="C503" s="6" t="s">
        <v>92</v>
      </c>
      <c r="D503" s="7">
        <v>0</v>
      </c>
      <c r="E503" s="8">
        <v>8100</v>
      </c>
      <c r="F503" s="9">
        <f t="shared" ref="F503:F510" si="71">F502-D503+E503</f>
        <v>258893.23000000112</v>
      </c>
      <c r="G503" s="10"/>
      <c r="H503" s="11"/>
    </row>
    <row r="504" spans="1:8" ht="15" customHeight="1">
      <c r="A504" s="5" t="s">
        <v>12</v>
      </c>
      <c r="B504" s="5">
        <v>44827</v>
      </c>
      <c r="C504" s="11" t="s">
        <v>13</v>
      </c>
      <c r="D504" s="12">
        <v>13800</v>
      </c>
      <c r="E504" s="12">
        <v>0</v>
      </c>
      <c r="F504" s="9">
        <f t="shared" si="71"/>
        <v>245093.23000000112</v>
      </c>
      <c r="G504" s="11"/>
      <c r="H504" s="11"/>
    </row>
    <row r="505" spans="1:8" ht="15" customHeight="1">
      <c r="A505" s="5">
        <v>44831</v>
      </c>
      <c r="B505" s="5">
        <v>44833</v>
      </c>
      <c r="C505" s="6" t="s">
        <v>10</v>
      </c>
      <c r="D505" s="16">
        <v>166868.79</v>
      </c>
      <c r="E505" s="16">
        <v>0</v>
      </c>
      <c r="F505" s="9">
        <f t="shared" si="71"/>
        <v>78224.440000001108</v>
      </c>
      <c r="G505" s="10"/>
      <c r="H505" s="11"/>
    </row>
    <row r="506" spans="1:8" ht="15" customHeight="1">
      <c r="A506" s="5">
        <v>44831</v>
      </c>
      <c r="B506" s="5">
        <v>44833</v>
      </c>
      <c r="C506" s="11" t="s">
        <v>11</v>
      </c>
      <c r="D506" s="12">
        <v>14.98</v>
      </c>
      <c r="E506" s="12">
        <v>0</v>
      </c>
      <c r="F506" s="9">
        <f t="shared" si="71"/>
        <v>78209.460000001112</v>
      </c>
      <c r="G506" s="13"/>
      <c r="H506" s="13"/>
    </row>
    <row r="507" spans="1:8" ht="15" customHeight="1">
      <c r="A507" s="5" t="s">
        <v>12</v>
      </c>
      <c r="B507" s="5">
        <v>44842</v>
      </c>
      <c r="C507" s="11" t="s">
        <v>84</v>
      </c>
      <c r="D507" s="12">
        <v>20</v>
      </c>
      <c r="E507" s="12">
        <v>0</v>
      </c>
      <c r="F507" s="9">
        <f t="shared" si="71"/>
        <v>78189.460000001112</v>
      </c>
      <c r="G507" s="11"/>
      <c r="H507" s="11"/>
    </row>
    <row r="508" spans="1:8" ht="15" customHeight="1">
      <c r="A508" s="5" t="s">
        <v>12</v>
      </c>
      <c r="B508" s="5">
        <v>44843</v>
      </c>
      <c r="C508" s="11" t="s">
        <v>13</v>
      </c>
      <c r="D508" s="12">
        <v>25000</v>
      </c>
      <c r="E508" s="12">
        <v>0</v>
      </c>
      <c r="F508" s="9">
        <f t="shared" ref="F508:F511" si="72">F507-D508+E508</f>
        <v>53189.460000001112</v>
      </c>
      <c r="G508" s="11"/>
      <c r="H508" s="11"/>
    </row>
    <row r="509" spans="1:8" ht="15" customHeight="1">
      <c r="A509" s="5">
        <v>44840</v>
      </c>
      <c r="B509" s="5">
        <v>44844</v>
      </c>
      <c r="C509" s="6" t="s">
        <v>10</v>
      </c>
      <c r="D509" s="16">
        <v>0</v>
      </c>
      <c r="E509" s="16">
        <v>156028.64000000001</v>
      </c>
      <c r="F509" s="9">
        <f t="shared" si="72"/>
        <v>209218.10000000114</v>
      </c>
      <c r="G509" s="10"/>
      <c r="H509" s="11"/>
    </row>
    <row r="510" spans="1:8" ht="15" customHeight="1">
      <c r="A510" s="5">
        <v>44840</v>
      </c>
      <c r="B510" s="5">
        <v>44844</v>
      </c>
      <c r="C510" s="11" t="s">
        <v>11</v>
      </c>
      <c r="D510" s="12">
        <v>14.98</v>
      </c>
      <c r="E510" s="12">
        <v>0</v>
      </c>
      <c r="F510" s="9">
        <f t="shared" si="72"/>
        <v>209203.12000000113</v>
      </c>
      <c r="G510" s="13"/>
      <c r="H510" s="13"/>
    </row>
    <row r="511" spans="1:8" ht="15" customHeight="1">
      <c r="A511" s="5" t="s">
        <v>12</v>
      </c>
      <c r="B511" s="5">
        <v>44846</v>
      </c>
      <c r="C511" s="6" t="s">
        <v>95</v>
      </c>
      <c r="D511" s="7">
        <v>0</v>
      </c>
      <c r="E511" s="8">
        <v>5265</v>
      </c>
      <c r="F511" s="9">
        <f t="shared" si="72"/>
        <v>214468.12000000113</v>
      </c>
      <c r="G511" s="10"/>
      <c r="H511" s="11"/>
    </row>
    <row r="512" spans="1:8" ht="15" customHeight="1">
      <c r="A512" s="5" t="s">
        <v>12</v>
      </c>
      <c r="B512" s="5">
        <v>44846</v>
      </c>
      <c r="C512" s="6" t="s">
        <v>13</v>
      </c>
      <c r="D512" s="7">
        <v>8000</v>
      </c>
      <c r="E512" s="8">
        <v>0</v>
      </c>
      <c r="F512" s="9">
        <f t="shared" ref="F512:F515" si="73">F511-D512+E512</f>
        <v>206468.12000000113</v>
      </c>
      <c r="G512" s="10"/>
      <c r="H512" s="11"/>
    </row>
    <row r="513" spans="1:8" ht="15" customHeight="1">
      <c r="A513" s="5" t="s">
        <v>12</v>
      </c>
      <c r="B513" s="5">
        <v>44851</v>
      </c>
      <c r="C513" s="11" t="s">
        <v>39</v>
      </c>
      <c r="D513" s="12">
        <v>432</v>
      </c>
      <c r="E513" s="12">
        <v>0</v>
      </c>
      <c r="F513" s="9">
        <f t="shared" si="73"/>
        <v>206036.12000000113</v>
      </c>
      <c r="G513" s="11"/>
      <c r="H513" s="11"/>
    </row>
    <row r="514" spans="1:8" ht="15" customHeight="1">
      <c r="A514" s="5">
        <v>44846</v>
      </c>
      <c r="B514" s="5">
        <v>44852</v>
      </c>
      <c r="C514" s="6" t="s">
        <v>36</v>
      </c>
      <c r="D514" s="16">
        <v>83434.39</v>
      </c>
      <c r="E514" s="16">
        <v>0</v>
      </c>
      <c r="F514" s="9">
        <f t="shared" si="73"/>
        <v>122601.73000000113</v>
      </c>
      <c r="G514" s="10"/>
      <c r="H514" s="11"/>
    </row>
    <row r="515" spans="1:8" ht="15" customHeight="1">
      <c r="A515" s="5">
        <v>44846</v>
      </c>
      <c r="B515" s="5">
        <v>44852</v>
      </c>
      <c r="C515" s="11" t="s">
        <v>11</v>
      </c>
      <c r="D515" s="12">
        <v>14.98</v>
      </c>
      <c r="E515" s="12">
        <v>0</v>
      </c>
      <c r="F515" s="9">
        <f t="shared" si="73"/>
        <v>122586.75000000114</v>
      </c>
      <c r="G515" s="13"/>
      <c r="H515" s="13"/>
    </row>
    <row r="516" spans="1:8" ht="15" customHeight="1">
      <c r="A516" s="5">
        <v>44853</v>
      </c>
      <c r="B516" s="5">
        <v>44855</v>
      </c>
      <c r="C516" s="6" t="s">
        <v>36</v>
      </c>
      <c r="D516" s="16">
        <v>0</v>
      </c>
      <c r="E516" s="16">
        <v>87555.65</v>
      </c>
      <c r="F516" s="9">
        <f t="shared" ref="F516:F519" si="74">F515-D516+E516</f>
        <v>210142.40000000113</v>
      </c>
      <c r="G516" s="10"/>
      <c r="H516" s="11"/>
    </row>
    <row r="517" spans="1:8" ht="15" customHeight="1">
      <c r="A517" s="5">
        <v>44853</v>
      </c>
      <c r="B517" s="5">
        <v>44855</v>
      </c>
      <c r="C517" s="11" t="s">
        <v>11</v>
      </c>
      <c r="D517" s="12">
        <v>14.98</v>
      </c>
      <c r="E517" s="12">
        <v>0</v>
      </c>
      <c r="F517" s="9">
        <f t="shared" si="74"/>
        <v>210127.42000000112</v>
      </c>
      <c r="G517" s="13"/>
      <c r="H517" s="13"/>
    </row>
    <row r="518" spans="1:8" ht="15" customHeight="1">
      <c r="A518" s="5">
        <v>44854</v>
      </c>
      <c r="B518" s="5">
        <v>44858</v>
      </c>
      <c r="C518" s="6" t="s">
        <v>36</v>
      </c>
      <c r="D518" s="16">
        <v>83434.39</v>
      </c>
      <c r="E518" s="16">
        <v>0</v>
      </c>
      <c r="F518" s="9">
        <f t="shared" si="74"/>
        <v>126693.03000000112</v>
      </c>
      <c r="G518" s="10"/>
      <c r="H518" s="11"/>
    </row>
    <row r="519" spans="1:8" ht="15" customHeight="1">
      <c r="A519" s="5">
        <v>44854</v>
      </c>
      <c r="B519" s="5">
        <v>44858</v>
      </c>
      <c r="C519" s="11" t="s">
        <v>11</v>
      </c>
      <c r="D519" s="12">
        <v>14.98</v>
      </c>
      <c r="E519" s="12">
        <v>0</v>
      </c>
      <c r="F519" s="9">
        <f t="shared" si="74"/>
        <v>126678.05000000112</v>
      </c>
      <c r="G519" s="13"/>
      <c r="H519" s="13"/>
    </row>
    <row r="520" spans="1:8" ht="15" customHeight="1">
      <c r="A520" s="5">
        <v>44860</v>
      </c>
      <c r="B520" s="5">
        <v>44862</v>
      </c>
      <c r="C520" s="6" t="s">
        <v>119</v>
      </c>
      <c r="D520" s="16">
        <v>86691.59</v>
      </c>
      <c r="E520" s="16">
        <v>0</v>
      </c>
      <c r="F520" s="9">
        <f t="shared" ref="F520" si="75">F519-D520+E520</f>
        <v>39986.460000001127</v>
      </c>
      <c r="G520" s="10"/>
      <c r="H520" s="11"/>
    </row>
    <row r="521" spans="1:8" ht="15" customHeight="1">
      <c r="A521" s="5">
        <v>44860</v>
      </c>
      <c r="B521" s="5">
        <v>44862</v>
      </c>
      <c r="C521" s="6" t="s">
        <v>33</v>
      </c>
      <c r="D521" s="16">
        <v>0</v>
      </c>
      <c r="E521" s="16">
        <v>55077.74</v>
      </c>
      <c r="F521" s="9">
        <f t="shared" ref="F521:F528" si="76">F520-D521+E521</f>
        <v>95064.200000001118</v>
      </c>
      <c r="G521" s="10"/>
      <c r="H521" s="11"/>
    </row>
    <row r="522" spans="1:8" ht="15" customHeight="1">
      <c r="A522" s="5">
        <v>44860</v>
      </c>
      <c r="B522" s="5">
        <v>44862</v>
      </c>
      <c r="C522" s="11" t="s">
        <v>11</v>
      </c>
      <c r="D522" s="12">
        <v>14.98</v>
      </c>
      <c r="E522" s="12">
        <v>0</v>
      </c>
      <c r="F522" s="9">
        <f t="shared" si="76"/>
        <v>95049.220000001122</v>
      </c>
      <c r="G522" s="13"/>
      <c r="H522" s="13"/>
    </row>
    <row r="523" spans="1:8" ht="15" customHeight="1">
      <c r="A523" s="5" t="s">
        <v>12</v>
      </c>
      <c r="B523" s="5">
        <v>44866</v>
      </c>
      <c r="C523" s="11" t="s">
        <v>63</v>
      </c>
      <c r="D523" s="12">
        <v>1330</v>
      </c>
      <c r="E523" s="12">
        <v>0</v>
      </c>
      <c r="F523" s="9">
        <f t="shared" si="76"/>
        <v>93719.220000001122</v>
      </c>
      <c r="G523" s="13"/>
      <c r="H523" s="11"/>
    </row>
    <row r="524" spans="1:8" ht="15" customHeight="1">
      <c r="A524" s="5">
        <v>44865</v>
      </c>
      <c r="B524" s="5">
        <v>44867</v>
      </c>
      <c r="C524" s="6" t="s">
        <v>35</v>
      </c>
      <c r="D524" s="16">
        <v>0</v>
      </c>
      <c r="E524" s="16">
        <v>130210.95</v>
      </c>
      <c r="F524" s="9">
        <f t="shared" si="76"/>
        <v>223930.17000000112</v>
      </c>
      <c r="G524" s="10"/>
      <c r="H524" s="11"/>
    </row>
    <row r="525" spans="1:8" ht="15" customHeight="1">
      <c r="A525" s="5">
        <v>44865</v>
      </c>
      <c r="B525" s="5">
        <v>44867</v>
      </c>
      <c r="C525" s="11" t="s">
        <v>11</v>
      </c>
      <c r="D525" s="12">
        <v>14.98</v>
      </c>
      <c r="E525" s="12">
        <v>0</v>
      </c>
      <c r="F525" s="9">
        <f t="shared" si="76"/>
        <v>223915.19000000111</v>
      </c>
      <c r="G525" s="13"/>
      <c r="H525" s="13"/>
    </row>
    <row r="526" spans="1:8" ht="15" customHeight="1">
      <c r="A526" s="5">
        <v>44866</v>
      </c>
      <c r="B526" s="5">
        <v>44868</v>
      </c>
      <c r="C526" s="6" t="s">
        <v>37</v>
      </c>
      <c r="D526" s="16">
        <v>0</v>
      </c>
      <c r="E526" s="16">
        <v>47893.68</v>
      </c>
      <c r="F526" s="9">
        <f t="shared" si="76"/>
        <v>271808.8700000011</v>
      </c>
      <c r="G526" s="10"/>
      <c r="H526" s="11"/>
    </row>
    <row r="527" spans="1:8" ht="15" customHeight="1">
      <c r="A527" s="5">
        <v>44866</v>
      </c>
      <c r="B527" s="5">
        <v>44868</v>
      </c>
      <c r="C527" s="6" t="s">
        <v>6</v>
      </c>
      <c r="D527" s="16">
        <v>0</v>
      </c>
      <c r="E527" s="16">
        <v>44151.99</v>
      </c>
      <c r="F527" s="9">
        <f t="shared" si="76"/>
        <v>315960.86000000109</v>
      </c>
      <c r="G527" s="10"/>
      <c r="H527" s="11"/>
    </row>
    <row r="528" spans="1:8" ht="15" customHeight="1">
      <c r="A528" s="5">
        <v>44866</v>
      </c>
      <c r="B528" s="5">
        <v>44868</v>
      </c>
      <c r="C528" s="11" t="s">
        <v>11</v>
      </c>
      <c r="D528" s="12">
        <v>14.98</v>
      </c>
      <c r="E528" s="12">
        <v>0</v>
      </c>
      <c r="F528" s="9">
        <f t="shared" si="76"/>
        <v>315945.88000000111</v>
      </c>
      <c r="G528" s="13"/>
      <c r="H528" s="13"/>
    </row>
    <row r="529" spans="1:8" ht="15" customHeight="1">
      <c r="A529" s="5">
        <v>44867</v>
      </c>
      <c r="B529" s="5">
        <v>44869</v>
      </c>
      <c r="C529" s="6" t="s">
        <v>30</v>
      </c>
      <c r="D529" s="16">
        <v>0</v>
      </c>
      <c r="E529" s="16">
        <v>48193.02</v>
      </c>
      <c r="F529" s="9">
        <f t="shared" ref="F529:F530" si="77">F528-D529+E529</f>
        <v>364138.90000000113</v>
      </c>
      <c r="G529" s="10"/>
      <c r="H529" s="11"/>
    </row>
    <row r="530" spans="1:8" ht="15" customHeight="1">
      <c r="A530" s="5">
        <v>44867</v>
      </c>
      <c r="B530" s="5">
        <v>44869</v>
      </c>
      <c r="C530" s="11" t="s">
        <v>11</v>
      </c>
      <c r="D530" s="12">
        <v>14.98</v>
      </c>
      <c r="E530" s="12">
        <v>0</v>
      </c>
      <c r="F530" s="21">
        <f t="shared" si="77"/>
        <v>364123.92000000115</v>
      </c>
      <c r="G530" s="13"/>
      <c r="H530" s="13"/>
    </row>
    <row r="531" spans="1:8" ht="15" customHeight="1">
      <c r="A531" s="5">
        <v>44872</v>
      </c>
      <c r="B531" s="5">
        <v>44874</v>
      </c>
      <c r="C531" s="6" t="s">
        <v>125</v>
      </c>
      <c r="D531" s="16">
        <v>0</v>
      </c>
      <c r="E531" s="16">
        <v>101774.08</v>
      </c>
      <c r="F531" s="9">
        <f t="shared" ref="F531:F532" si="78">F530-D531+E531</f>
        <v>465898.00000000116</v>
      </c>
      <c r="G531" s="10"/>
      <c r="H531" s="11"/>
    </row>
    <row r="532" spans="1:8" ht="15" customHeight="1">
      <c r="A532" s="5">
        <v>44872</v>
      </c>
      <c r="B532" s="5">
        <v>44874</v>
      </c>
      <c r="C532" s="11" t="s">
        <v>11</v>
      </c>
      <c r="D532" s="12">
        <v>14.98</v>
      </c>
      <c r="E532" s="12">
        <v>0</v>
      </c>
      <c r="F532" s="9">
        <f t="shared" si="78"/>
        <v>465883.02000000118</v>
      </c>
      <c r="G532" s="13"/>
      <c r="H532" s="13"/>
    </row>
    <row r="533" spans="1:8" ht="15" customHeight="1">
      <c r="A533" s="5">
        <v>44873</v>
      </c>
      <c r="B533" s="5">
        <v>44875</v>
      </c>
      <c r="C533" s="6" t="s">
        <v>116</v>
      </c>
      <c r="D533" s="16">
        <v>0</v>
      </c>
      <c r="E533" s="16">
        <v>92045.67</v>
      </c>
      <c r="F533" s="9">
        <f t="shared" ref="F533:F543" si="79">F532-D533+E533</f>
        <v>557928.69000000122</v>
      </c>
      <c r="G533" s="10"/>
      <c r="H533" s="11"/>
    </row>
    <row r="534" spans="1:8" ht="15" customHeight="1">
      <c r="A534" s="5">
        <v>44873</v>
      </c>
      <c r="B534" s="5">
        <v>44875</v>
      </c>
      <c r="C534" s="11" t="s">
        <v>11</v>
      </c>
      <c r="D534" s="12">
        <v>14.98</v>
      </c>
      <c r="E534" s="12">
        <v>0</v>
      </c>
      <c r="F534" s="9">
        <f t="shared" si="79"/>
        <v>557913.71000000124</v>
      </c>
      <c r="G534" s="13"/>
      <c r="H534" s="13"/>
    </row>
    <row r="535" spans="1:8" ht="15" customHeight="1">
      <c r="A535" s="5" t="s">
        <v>12</v>
      </c>
      <c r="B535" s="5">
        <v>44877</v>
      </c>
      <c r="C535" s="11" t="s">
        <v>84</v>
      </c>
      <c r="D535" s="12">
        <v>20</v>
      </c>
      <c r="E535" s="12">
        <v>0</v>
      </c>
      <c r="F535" s="9">
        <f t="shared" si="79"/>
        <v>557893.71000000124</v>
      </c>
      <c r="G535" s="11"/>
      <c r="H535" s="11"/>
    </row>
    <row r="536" spans="1:8" ht="15" customHeight="1">
      <c r="A536" s="5">
        <v>44876</v>
      </c>
      <c r="B536" s="5">
        <v>44880</v>
      </c>
      <c r="C536" s="6" t="s">
        <v>36</v>
      </c>
      <c r="D536" s="16">
        <v>91702.67</v>
      </c>
      <c r="E536" s="16">
        <v>0</v>
      </c>
      <c r="F536" s="9">
        <f t="shared" si="79"/>
        <v>466191.04000000126</v>
      </c>
      <c r="G536" s="10"/>
      <c r="H536" s="11"/>
    </row>
    <row r="537" spans="1:8" ht="15" customHeight="1">
      <c r="A537" s="5">
        <v>44876</v>
      </c>
      <c r="B537" s="5">
        <v>44880</v>
      </c>
      <c r="C537" s="11" t="s">
        <v>11</v>
      </c>
      <c r="D537" s="12">
        <v>14.98</v>
      </c>
      <c r="E537" s="12">
        <v>0</v>
      </c>
      <c r="F537" s="9">
        <f t="shared" si="79"/>
        <v>466176.06000000128</v>
      </c>
      <c r="G537" s="13"/>
      <c r="H537" s="13"/>
    </row>
    <row r="538" spans="1:8" ht="15" customHeight="1">
      <c r="A538" s="5">
        <v>44880</v>
      </c>
      <c r="B538" s="5">
        <v>44882</v>
      </c>
      <c r="C538" s="6" t="s">
        <v>117</v>
      </c>
      <c r="D538" s="16">
        <v>186411.97</v>
      </c>
      <c r="E538" s="16">
        <v>0</v>
      </c>
      <c r="F538" s="9">
        <f t="shared" si="79"/>
        <v>279764.09000000125</v>
      </c>
      <c r="G538" s="10"/>
      <c r="H538" s="11"/>
    </row>
    <row r="539" spans="1:8" ht="15" customHeight="1">
      <c r="A539" s="5">
        <v>44880</v>
      </c>
      <c r="B539" s="5">
        <v>44882</v>
      </c>
      <c r="C539" s="6" t="s">
        <v>54</v>
      </c>
      <c r="D539" s="16">
        <v>0</v>
      </c>
      <c r="E539" s="16">
        <v>32807.18</v>
      </c>
      <c r="F539" s="9">
        <f t="shared" si="79"/>
        <v>312571.27000000124</v>
      </c>
      <c r="G539" s="10"/>
      <c r="H539" s="11"/>
    </row>
    <row r="540" spans="1:8" ht="15" customHeight="1">
      <c r="A540" s="5">
        <v>44880</v>
      </c>
      <c r="B540" s="5">
        <v>44882</v>
      </c>
      <c r="C540" s="11" t="s">
        <v>11</v>
      </c>
      <c r="D540" s="12">
        <v>14.98</v>
      </c>
      <c r="E540" s="12">
        <v>0</v>
      </c>
      <c r="F540" s="9">
        <f t="shared" si="79"/>
        <v>312556.29000000126</v>
      </c>
      <c r="G540" s="13"/>
      <c r="H540" s="13"/>
    </row>
    <row r="541" spans="1:8" ht="15" customHeight="1">
      <c r="A541" s="5">
        <v>44883</v>
      </c>
      <c r="B541" s="5">
        <v>44887</v>
      </c>
      <c r="C541" s="11" t="s">
        <v>124</v>
      </c>
      <c r="D541" s="12">
        <v>240</v>
      </c>
      <c r="E541" s="12">
        <v>0</v>
      </c>
      <c r="F541" s="21">
        <f t="shared" si="79"/>
        <v>312316.29000000126</v>
      </c>
      <c r="G541" s="13"/>
      <c r="H541" s="13"/>
    </row>
    <row r="542" spans="1:8" ht="15" customHeight="1">
      <c r="A542" s="5">
        <v>44883</v>
      </c>
      <c r="B542" s="5">
        <v>44887</v>
      </c>
      <c r="C542" s="6" t="s">
        <v>126</v>
      </c>
      <c r="D542" s="16">
        <v>105232.56</v>
      </c>
      <c r="E542" s="16">
        <v>0</v>
      </c>
      <c r="F542" s="9">
        <f t="shared" si="79"/>
        <v>207083.73000000126</v>
      </c>
      <c r="G542" s="10"/>
      <c r="H542" s="11"/>
    </row>
    <row r="543" spans="1:8" ht="15" customHeight="1">
      <c r="A543" s="5">
        <v>44883</v>
      </c>
      <c r="B543" s="5">
        <v>44887</v>
      </c>
      <c r="C543" s="11" t="s">
        <v>11</v>
      </c>
      <c r="D543" s="12">
        <v>14.98</v>
      </c>
      <c r="E543" s="12">
        <v>0</v>
      </c>
      <c r="F543" s="9">
        <f t="shared" si="79"/>
        <v>207068.75000000125</v>
      </c>
      <c r="G543" s="13"/>
      <c r="H543" s="13"/>
    </row>
    <row r="544" spans="1:8" ht="15" customHeight="1">
      <c r="A544" s="5">
        <v>44886</v>
      </c>
      <c r="B544" s="5">
        <v>44888</v>
      </c>
      <c r="C544" s="6" t="s">
        <v>54</v>
      </c>
      <c r="D544" s="16">
        <v>0</v>
      </c>
      <c r="E544" s="16">
        <v>34004.51</v>
      </c>
      <c r="F544" s="9">
        <f t="shared" ref="F544:F546" si="80">F543-D544+E544</f>
        <v>241073.26000000126</v>
      </c>
      <c r="G544" s="10"/>
      <c r="H544" s="11"/>
    </row>
    <row r="545" spans="1:8" ht="15" customHeight="1">
      <c r="A545" s="5">
        <v>44886</v>
      </c>
      <c r="B545" s="5">
        <v>44888</v>
      </c>
      <c r="C545" s="11" t="s">
        <v>11</v>
      </c>
      <c r="D545" s="12">
        <v>14.98</v>
      </c>
      <c r="E545" s="12">
        <v>0</v>
      </c>
      <c r="F545" s="9">
        <f t="shared" si="80"/>
        <v>241058.28000000125</v>
      </c>
      <c r="G545" s="13"/>
      <c r="H545" s="13"/>
    </row>
    <row r="546" spans="1:8" ht="15" customHeight="1">
      <c r="A546" s="5">
        <v>44887</v>
      </c>
      <c r="B546" s="5">
        <v>44889</v>
      </c>
      <c r="C546" s="6" t="s">
        <v>36</v>
      </c>
      <c r="D546" s="16">
        <v>94709.31</v>
      </c>
      <c r="E546" s="16">
        <v>0</v>
      </c>
      <c r="F546" s="9">
        <f t="shared" si="80"/>
        <v>146348.97000000125</v>
      </c>
      <c r="G546" s="10"/>
      <c r="H546" s="11"/>
    </row>
    <row r="547" spans="1:8" ht="15" customHeight="1">
      <c r="A547" s="5">
        <v>44887</v>
      </c>
      <c r="B547" s="5">
        <v>44889</v>
      </c>
      <c r="C547" s="6" t="s">
        <v>126</v>
      </c>
      <c r="D547" s="16">
        <v>0</v>
      </c>
      <c r="E547" s="16">
        <v>109756.36</v>
      </c>
      <c r="F547" s="9">
        <f t="shared" ref="F547:F553" si="81">F546-D547+E547</f>
        <v>256105.33000000124</v>
      </c>
      <c r="G547" s="10"/>
      <c r="H547" s="11"/>
    </row>
    <row r="548" spans="1:8" ht="15" customHeight="1">
      <c r="A548" s="5">
        <v>44887</v>
      </c>
      <c r="B548" s="5">
        <v>44889</v>
      </c>
      <c r="C548" s="11" t="s">
        <v>11</v>
      </c>
      <c r="D548" s="12">
        <v>14.98</v>
      </c>
      <c r="E548" s="12">
        <v>0</v>
      </c>
      <c r="F548" s="21">
        <f t="shared" si="81"/>
        <v>256090.35000000123</v>
      </c>
      <c r="G548" s="13"/>
      <c r="H548" s="13"/>
    </row>
    <row r="549" spans="1:8" ht="15" customHeight="1">
      <c r="A549" s="5" t="s">
        <v>12</v>
      </c>
      <c r="B549" s="5">
        <v>44897</v>
      </c>
      <c r="C549" s="6" t="s">
        <v>120</v>
      </c>
      <c r="D549" s="7">
        <v>0</v>
      </c>
      <c r="E549" s="8">
        <v>5400</v>
      </c>
      <c r="F549" s="9">
        <f t="shared" si="81"/>
        <v>261490.35000000123</v>
      </c>
      <c r="G549" s="10"/>
      <c r="H549" s="11"/>
    </row>
    <row r="550" spans="1:8" ht="15" customHeight="1">
      <c r="A550" s="5">
        <v>44895</v>
      </c>
      <c r="B550" s="5">
        <v>44897</v>
      </c>
      <c r="C550" s="6" t="s">
        <v>127</v>
      </c>
      <c r="D550" s="16">
        <v>75166.12</v>
      </c>
      <c r="E550" s="16">
        <v>0</v>
      </c>
      <c r="F550" s="9">
        <f t="shared" si="81"/>
        <v>186324.23000000123</v>
      </c>
      <c r="G550" s="10"/>
      <c r="H550" s="11"/>
    </row>
    <row r="551" spans="1:8" ht="15" customHeight="1">
      <c r="A551" s="5">
        <v>44895</v>
      </c>
      <c r="B551" s="5">
        <v>44897</v>
      </c>
      <c r="C551" s="11" t="s">
        <v>11</v>
      </c>
      <c r="D551" s="12">
        <v>14.98</v>
      </c>
      <c r="E551" s="12">
        <v>0</v>
      </c>
      <c r="F551" s="9">
        <f t="shared" si="81"/>
        <v>186309.25000000122</v>
      </c>
      <c r="G551" s="13"/>
      <c r="H551" s="13"/>
    </row>
    <row r="552" spans="1:8" ht="15" customHeight="1">
      <c r="A552" s="5" t="s">
        <v>12</v>
      </c>
      <c r="B552" s="5">
        <v>44901</v>
      </c>
      <c r="C552" s="6" t="s">
        <v>16</v>
      </c>
      <c r="D552" s="7">
        <v>0</v>
      </c>
      <c r="E552" s="8">
        <v>1350</v>
      </c>
      <c r="F552" s="9">
        <f t="shared" si="81"/>
        <v>187659.25000000122</v>
      </c>
      <c r="G552" s="10"/>
      <c r="H552" s="11"/>
    </row>
    <row r="553" spans="1:8" ht="15" customHeight="1">
      <c r="A553" s="5" t="s">
        <v>12</v>
      </c>
      <c r="B553" s="5">
        <v>44901</v>
      </c>
      <c r="C553" s="6" t="s">
        <v>19</v>
      </c>
      <c r="D553" s="7">
        <v>0</v>
      </c>
      <c r="E553" s="8">
        <v>10400</v>
      </c>
      <c r="F553" s="21">
        <f t="shared" si="81"/>
        <v>198059.25000000122</v>
      </c>
      <c r="G553" s="10"/>
      <c r="H553" s="11"/>
    </row>
    <row r="554" spans="1:8" ht="15" customHeight="1">
      <c r="A554" s="5" t="s">
        <v>12</v>
      </c>
      <c r="B554" s="5">
        <v>44903</v>
      </c>
      <c r="C554" s="6" t="s">
        <v>28</v>
      </c>
      <c r="D554" s="7">
        <v>0</v>
      </c>
      <c r="E554" s="8">
        <v>36800</v>
      </c>
      <c r="F554" s="9">
        <f t="shared" ref="F554" si="82">F553-D554+E554</f>
        <v>234859.25000000122</v>
      </c>
      <c r="G554" s="10"/>
      <c r="H554" s="11"/>
    </row>
    <row r="555" spans="1:8" ht="15" customHeight="1">
      <c r="A555" s="5" t="s">
        <v>12</v>
      </c>
      <c r="B555" s="5">
        <v>44903</v>
      </c>
      <c r="C555" s="6" t="s">
        <v>28</v>
      </c>
      <c r="D555" s="7">
        <v>6900</v>
      </c>
      <c r="E555" s="8">
        <v>0</v>
      </c>
      <c r="F555" s="9">
        <f t="shared" ref="F555:F565" si="83">F554-D555+E555</f>
        <v>227959.25000000122</v>
      </c>
      <c r="G555" s="10"/>
      <c r="H555" s="11"/>
    </row>
    <row r="556" spans="1:8" ht="15" customHeight="1">
      <c r="A556" s="5" t="s">
        <v>12</v>
      </c>
      <c r="B556" s="5">
        <v>44904</v>
      </c>
      <c r="C556" s="6" t="s">
        <v>18</v>
      </c>
      <c r="D556" s="7">
        <v>0</v>
      </c>
      <c r="E556" s="8">
        <v>49800</v>
      </c>
      <c r="F556" s="9">
        <f t="shared" si="83"/>
        <v>277759.25000000122</v>
      </c>
      <c r="G556" s="10"/>
      <c r="H556" s="11"/>
    </row>
    <row r="557" spans="1:8" ht="15" customHeight="1">
      <c r="A557" s="5" t="s">
        <v>12</v>
      </c>
      <c r="B557" s="5">
        <v>44905</v>
      </c>
      <c r="C557" s="11" t="s">
        <v>84</v>
      </c>
      <c r="D557" s="12">
        <v>20</v>
      </c>
      <c r="E557" s="12">
        <v>0</v>
      </c>
      <c r="F557" s="9">
        <f t="shared" si="83"/>
        <v>277739.25000000122</v>
      </c>
      <c r="G557" s="11"/>
      <c r="H557" s="11"/>
    </row>
    <row r="558" spans="1:8" ht="15" customHeight="1">
      <c r="A558" s="5" t="s">
        <v>12</v>
      </c>
      <c r="B558" s="5">
        <v>44908</v>
      </c>
      <c r="C558" s="6" t="s">
        <v>86</v>
      </c>
      <c r="D558" s="7">
        <v>0</v>
      </c>
      <c r="E558" s="8">
        <v>6893.1</v>
      </c>
      <c r="F558" s="9">
        <f t="shared" si="83"/>
        <v>284632.3500000012</v>
      </c>
      <c r="G558" s="10"/>
      <c r="H558" s="11"/>
    </row>
    <row r="559" spans="1:8" ht="13.5" customHeight="1">
      <c r="A559" s="5" t="s">
        <v>12</v>
      </c>
      <c r="B559" s="5">
        <v>44910</v>
      </c>
      <c r="C559" s="6" t="s">
        <v>113</v>
      </c>
      <c r="D559" s="7">
        <v>0</v>
      </c>
      <c r="E559" s="8">
        <v>6818.4</v>
      </c>
      <c r="F559" s="9">
        <f t="shared" si="83"/>
        <v>291450.75000000122</v>
      </c>
      <c r="G559" s="10"/>
      <c r="H559" s="11"/>
    </row>
    <row r="560" spans="1:8" ht="15" customHeight="1">
      <c r="A560" s="5" t="s">
        <v>12</v>
      </c>
      <c r="B560" s="5">
        <v>44910</v>
      </c>
      <c r="C560" s="6" t="s">
        <v>32</v>
      </c>
      <c r="D560" s="7">
        <v>0</v>
      </c>
      <c r="E560" s="8">
        <v>864</v>
      </c>
      <c r="F560" s="9">
        <f t="shared" si="83"/>
        <v>292314.75000000122</v>
      </c>
      <c r="G560" s="10"/>
      <c r="H560" s="11"/>
    </row>
    <row r="561" spans="1:8" ht="15" customHeight="1">
      <c r="A561" s="5">
        <v>44908</v>
      </c>
      <c r="B561" s="5">
        <v>44910</v>
      </c>
      <c r="C561" s="6" t="s">
        <v>30</v>
      </c>
      <c r="D561" s="16">
        <v>51112.959999999999</v>
      </c>
      <c r="E561" s="16">
        <v>0</v>
      </c>
      <c r="F561" s="9">
        <f t="shared" si="83"/>
        <v>241201.79000000123</v>
      </c>
      <c r="G561" s="10"/>
      <c r="H561" s="11"/>
    </row>
    <row r="562" spans="1:8" ht="15" customHeight="1">
      <c r="A562" s="5">
        <v>44908</v>
      </c>
      <c r="B562" s="5">
        <v>44910</v>
      </c>
      <c r="C562" s="11" t="s">
        <v>11</v>
      </c>
      <c r="D562" s="12">
        <v>14.98</v>
      </c>
      <c r="E562" s="12">
        <v>0</v>
      </c>
      <c r="F562" s="9">
        <f t="shared" si="83"/>
        <v>241186.81000000122</v>
      </c>
      <c r="G562" s="13"/>
      <c r="H562" s="13"/>
    </row>
    <row r="563" spans="1:8" ht="15" customHeight="1">
      <c r="A563" s="5" t="s">
        <v>12</v>
      </c>
      <c r="B563" s="5">
        <v>44910</v>
      </c>
      <c r="C563" s="11" t="s">
        <v>39</v>
      </c>
      <c r="D563" s="12">
        <v>240</v>
      </c>
      <c r="E563" s="12">
        <v>0</v>
      </c>
      <c r="F563" s="21">
        <f t="shared" si="83"/>
        <v>240946.81000000122</v>
      </c>
      <c r="G563" s="13"/>
      <c r="H563" s="13"/>
    </row>
    <row r="564" spans="1:8" ht="15" customHeight="1">
      <c r="A564" s="5">
        <v>44911</v>
      </c>
      <c r="B564" s="5">
        <v>44915</v>
      </c>
      <c r="C564" s="6" t="s">
        <v>7</v>
      </c>
      <c r="D564" s="16">
        <v>101023.27</v>
      </c>
      <c r="E564" s="16">
        <v>0</v>
      </c>
      <c r="F564" s="9">
        <f t="shared" si="83"/>
        <v>139923.5400000012</v>
      </c>
      <c r="G564" s="10"/>
      <c r="H564" s="11"/>
    </row>
    <row r="565" spans="1:8" ht="15" customHeight="1">
      <c r="A565" s="5">
        <v>44911</v>
      </c>
      <c r="B565" s="5">
        <v>44915</v>
      </c>
      <c r="C565" s="11" t="s">
        <v>11</v>
      </c>
      <c r="D565" s="12">
        <v>14.98</v>
      </c>
      <c r="E565" s="12">
        <v>0</v>
      </c>
      <c r="F565" s="9">
        <f t="shared" si="83"/>
        <v>139908.56000000119</v>
      </c>
      <c r="G565" s="13"/>
      <c r="H565" s="13"/>
    </row>
    <row r="566" spans="1:8" ht="15" customHeight="1">
      <c r="A566" s="5">
        <v>44915</v>
      </c>
      <c r="B566" s="5">
        <v>44917</v>
      </c>
      <c r="C566" s="6" t="s">
        <v>7</v>
      </c>
      <c r="D566" s="16">
        <v>0</v>
      </c>
      <c r="E566" s="16">
        <v>107760.79</v>
      </c>
      <c r="F566" s="9">
        <f t="shared" ref="F566" si="84">F565-D566+E566</f>
        <v>247669.3500000012</v>
      </c>
      <c r="G566" s="10"/>
      <c r="H566" s="11"/>
    </row>
    <row r="567" spans="1:8" ht="15" customHeight="1">
      <c r="A567" s="5">
        <v>44915</v>
      </c>
      <c r="B567" s="5">
        <v>44917</v>
      </c>
      <c r="C567" s="6" t="s">
        <v>128</v>
      </c>
      <c r="D567" s="16">
        <v>120265.79</v>
      </c>
      <c r="E567" s="16">
        <v>0</v>
      </c>
      <c r="F567" s="9">
        <f t="shared" ref="F567:F568" si="85">F566-D567+E567</f>
        <v>127403.56000000121</v>
      </c>
      <c r="G567" s="10"/>
      <c r="H567" s="11"/>
    </row>
    <row r="568" spans="1:8" ht="15" customHeight="1">
      <c r="A568" s="5">
        <v>44915</v>
      </c>
      <c r="B568" s="5">
        <v>44917</v>
      </c>
      <c r="C568" s="11" t="s">
        <v>11</v>
      </c>
      <c r="D568" s="12">
        <v>14.98</v>
      </c>
      <c r="E568" s="12">
        <v>0</v>
      </c>
      <c r="F568" s="9">
        <f t="shared" si="85"/>
        <v>127388.58000000121</v>
      </c>
      <c r="G568" s="13"/>
      <c r="H568" s="13"/>
    </row>
    <row r="569" spans="1:8" ht="15" customHeight="1">
      <c r="A569" s="5">
        <v>44916</v>
      </c>
      <c r="B569" s="5">
        <v>44918</v>
      </c>
      <c r="C569" s="6" t="s">
        <v>129</v>
      </c>
      <c r="D569" s="16">
        <v>93957.64</v>
      </c>
      <c r="E569" s="16">
        <v>0</v>
      </c>
      <c r="F569" s="9">
        <f t="shared" ref="F569:F572" si="86">F568-D569+E569</f>
        <v>33430.94000000121</v>
      </c>
      <c r="G569" s="10"/>
      <c r="H569" s="11"/>
    </row>
    <row r="570" spans="1:8" ht="15" customHeight="1">
      <c r="A570" s="5">
        <v>44916</v>
      </c>
      <c r="B570" s="5">
        <v>44918</v>
      </c>
      <c r="C570" s="11" t="s">
        <v>11</v>
      </c>
      <c r="D570" s="12">
        <v>14.98</v>
      </c>
      <c r="E570" s="12">
        <v>0</v>
      </c>
      <c r="F570" s="9">
        <f t="shared" si="86"/>
        <v>33415.960000001207</v>
      </c>
      <c r="G570" s="13"/>
      <c r="H570" s="13"/>
    </row>
    <row r="571" spans="1:8" ht="15" customHeight="1">
      <c r="A571" s="5">
        <v>44918</v>
      </c>
      <c r="B571" s="5">
        <v>44922</v>
      </c>
      <c r="C571" s="6" t="s">
        <v>54</v>
      </c>
      <c r="D571" s="16">
        <v>0</v>
      </c>
      <c r="E571" s="16">
        <v>34962.39</v>
      </c>
      <c r="F571" s="9">
        <f t="shared" si="86"/>
        <v>68378.350000001199</v>
      </c>
      <c r="G571" s="10"/>
      <c r="H571" s="11"/>
    </row>
    <row r="572" spans="1:8" ht="15" customHeight="1">
      <c r="A572" s="5">
        <v>44918</v>
      </c>
      <c r="B572" s="5">
        <v>44922</v>
      </c>
      <c r="C572" s="11" t="s">
        <v>11</v>
      </c>
      <c r="D572" s="12">
        <v>14.98</v>
      </c>
      <c r="E572" s="12">
        <v>0</v>
      </c>
      <c r="F572" s="9">
        <f t="shared" si="86"/>
        <v>68363.370000001203</v>
      </c>
      <c r="G572" s="13"/>
      <c r="H572" s="13"/>
    </row>
    <row r="573" spans="1:8" ht="15" customHeight="1">
      <c r="A573" s="5">
        <v>44922</v>
      </c>
      <c r="B573" s="5">
        <v>44924</v>
      </c>
      <c r="C573" s="6" t="s">
        <v>37</v>
      </c>
      <c r="D573" s="16">
        <v>0</v>
      </c>
      <c r="E573" s="16">
        <v>49140.91</v>
      </c>
      <c r="F573" s="9">
        <f t="shared" ref="F573:F574" si="87">F572-D573+E573</f>
        <v>117504.28000000121</v>
      </c>
      <c r="G573" s="10"/>
      <c r="H573" s="11"/>
    </row>
    <row r="574" spans="1:8" ht="15" customHeight="1">
      <c r="A574" s="5">
        <v>44922</v>
      </c>
      <c r="B574" s="5">
        <v>44924</v>
      </c>
      <c r="C574" s="11" t="s">
        <v>11</v>
      </c>
      <c r="D574" s="12">
        <v>14.98</v>
      </c>
      <c r="E574" s="12">
        <v>0</v>
      </c>
      <c r="F574" s="9">
        <f t="shared" si="87"/>
        <v>117489.30000000121</v>
      </c>
      <c r="G574" s="13"/>
      <c r="H574" s="13"/>
    </row>
    <row r="575" spans="1:8" ht="15" customHeight="1">
      <c r="A575" s="5">
        <v>44923</v>
      </c>
      <c r="B575" s="5">
        <v>44925</v>
      </c>
      <c r="C575" s="6" t="s">
        <v>37</v>
      </c>
      <c r="D575" s="16">
        <v>0</v>
      </c>
      <c r="E575" s="16">
        <v>50637.599999999999</v>
      </c>
      <c r="F575" s="9">
        <f t="shared" ref="F575" si="88">F574-D575+E575</f>
        <v>168126.90000000122</v>
      </c>
      <c r="G575" s="10"/>
      <c r="H575" s="11"/>
    </row>
    <row r="576" spans="1:8" ht="15" customHeight="1">
      <c r="A576" s="5">
        <v>44923</v>
      </c>
      <c r="B576" s="5">
        <v>44925</v>
      </c>
      <c r="C576" s="6" t="s">
        <v>112</v>
      </c>
      <c r="D576" s="16">
        <v>0</v>
      </c>
      <c r="E576" s="16">
        <v>92794.01</v>
      </c>
      <c r="F576" s="9">
        <f t="shared" ref="F576:F577" si="89">F575-D576+E576</f>
        <v>260920.9100000012</v>
      </c>
      <c r="G576" s="10"/>
      <c r="H576" s="11"/>
    </row>
    <row r="577" spans="1:8" ht="15" customHeight="1">
      <c r="A577" s="5">
        <v>44923</v>
      </c>
      <c r="B577" s="5">
        <v>44925</v>
      </c>
      <c r="C577" s="11" t="s">
        <v>11</v>
      </c>
      <c r="D577" s="12">
        <v>14.98</v>
      </c>
      <c r="E577" s="12">
        <v>0</v>
      </c>
      <c r="F577" s="9">
        <f t="shared" si="89"/>
        <v>260905.93000000119</v>
      </c>
      <c r="G577" s="13"/>
      <c r="H577" s="13"/>
    </row>
    <row r="578" spans="1:8" ht="15" customHeight="1">
      <c r="A578" s="5">
        <v>44925</v>
      </c>
      <c r="B578" s="5">
        <v>44931</v>
      </c>
      <c r="C578" s="6" t="s">
        <v>112</v>
      </c>
      <c r="D578" s="16">
        <v>0</v>
      </c>
      <c r="E578" s="16">
        <v>49390.36</v>
      </c>
      <c r="F578" s="9">
        <f t="shared" ref="F578:F579" si="90">F577-D578+E578</f>
        <v>310296.2900000012</v>
      </c>
      <c r="G578" s="10"/>
      <c r="H578" s="11"/>
    </row>
    <row r="579" spans="1:8" ht="15" customHeight="1">
      <c r="A579" s="5">
        <v>44925</v>
      </c>
      <c r="B579" s="5">
        <v>44931</v>
      </c>
      <c r="C579" s="11" t="s">
        <v>11</v>
      </c>
      <c r="D579" s="12">
        <v>14.98</v>
      </c>
      <c r="E579" s="12">
        <v>0</v>
      </c>
      <c r="F579" s="9">
        <f t="shared" si="90"/>
        <v>310281.31000000122</v>
      </c>
      <c r="G579" s="13"/>
      <c r="H579" s="13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Santi Soontarinka</dc:creator>
  <cp:keywords/>
  <dc:description/>
  <cp:lastModifiedBy>Santi Soontarinka</cp:lastModifiedBy>
  <cp:revision/>
  <dcterms:created xsi:type="dcterms:W3CDTF">2018-06-27T07:48:07Z</dcterms:created>
  <dcterms:modified xsi:type="dcterms:W3CDTF">2022-12-30T14:08:12Z</dcterms:modified>
  <cp:category/>
  <cp:contentStatus/>
</cp:coreProperties>
</file>