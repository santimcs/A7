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11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598" documentId="8_{B00F7D7D-2236-4C8B-840E-2CD3F92C0379}" xr6:coauthVersionLast="47" xr6:coauthVersionMax="47" xr10:uidLastSave="{4F95826F-23BD-44EA-BB22-6489128A70BC}"/>
  <bookViews>
    <workbookView xWindow="8076" yWindow="1416" windowWidth="13908" windowHeight="9516" tabRatio="445" xr2:uid="{00000000-000D-0000-FFFF-FFFF00000000}"/>
  </bookViews>
  <sheets>
    <sheet name="JAN23" sheetId="58" r:id="rId1"/>
    <sheet name="JAN22" sheetId="38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58" l="1"/>
  <c r="H4" i="58"/>
  <c r="H3" i="58"/>
  <c r="G7" i="58"/>
  <c r="E7" i="58"/>
  <c r="H2" i="58"/>
  <c r="H13" i="41"/>
  <c r="H16" i="39"/>
  <c r="H12" i="58"/>
  <c r="H6" i="58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2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5" i="41"/>
  <c r="H10" i="41"/>
  <c r="H11" i="41"/>
  <c r="E16" i="41"/>
  <c r="G16" i="41"/>
  <c r="H9" i="41"/>
  <c r="H14" i="41"/>
  <c r="G4" i="41"/>
  <c r="H4" i="41" s="1"/>
  <c r="H12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17" i="39"/>
  <c r="H20" i="39"/>
  <c r="H4" i="39"/>
  <c r="H10" i="39"/>
  <c r="H27" i="39"/>
  <c r="H5" i="39"/>
  <c r="H9" i="39"/>
  <c r="H21" i="39"/>
  <c r="H7" i="39"/>
  <c r="H26" i="39"/>
  <c r="H25" i="39"/>
  <c r="H8" i="39"/>
  <c r="H23" i="39"/>
  <c r="H19" i="39"/>
  <c r="H13" i="39"/>
  <c r="H12" i="39"/>
  <c r="H11" i="39"/>
  <c r="H22" i="39"/>
  <c r="H15" i="39"/>
  <c r="H18" i="39"/>
  <c r="G28" i="39"/>
  <c r="E28" i="39"/>
  <c r="H14" i="39"/>
  <c r="H33" i="39"/>
  <c r="H6" i="39"/>
  <c r="H21" i="38"/>
  <c r="H20" i="38"/>
  <c r="H22" i="38"/>
  <c r="H18" i="38"/>
  <c r="H17" i="38"/>
  <c r="H19" i="38"/>
  <c r="H8" i="38"/>
  <c r="H14" i="38"/>
  <c r="H13" i="38"/>
  <c r="H12" i="38"/>
  <c r="H7" i="38"/>
  <c r="H6" i="38"/>
  <c r="G23" i="38"/>
  <c r="E23" i="38"/>
  <c r="H16" i="38"/>
  <c r="H15" i="38"/>
  <c r="H11" i="38"/>
  <c r="H10" i="38"/>
  <c r="H9" i="38"/>
  <c r="H3" i="38"/>
  <c r="H2" i="38"/>
  <c r="H4" i="38"/>
  <c r="H5" i="38"/>
  <c r="H28" i="38"/>
  <c r="H7" i="58" l="1"/>
  <c r="H9" i="58" s="1"/>
  <c r="H13" i="58" s="1"/>
  <c r="H28" i="39"/>
  <c r="H30" i="39"/>
  <c r="H34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6" i="41"/>
  <c r="H17" i="41" s="1"/>
  <c r="H19" i="41" s="1"/>
  <c r="H23" i="41" s="1"/>
  <c r="H25" i="41" s="1"/>
  <c r="H18" i="40"/>
  <c r="H4" i="40"/>
  <c r="H8" i="40" s="1"/>
  <c r="H19" i="40" s="1"/>
  <c r="H21" i="40" s="1"/>
  <c r="H23" i="38"/>
  <c r="H25" i="38"/>
  <c r="H29" i="38" s="1"/>
  <c r="H25" i="40" l="1"/>
  <c r="H27" i="40" s="1"/>
</calcChain>
</file>

<file path=xl/sharedStrings.xml><?xml version="1.0" encoding="utf-8"?>
<sst xmlns="http://schemas.openxmlformats.org/spreadsheetml/2006/main" count="485" uniqueCount="100">
  <si>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</si>
  <si>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</si>
  <si>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</si>
  <si>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</si>
  <si>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</si>
  <si>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</si>
  <si>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</si>
  <si>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</si>
  <si>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</si>
  <si>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JMART</t>
  </si>
  <si>
    <t>SINGER</t>
  </si>
  <si>
    <t>PTTGC</t>
  </si>
  <si>
    <t>STA</t>
  </si>
  <si>
    <t>B/F Expense</t>
  </si>
  <si>
    <t>January Exp</t>
  </si>
  <si>
    <t>C/F Expense</t>
  </si>
  <si>
    <t>Profit - Expense</t>
  </si>
  <si>
    <t>IVL</t>
  </si>
  <si>
    <t>DCC</t>
  </si>
  <si>
    <t>EPG</t>
  </si>
  <si>
    <t>IMH</t>
  </si>
  <si>
    <t>KBANK</t>
  </si>
  <si>
    <t>SAT</t>
  </si>
  <si>
    <t>SYNEX</t>
  </si>
  <si>
    <t>RCL</t>
  </si>
  <si>
    <t>SIS</t>
  </si>
  <si>
    <t>MCS</t>
  </si>
  <si>
    <t>NER</t>
  </si>
  <si>
    <t>TOP</t>
  </si>
  <si>
    <t>LPF-DIV</t>
  </si>
  <si>
    <t xml:space="preserve"> </t>
  </si>
  <si>
    <t>BGRIM</t>
  </si>
  <si>
    <t>CKP</t>
  </si>
  <si>
    <t>CLP</t>
  </si>
  <si>
    <t>DIF</t>
  </si>
  <si>
    <t>GLOBAL</t>
  </si>
  <si>
    <t>IP</t>
  </si>
  <si>
    <t>LPF</t>
  </si>
  <si>
    <t>NOBLE</t>
  </si>
  <si>
    <t>RATCH</t>
  </si>
  <si>
    <t>TSE</t>
  </si>
  <si>
    <t>TSTH</t>
  </si>
  <si>
    <t>TU</t>
  </si>
  <si>
    <t>February Exp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</si>
  <si>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</si>
  <si>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</si>
  <si>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</si>
  <si>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</si>
  <si>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</si>
  <si>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</si>
  <si>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</si>
  <si>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</si>
  <si>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</si>
  <si>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DOHOME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</si>
  <si>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</si>
  <si>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</si>
  <si>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</si>
  <si>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</si>
  <si>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</si>
  <si>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</si>
  <si>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</si>
  <si>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 xml:space="preserve">SCC </t>
  </si>
  <si>
    <t xml:space="preserve">PTT </t>
  </si>
  <si>
    <t>AIMIRT</t>
  </si>
  <si>
    <t>CPNCG</t>
  </si>
  <si>
    <t>JASIF</t>
  </si>
  <si>
    <t>PTT</t>
  </si>
  <si>
    <t>TISCO</t>
  </si>
  <si>
    <t>April Exp</t>
  </si>
  <si>
    <t>TMT</t>
  </si>
  <si>
    <t>KCE</t>
  </si>
  <si>
    <t>SPALI</t>
  </si>
  <si>
    <t>ASP</t>
  </si>
  <si>
    <t>TPIPL</t>
  </si>
  <si>
    <t>MAKRO</t>
  </si>
  <si>
    <t>BCH</t>
  </si>
  <si>
    <t>ORI</t>
  </si>
  <si>
    <t>RJH</t>
  </si>
  <si>
    <t>SENA</t>
  </si>
  <si>
    <t>HREIT</t>
  </si>
  <si>
    <t>May Exp</t>
  </si>
  <si>
    <t>WHART</t>
  </si>
  <si>
    <t>WHAIR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</si>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</sst>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89" fontId="6" fillId="0" borderId="0" xfId="0" applyNumberFormat="1" applyFont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13"/>
  <sheetViews>
    <sheetView tabSelected="1" workbookViewId="0">
      <pane ySplit="1" topLeftCell="A2" activePane="bottomLeft" state="frozen"/>
      <selection pane="bottomLeft" activeCell="H7" sqref="H7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:H5" si="0">G2-E2</f>
        <v>4074.7400000000052</v>
      </c>
      <c r="I2" s="15"/>
      <c r="J2" s="15"/>
      <c r="K2" s="6"/>
    </row>
    <row r="3" spans="1:11" s="1" customFormat="1" ht="15" customHeight="1">
      <c r="A3" s="27" t="s">
        <v>9</v>
      </c>
      <c r="B3" s="28">
        <v>44935</v>
      </c>
      <c r="C3" s="29">
        <v>3000</v>
      </c>
      <c r="D3" s="30">
        <v>40</v>
      </c>
      <c r="E3" s="31">
        <v>120265.79</v>
      </c>
      <c r="F3" s="30">
        <v>42</v>
      </c>
      <c r="G3" s="31">
        <v>125720.92</v>
      </c>
      <c r="H3" s="32">
        <f t="shared" si="0"/>
        <v>5455.1300000000047</v>
      </c>
      <c r="I3" s="15"/>
      <c r="J3" s="15"/>
      <c r="K3" s="6"/>
    </row>
    <row r="4" spans="1:11" s="1" customFormat="1" ht="15" customHeight="1">
      <c r="A4" s="27" t="s">
        <v>10</v>
      </c>
      <c r="B4" s="28">
        <v>44935</v>
      </c>
      <c r="C4" s="29">
        <v>3600</v>
      </c>
      <c r="D4" s="30">
        <v>27.5</v>
      </c>
      <c r="E4" s="31">
        <v>99219.28</v>
      </c>
      <c r="F4" s="30">
        <v>29.25</v>
      </c>
      <c r="G4" s="31">
        <v>105066.77</v>
      </c>
      <c r="H4" s="32">
        <f t="shared" si="0"/>
        <v>5847.4900000000052</v>
      </c>
      <c r="I4" s="15"/>
      <c r="J4" s="15"/>
      <c r="K4" s="6"/>
    </row>
    <row r="5" spans="1:11" s="1" customFormat="1" ht="15" customHeight="1">
      <c r="A5" s="27" t="s">
        <v>11</v>
      </c>
      <c r="B5" s="28">
        <v>44943</v>
      </c>
      <c r="C5" s="29">
        <v>3000</v>
      </c>
      <c r="D5" s="30">
        <v>51.25</v>
      </c>
      <c r="E5" s="31">
        <v>163110.47</v>
      </c>
      <c r="F5" s="30">
        <v>50.75</v>
      </c>
      <c r="G5" s="31">
        <v>151912.78</v>
      </c>
      <c r="H5" s="32">
        <f t="shared" si="0"/>
        <v>-11197.690000000002</v>
      </c>
      <c r="I5" s="15"/>
      <c r="J5" s="15"/>
      <c r="K5" s="6"/>
    </row>
    <row r="6" spans="1:11" s="1" customFormat="1" ht="15" customHeight="1">
      <c r="A6" s="27" t="s">
        <v>12</v>
      </c>
      <c r="B6" s="28">
        <v>44945</v>
      </c>
      <c r="C6" s="29">
        <v>2500</v>
      </c>
      <c r="D6" s="30">
        <v>32.75</v>
      </c>
      <c r="E6" s="31">
        <v>82056.34</v>
      </c>
      <c r="F6" s="30">
        <v>21.2</v>
      </c>
      <c r="G6" s="31">
        <v>52882.61</v>
      </c>
      <c r="H6" s="32">
        <f t="shared" ref="H6" si="1">G6-E6</f>
        <v>-29173.729999999996</v>
      </c>
      <c r="I6" s="15"/>
      <c r="J6" s="15"/>
      <c r="K6" s="6"/>
    </row>
    <row r="7" spans="1:11" ht="15" customHeight="1">
      <c r="A7" s="26"/>
      <c r="B7" s="28"/>
      <c r="C7" s="29"/>
      <c r="D7" s="33"/>
      <c r="E7" s="32">
        <f>SUM(E2:E6)</f>
        <v>558609.5199999999</v>
      </c>
      <c r="F7" s="30"/>
      <c r="G7" s="32">
        <f t="shared" ref="G7:H7" si="2">SUM(G2:G6)</f>
        <v>533615.46</v>
      </c>
      <c r="H7" s="34">
        <f t="shared" si="2"/>
        <v>-24994.059999999983</v>
      </c>
      <c r="K7" s="15"/>
    </row>
    <row r="8" spans="1:11" ht="15" customHeight="1">
      <c r="A8" s="26"/>
      <c r="B8" s="28"/>
      <c r="C8" s="29"/>
      <c r="D8" s="33"/>
      <c r="E8" s="32"/>
      <c r="F8" s="30"/>
      <c r="G8" s="32"/>
      <c r="H8" s="32">
        <v>0</v>
      </c>
    </row>
    <row r="9" spans="1:11" ht="15" customHeight="1">
      <c r="A9" s="26"/>
      <c r="B9" s="28"/>
      <c r="C9" s="29"/>
      <c r="D9" s="33"/>
      <c r="E9" s="32"/>
      <c r="F9" s="30"/>
      <c r="G9" s="32"/>
      <c r="H9" s="32">
        <f>SUM(H7:H8)</f>
        <v>-24994.059999999983</v>
      </c>
    </row>
    <row r="10" spans="1:11" ht="15" customHeight="1">
      <c r="A10" s="26"/>
      <c r="B10" s="28"/>
      <c r="C10" s="29"/>
      <c r="D10" s="33"/>
      <c r="E10" s="32"/>
      <c r="F10" s="30"/>
      <c r="G10" s="32" t="s">
        <v>13</v>
      </c>
      <c r="H10" s="35">
        <v>0</v>
      </c>
    </row>
    <row r="11" spans="1:11" ht="15" customHeight="1">
      <c r="A11" s="26"/>
      <c r="B11" s="28"/>
      <c r="C11" s="29"/>
      <c r="D11" s="33"/>
      <c r="E11" s="32"/>
      <c r="F11" s="30"/>
      <c r="G11" s="32" t="s">
        <v>14</v>
      </c>
      <c r="H11" s="35">
        <v>34710</v>
      </c>
    </row>
    <row r="12" spans="1:11" ht="15" customHeight="1">
      <c r="A12" s="26"/>
      <c r="B12" s="28"/>
      <c r="C12" s="29"/>
      <c r="D12" s="33"/>
      <c r="E12" s="32"/>
      <c r="F12" s="30"/>
      <c r="G12" s="32" t="s">
        <v>15</v>
      </c>
      <c r="H12" s="32">
        <f>H10+H11</f>
        <v>34710</v>
      </c>
    </row>
    <row r="13" spans="1:11" ht="15" customHeight="1">
      <c r="A13" s="26"/>
      <c r="B13" s="28"/>
      <c r="C13" s="29"/>
      <c r="D13" s="33"/>
      <c r="E13" s="32"/>
      <c r="F13" s="30"/>
      <c r="G13" s="32" t="s">
        <v>16</v>
      </c>
      <c r="H13" s="36">
        <f>H9-H12</f>
        <v>-59704.059999999983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29"/>
  <sheetViews>
    <sheetView workbookViewId="0">
      <pane ySplit="1" topLeftCell="E18" activePane="bottomLeft" state="frozen"/>
      <selection pane="bottomLeft" activeCell="H29" sqref="H29"/>
    </sheetView>
  </sheetViews>
  <sheetFormatPr defaultColWidth="8.5703125" defaultRowHeight="13.9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17</v>
      </c>
      <c r="B2" s="28">
        <v>44566</v>
      </c>
      <c r="C2" s="29">
        <v>3000</v>
      </c>
      <c r="D2" s="30">
        <v>42</v>
      </c>
      <c r="E2" s="31">
        <v>126279.08</v>
      </c>
      <c r="F2" s="30">
        <v>44.5</v>
      </c>
      <c r="G2" s="31">
        <v>133204.31</v>
      </c>
      <c r="H2" s="32">
        <f t="shared" ref="H2:H22" si="0">G2-E2</f>
        <v>6925.2299999999959</v>
      </c>
      <c r="I2" s="15"/>
      <c r="J2" s="15"/>
      <c r="K2" s="6"/>
    </row>
    <row r="3" spans="1:11" s="1" customFormat="1" ht="15" customHeight="1">
      <c r="A3" s="27" t="s">
        <v>18</v>
      </c>
      <c r="B3" s="28">
        <v>44567</v>
      </c>
      <c r="C3" s="29">
        <v>40000</v>
      </c>
      <c r="D3" s="30">
        <v>2.9</v>
      </c>
      <c r="E3" s="31">
        <v>116256.93</v>
      </c>
      <c r="F3" s="30">
        <v>3</v>
      </c>
      <c r="G3" s="31">
        <v>119734.21</v>
      </c>
      <c r="H3" s="32">
        <f t="shared" si="0"/>
        <v>3477.2800000000134</v>
      </c>
      <c r="I3" s="15"/>
      <c r="J3" s="15"/>
      <c r="K3" s="6"/>
    </row>
    <row r="4" spans="1:11" s="1" customFormat="1" ht="15" customHeight="1">
      <c r="A4" s="27" t="s">
        <v>19</v>
      </c>
      <c r="B4" s="28">
        <v>44567</v>
      </c>
      <c r="C4" s="29">
        <v>2000</v>
      </c>
      <c r="D4" s="30">
        <v>11.2</v>
      </c>
      <c r="E4" s="31">
        <v>22449.62</v>
      </c>
      <c r="F4" s="30">
        <v>12.3</v>
      </c>
      <c r="G4" s="31">
        <v>24545.52</v>
      </c>
      <c r="H4" s="32">
        <f t="shared" si="0"/>
        <v>2095.9000000000015</v>
      </c>
      <c r="I4" s="15"/>
      <c r="J4" s="15"/>
      <c r="K4" s="6"/>
    </row>
    <row r="5" spans="1:11" s="1" customFormat="1" ht="15" customHeight="1">
      <c r="A5" s="27" t="s">
        <v>20</v>
      </c>
      <c r="B5" s="28">
        <v>44568</v>
      </c>
      <c r="C5" s="29">
        <v>1500</v>
      </c>
      <c r="D5" s="30">
        <v>11</v>
      </c>
      <c r="E5" s="31">
        <v>16536.55</v>
      </c>
      <c r="F5" s="30">
        <v>16.8</v>
      </c>
      <c r="G5" s="31">
        <v>25144.19</v>
      </c>
      <c r="H5" s="32">
        <f t="shared" si="0"/>
        <v>8607.64</v>
      </c>
      <c r="I5" s="15"/>
      <c r="J5" s="15"/>
      <c r="K5" s="6"/>
    </row>
    <row r="6" spans="1:11" s="1" customFormat="1" ht="15" customHeight="1">
      <c r="A6" s="27" t="s">
        <v>20</v>
      </c>
      <c r="B6" s="28">
        <v>44571</v>
      </c>
      <c r="C6" s="29">
        <v>1500</v>
      </c>
      <c r="D6" s="30">
        <v>11</v>
      </c>
      <c r="E6" s="31">
        <v>16536.55</v>
      </c>
      <c r="F6" s="30">
        <v>16.8</v>
      </c>
      <c r="G6" s="31">
        <v>25144.19</v>
      </c>
      <c r="H6" s="32">
        <f t="shared" si="0"/>
        <v>8607.64</v>
      </c>
      <c r="I6" s="15"/>
      <c r="J6" s="15"/>
      <c r="K6" s="6"/>
    </row>
    <row r="7" spans="1:11" s="1" customFormat="1" ht="15" customHeight="1">
      <c r="A7" s="27" t="s">
        <v>20</v>
      </c>
      <c r="B7" s="28">
        <v>44572</v>
      </c>
      <c r="C7" s="29">
        <v>1000</v>
      </c>
      <c r="D7" s="30">
        <v>11</v>
      </c>
      <c r="E7" s="31">
        <v>11024.36</v>
      </c>
      <c r="F7" s="30">
        <v>20.100000000000001</v>
      </c>
      <c r="G7" s="31">
        <v>20055.48</v>
      </c>
      <c r="H7" s="32">
        <f t="shared" si="0"/>
        <v>9031.119999999999</v>
      </c>
      <c r="I7" s="15"/>
      <c r="J7" s="15"/>
      <c r="K7" s="6"/>
    </row>
    <row r="8" spans="1:11" s="1" customFormat="1" ht="15" customHeight="1">
      <c r="A8" s="27" t="s">
        <v>17</v>
      </c>
      <c r="B8" s="28">
        <v>44572</v>
      </c>
      <c r="C8" s="29">
        <v>3000</v>
      </c>
      <c r="D8" s="30">
        <v>42</v>
      </c>
      <c r="E8" s="31">
        <v>126279.08</v>
      </c>
      <c r="F8" s="30">
        <v>46.25</v>
      </c>
      <c r="G8" s="31">
        <v>138442.69</v>
      </c>
      <c r="H8" s="32">
        <f t="shared" si="0"/>
        <v>12163.61</v>
      </c>
      <c r="I8" s="15"/>
      <c r="J8" s="15"/>
      <c r="K8" s="6"/>
    </row>
    <row r="9" spans="1:11" s="1" customFormat="1" ht="15" customHeight="1">
      <c r="A9" s="27" t="s">
        <v>21</v>
      </c>
      <c r="B9" s="28">
        <v>44574</v>
      </c>
      <c r="C9" s="29">
        <v>800</v>
      </c>
      <c r="D9" s="30">
        <v>136.88</v>
      </c>
      <c r="E9" s="31">
        <v>109746.54</v>
      </c>
      <c r="F9" s="30">
        <v>144.5</v>
      </c>
      <c r="G9" s="31">
        <v>115343.96</v>
      </c>
      <c r="H9" s="32">
        <f t="shared" si="0"/>
        <v>5597.4200000000128</v>
      </c>
      <c r="I9" s="15"/>
      <c r="J9" s="15"/>
      <c r="K9" s="6"/>
    </row>
    <row r="10" spans="1:11" s="1" customFormat="1" ht="15" customHeight="1">
      <c r="A10" s="27" t="s">
        <v>22</v>
      </c>
      <c r="B10" s="28">
        <v>44574</v>
      </c>
      <c r="C10" s="29">
        <v>2500</v>
      </c>
      <c r="D10" s="30">
        <v>21.1</v>
      </c>
      <c r="E10" s="31">
        <v>52866.83</v>
      </c>
      <c r="F10" s="30">
        <v>24.4</v>
      </c>
      <c r="G10" s="31">
        <v>60864.89</v>
      </c>
      <c r="H10" s="32">
        <f t="shared" si="0"/>
        <v>7998.0599999999977</v>
      </c>
      <c r="I10" s="15"/>
      <c r="J10" s="15"/>
      <c r="K10" s="6"/>
    </row>
    <row r="11" spans="1:11" s="1" customFormat="1" ht="15" customHeight="1">
      <c r="A11" s="27" t="s">
        <v>23</v>
      </c>
      <c r="B11" s="28">
        <v>44574</v>
      </c>
      <c r="C11" s="29">
        <v>1500</v>
      </c>
      <c r="D11" s="30">
        <v>31.5</v>
      </c>
      <c r="E11" s="31">
        <v>47354.66</v>
      </c>
      <c r="F11" s="30">
        <v>33</v>
      </c>
      <c r="G11" s="31">
        <v>49390.36</v>
      </c>
      <c r="H11" s="32">
        <f t="shared" si="0"/>
        <v>2035.6999999999971</v>
      </c>
      <c r="I11" s="15"/>
      <c r="J11" s="15"/>
      <c r="K11" s="6"/>
    </row>
    <row r="12" spans="1:11" s="1" customFormat="1" ht="15" customHeight="1">
      <c r="A12" s="27" t="s">
        <v>21</v>
      </c>
      <c r="B12" s="28">
        <v>44578</v>
      </c>
      <c r="C12" s="29">
        <v>800</v>
      </c>
      <c r="D12" s="30">
        <v>136.88</v>
      </c>
      <c r="E12" s="31">
        <v>109746.54</v>
      </c>
      <c r="F12" s="30">
        <v>144.5</v>
      </c>
      <c r="G12" s="31">
        <v>115343.96</v>
      </c>
      <c r="H12" s="32">
        <f t="shared" si="0"/>
        <v>5597.4200000000128</v>
      </c>
      <c r="I12" s="15"/>
      <c r="J12" s="15"/>
      <c r="K12" s="6"/>
    </row>
    <row r="13" spans="1:11" s="1" customFormat="1" ht="15" customHeight="1">
      <c r="A13" s="27" t="s">
        <v>21</v>
      </c>
      <c r="B13" s="28">
        <v>44578</v>
      </c>
      <c r="C13" s="29">
        <v>800</v>
      </c>
      <c r="D13" s="30">
        <v>136.88</v>
      </c>
      <c r="E13" s="31">
        <v>109746.54</v>
      </c>
      <c r="F13" s="30">
        <v>140</v>
      </c>
      <c r="G13" s="31">
        <v>111751.93</v>
      </c>
      <c r="H13" s="32">
        <f t="shared" si="0"/>
        <v>2005.3899999999994</v>
      </c>
      <c r="I13" s="15"/>
      <c r="J13" s="15"/>
      <c r="K13" s="6"/>
    </row>
    <row r="14" spans="1:11" s="1" customFormat="1" ht="15" customHeight="1">
      <c r="A14" s="27" t="s">
        <v>22</v>
      </c>
      <c r="B14" s="28">
        <v>44579</v>
      </c>
      <c r="C14" s="29">
        <v>5000</v>
      </c>
      <c r="D14" s="30">
        <v>21.1</v>
      </c>
      <c r="E14" s="31">
        <v>105733.68</v>
      </c>
      <c r="F14" s="30">
        <v>23.2</v>
      </c>
      <c r="G14" s="31">
        <v>115743.07</v>
      </c>
      <c r="H14" s="32">
        <f t="shared" si="0"/>
        <v>10009.390000000014</v>
      </c>
      <c r="I14" s="15"/>
      <c r="J14" s="15"/>
      <c r="K14" s="6"/>
    </row>
    <row r="15" spans="1:11" s="1" customFormat="1" ht="15" customHeight="1">
      <c r="A15" s="27" t="s">
        <v>24</v>
      </c>
      <c r="B15" s="28">
        <v>44580</v>
      </c>
      <c r="C15" s="29">
        <v>1500</v>
      </c>
      <c r="D15" s="30">
        <v>44.5</v>
      </c>
      <c r="E15" s="31">
        <v>66897.84</v>
      </c>
      <c r="F15" s="30">
        <v>49.5</v>
      </c>
      <c r="G15" s="31">
        <v>74085.539999999994</v>
      </c>
      <c r="H15" s="32">
        <f t="shared" si="0"/>
        <v>7187.6999999999971</v>
      </c>
      <c r="I15" s="15"/>
      <c r="J15" s="15"/>
      <c r="K15" s="6"/>
    </row>
    <row r="16" spans="1:11" s="1" customFormat="1" ht="15" customHeight="1">
      <c r="A16" s="27" t="s">
        <v>25</v>
      </c>
      <c r="B16" s="28">
        <v>44580</v>
      </c>
      <c r="C16" s="29">
        <v>1500</v>
      </c>
      <c r="D16" s="30">
        <v>40.5</v>
      </c>
      <c r="E16" s="31">
        <v>60884.55</v>
      </c>
      <c r="F16" s="30">
        <v>42.75</v>
      </c>
      <c r="G16" s="31">
        <v>63982.97</v>
      </c>
      <c r="H16" s="32">
        <f t="shared" si="0"/>
        <v>3098.4199999999983</v>
      </c>
      <c r="I16" s="15"/>
      <c r="J16" s="15"/>
      <c r="K16" s="6"/>
    </row>
    <row r="17" spans="1:11" s="1" customFormat="1" ht="15" customHeight="1">
      <c r="A17" s="27" t="s">
        <v>17</v>
      </c>
      <c r="B17" s="28">
        <v>44585</v>
      </c>
      <c r="C17" s="29">
        <v>3000</v>
      </c>
      <c r="D17" s="30">
        <v>42</v>
      </c>
      <c r="E17" s="31">
        <v>126279.08</v>
      </c>
      <c r="F17" s="30">
        <v>46.25</v>
      </c>
      <c r="G17" s="31">
        <v>138442.69</v>
      </c>
      <c r="H17" s="32">
        <f t="shared" si="0"/>
        <v>12163.61</v>
      </c>
      <c r="I17" s="15"/>
      <c r="J17" s="15"/>
      <c r="K17" s="6"/>
    </row>
    <row r="18" spans="1:11" s="1" customFormat="1" ht="15" customHeight="1">
      <c r="A18" s="27" t="s">
        <v>17</v>
      </c>
      <c r="B18" s="28">
        <v>44587</v>
      </c>
      <c r="C18" s="29">
        <v>3000</v>
      </c>
      <c r="D18" s="30">
        <v>42</v>
      </c>
      <c r="E18" s="31">
        <v>126279.08</v>
      </c>
      <c r="F18" s="30">
        <v>48.25</v>
      </c>
      <c r="G18" s="31">
        <v>144429.4</v>
      </c>
      <c r="H18" s="32">
        <f t="shared" si="0"/>
        <v>18150.319999999992</v>
      </c>
      <c r="I18" s="15"/>
      <c r="J18" s="15"/>
      <c r="K18" s="6"/>
    </row>
    <row r="19" spans="1:11" s="1" customFormat="1" ht="15" customHeight="1">
      <c r="A19" s="27" t="s">
        <v>26</v>
      </c>
      <c r="B19" s="28">
        <v>44588</v>
      </c>
      <c r="C19" s="29">
        <v>5000</v>
      </c>
      <c r="D19" s="30">
        <v>16.7</v>
      </c>
      <c r="E19" s="31">
        <v>83684.95</v>
      </c>
      <c r="F19" s="30">
        <v>14.6</v>
      </c>
      <c r="G19" s="31">
        <v>72838.31</v>
      </c>
      <c r="H19" s="32">
        <f t="shared" si="0"/>
        <v>-10846.64</v>
      </c>
      <c r="I19" s="15"/>
      <c r="J19" s="15"/>
      <c r="K19" s="6"/>
    </row>
    <row r="20" spans="1:11" s="1" customFormat="1" ht="15" customHeight="1">
      <c r="A20" s="27" t="s">
        <v>20</v>
      </c>
      <c r="B20" s="28">
        <v>44589</v>
      </c>
      <c r="C20" s="29">
        <v>6000</v>
      </c>
      <c r="D20" s="30">
        <v>17.600000000000001</v>
      </c>
      <c r="E20" s="31">
        <v>105833.89</v>
      </c>
      <c r="F20" s="30">
        <v>17.7</v>
      </c>
      <c r="G20" s="31">
        <v>105964.78</v>
      </c>
      <c r="H20" s="32">
        <f t="shared" si="0"/>
        <v>130.88999999999942</v>
      </c>
      <c r="I20" s="15"/>
      <c r="J20" s="15"/>
      <c r="K20" s="6"/>
    </row>
    <row r="21" spans="1:11" s="1" customFormat="1" ht="15" customHeight="1">
      <c r="A21" s="27" t="s">
        <v>27</v>
      </c>
      <c r="B21" s="28">
        <v>44592</v>
      </c>
      <c r="C21" s="29">
        <v>9000</v>
      </c>
      <c r="D21" s="30">
        <v>7.45</v>
      </c>
      <c r="E21" s="31">
        <v>67198.509999999995</v>
      </c>
      <c r="F21" s="30">
        <v>7.3</v>
      </c>
      <c r="G21" s="31">
        <v>65554.48</v>
      </c>
      <c r="H21" s="32">
        <f t="shared" si="0"/>
        <v>-1644.0299999999988</v>
      </c>
      <c r="I21" s="15"/>
      <c r="J21" s="15"/>
      <c r="K21" s="6"/>
    </row>
    <row r="22" spans="1:11" s="1" customFormat="1" ht="15" customHeight="1">
      <c r="A22" s="27" t="s">
        <v>28</v>
      </c>
      <c r="B22" s="28">
        <v>44592</v>
      </c>
      <c r="C22" s="29">
        <v>2000</v>
      </c>
      <c r="D22" s="30">
        <v>50.5</v>
      </c>
      <c r="E22" s="31">
        <v>101223.7</v>
      </c>
      <c r="F22" s="30">
        <v>53.25</v>
      </c>
      <c r="G22" s="31">
        <v>106264.11</v>
      </c>
      <c r="H22" s="32">
        <f t="shared" si="0"/>
        <v>5040.4100000000035</v>
      </c>
      <c r="I22" s="15"/>
      <c r="J22" s="15"/>
      <c r="K22" s="6"/>
    </row>
    <row r="23" spans="1:11" ht="15" customHeight="1">
      <c r="A23" s="26"/>
      <c r="B23" s="28"/>
      <c r="C23" s="29"/>
      <c r="D23" s="33"/>
      <c r="E23" s="32">
        <f>SUM(E2:E22)</f>
        <v>1708838.5599999998</v>
      </c>
      <c r="F23" s="30"/>
      <c r="G23" s="32">
        <f>SUM(G2:G22)</f>
        <v>1826271.04</v>
      </c>
      <c r="H23" s="44">
        <f>SUM(H2:H22)</f>
        <v>117432.48000000004</v>
      </c>
      <c r="K23" s="15"/>
    </row>
    <row r="24" spans="1:11" ht="15" customHeight="1">
      <c r="A24" s="26"/>
      <c r="B24" s="28"/>
      <c r="C24" s="29"/>
      <c r="D24" s="33"/>
      <c r="E24" s="32"/>
      <c r="F24" s="30"/>
      <c r="G24" s="32"/>
      <c r="H24" s="32">
        <v>0</v>
      </c>
    </row>
    <row r="25" spans="1:11" ht="15" customHeight="1">
      <c r="A25" s="26"/>
      <c r="B25" s="28"/>
      <c r="C25" s="29"/>
      <c r="D25" s="33"/>
      <c r="E25" s="32"/>
      <c r="F25" s="30"/>
      <c r="G25" s="32"/>
      <c r="H25" s="32">
        <f>SUM(H23:H24)</f>
        <v>117432.48000000004</v>
      </c>
    </row>
    <row r="26" spans="1:11" ht="15" customHeight="1">
      <c r="A26" s="26"/>
      <c r="B26" s="28"/>
      <c r="C26" s="29"/>
      <c r="D26" s="33"/>
      <c r="E26" s="32"/>
      <c r="F26" s="30"/>
      <c r="G26" s="32" t="s">
        <v>13</v>
      </c>
      <c r="H26" s="35">
        <v>0</v>
      </c>
    </row>
    <row r="27" spans="1:11" ht="15" customHeight="1">
      <c r="A27" s="26"/>
      <c r="B27" s="28"/>
      <c r="C27" s="29"/>
      <c r="D27" s="33"/>
      <c r="E27" s="32"/>
      <c r="F27" s="30"/>
      <c r="G27" s="32" t="s">
        <v>14</v>
      </c>
      <c r="H27" s="35">
        <v>62710</v>
      </c>
    </row>
    <row r="28" spans="1:11" ht="15" customHeight="1">
      <c r="A28" s="26"/>
      <c r="B28" s="28"/>
      <c r="C28" s="29"/>
      <c r="D28" s="33"/>
      <c r="E28" s="32"/>
      <c r="F28" s="30"/>
      <c r="G28" s="32" t="s">
        <v>15</v>
      </c>
      <c r="H28" s="32">
        <f>H26+H27</f>
        <v>62710</v>
      </c>
    </row>
    <row r="29" spans="1:11" ht="15" customHeight="1">
      <c r="A29" s="26"/>
      <c r="B29" s="28"/>
      <c r="C29" s="29"/>
      <c r="D29" s="33"/>
      <c r="E29" s="32"/>
      <c r="F29" s="30"/>
      <c r="G29" s="32" t="s">
        <v>16</v>
      </c>
      <c r="H29" s="46">
        <f>H25-H28</f>
        <v>54722.48000000004</v>
      </c>
    </row>
  </sheetData>
  <sheetProtection selectLockedCells="1" selectUnlockedCells="1"/>
  <sortState xmlns:xlrd2="http://schemas.microsoft.com/office/spreadsheetml/2017/richdata2" ref="A2:H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5"/>
  <sheetViews>
    <sheetView topLeftCell="A23" workbookViewId="0">
      <selection activeCell="H30" sqref="H30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29</v>
      </c>
      <c r="B2" s="28">
        <v>44607</v>
      </c>
      <c r="C2" s="29">
        <v>10000</v>
      </c>
      <c r="D2" s="30" t="s">
        <v>30</v>
      </c>
      <c r="E2" s="31" t="s">
        <v>30</v>
      </c>
      <c r="F2" s="30">
        <v>0.1719</v>
      </c>
      <c r="G2" s="31">
        <f>C2*F2</f>
        <v>1719</v>
      </c>
      <c r="H2" s="32">
        <f>G2*0.9</f>
        <v>1547.1000000000001</v>
      </c>
      <c r="I2" s="15"/>
      <c r="J2" s="15"/>
      <c r="K2" s="6"/>
    </row>
    <row r="3" spans="1:11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1" s="1" customFormat="1" ht="15" customHeight="1">
      <c r="A4" s="27" t="s">
        <v>31</v>
      </c>
      <c r="B4" s="28">
        <v>44617</v>
      </c>
      <c r="C4" s="29">
        <v>9000</v>
      </c>
      <c r="D4" s="30">
        <v>40</v>
      </c>
      <c r="E4" s="31">
        <v>360797.36</v>
      </c>
      <c r="F4" s="30">
        <v>33</v>
      </c>
      <c r="G4" s="31">
        <v>296342.17</v>
      </c>
      <c r="H4" s="41">
        <f>G4-E4</f>
        <v>-64455.19</v>
      </c>
      <c r="I4" s="15"/>
      <c r="J4" s="15"/>
      <c r="K4" s="6"/>
    </row>
    <row r="5" spans="1:11" s="1" customFormat="1" ht="15" customHeight="1">
      <c r="A5" s="27" t="s">
        <v>32</v>
      </c>
      <c r="B5" s="28">
        <v>44614</v>
      </c>
      <c r="C5" s="29">
        <v>20000</v>
      </c>
      <c r="D5" s="30">
        <v>5</v>
      </c>
      <c r="E5" s="31">
        <v>100221.49</v>
      </c>
      <c r="F5" s="30">
        <v>5.0999999999999996</v>
      </c>
      <c r="G5" s="31">
        <v>101774.08</v>
      </c>
      <c r="H5" s="41">
        <f>G5-E5</f>
        <v>1552.5899999999965</v>
      </c>
      <c r="I5" s="15"/>
      <c r="J5" s="15"/>
      <c r="K5" s="6"/>
    </row>
    <row r="6" spans="1:11" s="1" customFormat="1" ht="15" customHeight="1">
      <c r="A6" s="27" t="s">
        <v>33</v>
      </c>
      <c r="B6" s="28">
        <v>44594</v>
      </c>
      <c r="C6" s="29">
        <v>10000</v>
      </c>
      <c r="D6" s="30">
        <v>5</v>
      </c>
      <c r="E6" s="31">
        <v>50110.75</v>
      </c>
      <c r="F6" s="30">
        <v>5.5</v>
      </c>
      <c r="G6" s="31">
        <v>54878.18</v>
      </c>
      <c r="H6" s="41">
        <f>G6-E6</f>
        <v>4767.43</v>
      </c>
      <c r="I6" s="15"/>
      <c r="J6" s="15"/>
      <c r="K6" s="6"/>
    </row>
    <row r="7" spans="1:11" s="1" customFormat="1" ht="15" customHeight="1">
      <c r="A7" s="27" t="s">
        <v>34</v>
      </c>
      <c r="B7" s="28">
        <v>44610</v>
      </c>
      <c r="C7" s="29">
        <v>10000</v>
      </c>
      <c r="D7" s="30">
        <v>14.7</v>
      </c>
      <c r="E7" s="31">
        <v>147325.59</v>
      </c>
      <c r="F7" s="30">
        <v>14.3</v>
      </c>
      <c r="G7" s="31">
        <v>142683.26999999999</v>
      </c>
      <c r="H7" s="41">
        <f>G7-E7</f>
        <v>-4642.320000000007</v>
      </c>
      <c r="I7" s="15"/>
      <c r="J7" s="15"/>
      <c r="K7" s="6"/>
    </row>
    <row r="8" spans="1:11" s="1" customFormat="1" ht="15" customHeight="1">
      <c r="A8" s="27" t="s">
        <v>19</v>
      </c>
      <c r="B8" s="28">
        <v>44606</v>
      </c>
      <c r="C8" s="29">
        <v>24000</v>
      </c>
      <c r="D8" s="30">
        <v>10.9</v>
      </c>
      <c r="E8" s="31">
        <v>262179.42</v>
      </c>
      <c r="F8" s="30">
        <v>10.3</v>
      </c>
      <c r="G8" s="31">
        <v>246652.48</v>
      </c>
      <c r="H8" s="41">
        <f>G8-E8</f>
        <v>-15526.939999999973</v>
      </c>
      <c r="I8" s="15"/>
      <c r="J8" s="15"/>
      <c r="K8" s="6"/>
    </row>
    <row r="9" spans="1:11" s="1" customFormat="1" ht="15" customHeight="1">
      <c r="A9" s="27" t="s">
        <v>35</v>
      </c>
      <c r="B9" s="28">
        <v>44613</v>
      </c>
      <c r="C9" s="29">
        <v>5000</v>
      </c>
      <c r="D9" s="30">
        <v>19.399999999999999</v>
      </c>
      <c r="E9" s="31">
        <v>97214.85</v>
      </c>
      <c r="F9" s="30">
        <v>21</v>
      </c>
      <c r="G9" s="31">
        <v>104767.44</v>
      </c>
      <c r="H9" s="41">
        <f>G9-E9</f>
        <v>7552.5899999999965</v>
      </c>
      <c r="I9" s="15"/>
      <c r="J9" s="15"/>
      <c r="K9" s="6"/>
    </row>
    <row r="10" spans="1:11" s="1" customFormat="1" ht="15" customHeight="1">
      <c r="A10" s="27" t="s">
        <v>35</v>
      </c>
      <c r="B10" s="28">
        <v>44616</v>
      </c>
      <c r="C10" s="29">
        <v>10000</v>
      </c>
      <c r="D10" s="30">
        <v>19.399999999999999</v>
      </c>
      <c r="E10" s="31">
        <v>194429.69</v>
      </c>
      <c r="F10" s="30">
        <v>21</v>
      </c>
      <c r="G10" s="31">
        <v>209534.87</v>
      </c>
      <c r="H10" s="41">
        <f>G10-E10</f>
        <v>15105.179999999993</v>
      </c>
      <c r="I10" s="15"/>
      <c r="J10" s="15"/>
      <c r="K10" s="6"/>
    </row>
    <row r="11" spans="1:11" s="1" customFormat="1" ht="15" customHeight="1">
      <c r="A11" s="27" t="s">
        <v>20</v>
      </c>
      <c r="B11" s="28">
        <v>44601</v>
      </c>
      <c r="C11" s="29">
        <v>3000</v>
      </c>
      <c r="D11" s="30">
        <v>17.600000000000001</v>
      </c>
      <c r="E11" s="31">
        <v>52916.95</v>
      </c>
      <c r="F11" s="30">
        <v>20.7</v>
      </c>
      <c r="G11" s="31">
        <v>61962.45</v>
      </c>
      <c r="H11" s="41">
        <f>G11-E11</f>
        <v>9045.5</v>
      </c>
      <c r="I11" s="15"/>
      <c r="J11" s="15"/>
      <c r="K11" s="6"/>
    </row>
    <row r="12" spans="1:11" s="1" customFormat="1" ht="15" customHeight="1">
      <c r="A12" s="27" t="s">
        <v>20</v>
      </c>
      <c r="B12" s="28">
        <v>44602</v>
      </c>
      <c r="C12" s="29">
        <v>3000</v>
      </c>
      <c r="D12" s="30">
        <v>17.600000000000001</v>
      </c>
      <c r="E12" s="31">
        <v>52916.95</v>
      </c>
      <c r="F12" s="30">
        <v>21.1</v>
      </c>
      <c r="G12" s="31">
        <v>63159.8</v>
      </c>
      <c r="H12" s="41">
        <f>G12-E12</f>
        <v>10242.850000000006</v>
      </c>
      <c r="I12" s="15"/>
      <c r="J12" s="15"/>
      <c r="K12" s="6"/>
    </row>
    <row r="13" spans="1:11" s="1" customFormat="1" ht="15" customHeight="1">
      <c r="A13" s="27" t="s">
        <v>20</v>
      </c>
      <c r="B13" s="28">
        <v>44603</v>
      </c>
      <c r="C13" s="29">
        <v>3000</v>
      </c>
      <c r="D13" s="30">
        <v>17.600000000000001</v>
      </c>
      <c r="E13" s="31">
        <v>52916.95</v>
      </c>
      <c r="F13" s="30">
        <v>18.399999999999999</v>
      </c>
      <c r="G13" s="31">
        <v>55077.74</v>
      </c>
      <c r="H13" s="41">
        <f>G13-E13</f>
        <v>2160.7900000000009</v>
      </c>
      <c r="I13" s="15"/>
      <c r="J13" s="15"/>
      <c r="K13" s="6"/>
    </row>
    <row r="14" spans="1:11" s="1" customFormat="1" ht="15" customHeight="1">
      <c r="A14" s="27" t="s">
        <v>36</v>
      </c>
      <c r="B14" s="28">
        <v>44593</v>
      </c>
      <c r="C14" s="29">
        <v>3000</v>
      </c>
      <c r="D14" s="30">
        <v>20.2</v>
      </c>
      <c r="E14" s="31">
        <v>60734.22</v>
      </c>
      <c r="F14" s="30">
        <v>22</v>
      </c>
      <c r="G14" s="31">
        <v>65853.820000000007</v>
      </c>
      <c r="H14" s="41">
        <f>G14-E14</f>
        <v>5119.6000000000058</v>
      </c>
      <c r="I14" s="15"/>
      <c r="J14" s="15"/>
      <c r="K14" s="6"/>
    </row>
    <row r="15" spans="1:11" s="1" customFormat="1" ht="15" customHeight="1">
      <c r="A15" s="27" t="s">
        <v>17</v>
      </c>
      <c r="B15" s="28">
        <v>44614</v>
      </c>
      <c r="C15" s="29">
        <v>1200</v>
      </c>
      <c r="D15" s="30">
        <v>42</v>
      </c>
      <c r="E15" s="31">
        <v>50511.63</v>
      </c>
      <c r="F15" s="30">
        <v>46</v>
      </c>
      <c r="G15" s="31">
        <v>55077.74</v>
      </c>
      <c r="H15" s="41">
        <f>G15-E15</f>
        <v>4566.1100000000006</v>
      </c>
      <c r="I15" s="15"/>
      <c r="J15" s="15"/>
      <c r="K15" s="6"/>
    </row>
    <row r="16" spans="1:11" s="1" customFormat="1" ht="15" customHeight="1">
      <c r="A16" s="27" t="s">
        <v>17</v>
      </c>
      <c r="B16" s="28">
        <v>44601</v>
      </c>
      <c r="C16" s="29">
        <v>1200</v>
      </c>
      <c r="D16" s="30">
        <v>42</v>
      </c>
      <c r="E16" s="31">
        <v>50511.63</v>
      </c>
      <c r="F16" s="30">
        <v>50.5</v>
      </c>
      <c r="G16" s="31">
        <v>60465.78</v>
      </c>
      <c r="H16" s="41">
        <f>G16-E16</f>
        <v>9954.1500000000015</v>
      </c>
      <c r="I16" s="15"/>
      <c r="J16" s="15"/>
      <c r="K16" s="6"/>
    </row>
    <row r="17" spans="1:12" s="1" customFormat="1" ht="15" customHeight="1">
      <c r="A17" s="27" t="s">
        <v>17</v>
      </c>
      <c r="B17" s="28">
        <v>44620</v>
      </c>
      <c r="C17" s="29">
        <v>3600</v>
      </c>
      <c r="D17" s="30">
        <v>42</v>
      </c>
      <c r="E17" s="31">
        <v>151534.89000000001</v>
      </c>
      <c r="F17" s="30">
        <v>45.5</v>
      </c>
      <c r="G17" s="31">
        <v>163437.20000000001</v>
      </c>
      <c r="H17" s="41">
        <f>G17-E17</f>
        <v>11902.309999999998</v>
      </c>
      <c r="I17" s="15"/>
      <c r="J17" s="15"/>
      <c r="K17" s="6"/>
    </row>
    <row r="18" spans="1:12" s="1" customFormat="1" ht="15" customHeight="1">
      <c r="A18" s="27" t="s">
        <v>37</v>
      </c>
      <c r="B18" s="28">
        <v>44620</v>
      </c>
      <c r="C18" s="29">
        <v>10000</v>
      </c>
      <c r="D18" s="30">
        <v>14</v>
      </c>
      <c r="E18" s="31">
        <v>140310.09</v>
      </c>
      <c r="F18" s="30">
        <v>14.1</v>
      </c>
      <c r="G18" s="31">
        <v>140687.70000000001</v>
      </c>
      <c r="H18" s="41">
        <f>G18-E18</f>
        <v>377.61000000001513</v>
      </c>
      <c r="I18" s="15"/>
      <c r="J18" s="15"/>
      <c r="K18" s="6"/>
    </row>
    <row r="19" spans="1:12" s="1" customFormat="1" ht="15" customHeight="1">
      <c r="A19" s="27" t="s">
        <v>26</v>
      </c>
      <c r="B19" s="28">
        <v>44595</v>
      </c>
      <c r="C19" s="29">
        <v>5000</v>
      </c>
      <c r="D19" s="30">
        <v>16.7</v>
      </c>
      <c r="E19" s="31">
        <v>83684.95</v>
      </c>
      <c r="F19" s="30">
        <v>14.7</v>
      </c>
      <c r="G19" s="31">
        <v>73337.2</v>
      </c>
      <c r="H19" s="41">
        <f>G19-E19</f>
        <v>-10347.75</v>
      </c>
      <c r="I19" s="15"/>
      <c r="J19" s="15"/>
      <c r="K19" s="6"/>
    </row>
    <row r="20" spans="1:12" s="1" customFormat="1" ht="15" customHeight="1">
      <c r="A20" s="27" t="s">
        <v>38</v>
      </c>
      <c r="B20" s="28">
        <v>44617</v>
      </c>
      <c r="C20" s="29">
        <v>63000</v>
      </c>
      <c r="D20" s="30">
        <v>7</v>
      </c>
      <c r="E20" s="31">
        <v>441976.77</v>
      </c>
      <c r="F20" s="30">
        <v>6</v>
      </c>
      <c r="G20" s="31">
        <v>377162.77</v>
      </c>
      <c r="H20" s="41">
        <f>G20-E20</f>
        <v>-64814</v>
      </c>
      <c r="I20" s="15"/>
      <c r="J20" s="15"/>
      <c r="K20" s="6"/>
    </row>
    <row r="21" spans="1:12" s="1" customFormat="1" ht="15" customHeight="1">
      <c r="A21" s="27" t="s">
        <v>39</v>
      </c>
      <c r="B21" s="28">
        <v>44613</v>
      </c>
      <c r="C21" s="29">
        <v>3000</v>
      </c>
      <c r="D21" s="30">
        <v>45.75</v>
      </c>
      <c r="E21" s="31">
        <v>137554</v>
      </c>
      <c r="F21" s="30">
        <v>46</v>
      </c>
      <c r="G21" s="31">
        <v>137694.34</v>
      </c>
      <c r="H21" s="41">
        <f>G21-E21</f>
        <v>140.33999999999651</v>
      </c>
      <c r="I21" s="15"/>
      <c r="J21" s="15"/>
      <c r="K21" s="6"/>
    </row>
    <row r="22" spans="1:12" s="1" customFormat="1" ht="15" customHeight="1">
      <c r="A22" s="27" t="s">
        <v>28</v>
      </c>
      <c r="B22" s="28">
        <v>44601</v>
      </c>
      <c r="C22" s="29">
        <v>2000</v>
      </c>
      <c r="D22" s="30">
        <v>50.5</v>
      </c>
      <c r="E22" s="31">
        <v>101223.7</v>
      </c>
      <c r="F22" s="30">
        <v>54</v>
      </c>
      <c r="G22" s="31">
        <v>107760.79</v>
      </c>
      <c r="H22" s="41">
        <f>G22-E22</f>
        <v>6537.0899999999965</v>
      </c>
      <c r="I22" s="15"/>
      <c r="J22" s="15"/>
      <c r="K22" s="6"/>
    </row>
    <row r="23" spans="1:12" s="1" customFormat="1" ht="15" customHeight="1">
      <c r="A23" s="27" t="s">
        <v>28</v>
      </c>
      <c r="B23" s="28">
        <v>44606</v>
      </c>
      <c r="C23" s="29">
        <v>2000</v>
      </c>
      <c r="D23" s="30">
        <v>50.5</v>
      </c>
      <c r="E23" s="31">
        <v>101223.7</v>
      </c>
      <c r="F23" s="30">
        <v>53.75</v>
      </c>
      <c r="G23" s="31">
        <v>107261.89</v>
      </c>
      <c r="H23" s="41">
        <f>G23-E23</f>
        <v>6038.1900000000023</v>
      </c>
      <c r="I23" s="15"/>
      <c r="J23" s="15"/>
      <c r="K23" s="6"/>
    </row>
    <row r="24" spans="1:12" s="1" customFormat="1" ht="15" customHeight="1">
      <c r="A24" s="27" t="s">
        <v>40</v>
      </c>
      <c r="B24" s="28">
        <v>44617</v>
      </c>
      <c r="C24" s="29">
        <v>40000</v>
      </c>
      <c r="D24" s="30">
        <v>2.6</v>
      </c>
      <c r="E24" s="31">
        <v>104230.35</v>
      </c>
      <c r="F24" s="30">
        <v>2.5</v>
      </c>
      <c r="G24" s="31">
        <v>99778.51</v>
      </c>
      <c r="H24" s="41">
        <f>G24-E24</f>
        <v>-4451.8400000000111</v>
      </c>
      <c r="I24" s="15"/>
      <c r="J24" s="15"/>
      <c r="K24" s="6"/>
    </row>
    <row r="25" spans="1:12" s="1" customFormat="1" ht="15" customHeight="1">
      <c r="A25" s="27" t="s">
        <v>41</v>
      </c>
      <c r="B25" s="28">
        <v>44607</v>
      </c>
      <c r="C25" s="29">
        <v>64700</v>
      </c>
      <c r="D25" s="30">
        <v>1.5</v>
      </c>
      <c r="E25" s="31">
        <v>97264.95</v>
      </c>
      <c r="F25" s="30">
        <v>1.43</v>
      </c>
      <c r="G25" s="31">
        <v>92316.07</v>
      </c>
      <c r="H25" s="41">
        <f>G25-E25</f>
        <v>-4948.8799999999901</v>
      </c>
      <c r="I25" s="15"/>
      <c r="J25" s="15"/>
      <c r="K25" s="6"/>
    </row>
    <row r="26" spans="1:12" s="1" customFormat="1" ht="15" customHeight="1">
      <c r="A26" s="27" t="s">
        <v>41</v>
      </c>
      <c r="B26" s="28">
        <v>44609</v>
      </c>
      <c r="C26" s="29">
        <v>10300</v>
      </c>
      <c r="D26" s="30">
        <v>1.5</v>
      </c>
      <c r="E26" s="31">
        <v>15484.22</v>
      </c>
      <c r="F26" s="30">
        <v>1.43</v>
      </c>
      <c r="G26" s="31">
        <v>14696.38</v>
      </c>
      <c r="H26" s="41">
        <f>G26-E26</f>
        <v>-787.84000000000015</v>
      </c>
      <c r="I26" s="15"/>
      <c r="J26" s="15"/>
      <c r="K26" s="6"/>
    </row>
    <row r="27" spans="1:12" s="1" customFormat="1" ht="15" customHeight="1">
      <c r="A27" s="27" t="s">
        <v>42</v>
      </c>
      <c r="B27" s="28">
        <v>44615</v>
      </c>
      <c r="C27" s="29">
        <v>18000</v>
      </c>
      <c r="D27" s="30">
        <v>20.8</v>
      </c>
      <c r="E27" s="31">
        <v>375229.26</v>
      </c>
      <c r="F27" s="30">
        <v>20.5</v>
      </c>
      <c r="G27" s="31">
        <v>368182.7</v>
      </c>
      <c r="H27" s="41">
        <f>G27-E27</f>
        <v>-7046.5599999999977</v>
      </c>
      <c r="I27" s="15"/>
      <c r="J27" s="15"/>
      <c r="K27" s="6"/>
    </row>
    <row r="28" spans="1:12" ht="15" customHeight="1">
      <c r="A28" s="26"/>
      <c r="B28" s="28"/>
      <c r="C28" s="29"/>
      <c r="D28" s="33"/>
      <c r="E28" s="32">
        <f>SUM(E4:E27)</f>
        <v>3282504.3600000003</v>
      </c>
      <c r="F28" s="30"/>
      <c r="G28" s="32">
        <f t="shared" ref="G28" si="0">SUM(G4:G27)</f>
        <v>3200545.3699999992</v>
      </c>
      <c r="H28" s="44">
        <f>SUM(H4:H27)</f>
        <v>-81958.989999999976</v>
      </c>
      <c r="I28" s="15"/>
      <c r="J28" s="15"/>
      <c r="K28" s="15"/>
      <c r="L28" s="6"/>
    </row>
    <row r="29" spans="1:12" ht="15" customHeight="1">
      <c r="A29" s="26"/>
      <c r="B29" s="28"/>
      <c r="C29" s="29"/>
      <c r="D29" s="33"/>
      <c r="E29" s="32"/>
      <c r="F29" s="30"/>
      <c r="G29" s="32"/>
      <c r="H29" s="32">
        <v>117432.48000000004</v>
      </c>
      <c r="I29" s="15"/>
      <c r="J29" s="15"/>
      <c r="L29" s="6"/>
    </row>
    <row r="30" spans="1:12" ht="15" customHeight="1">
      <c r="A30" s="26"/>
      <c r="B30" s="28"/>
      <c r="C30" s="29"/>
      <c r="D30" s="33"/>
      <c r="E30" s="32"/>
      <c r="F30" s="30"/>
      <c r="G30" s="32"/>
      <c r="H30" s="34">
        <f>SUM(H2,H28,H29)</f>
        <v>37020.590000000069</v>
      </c>
      <c r="I30" s="15"/>
      <c r="J30" s="15"/>
      <c r="L30" s="6"/>
    </row>
    <row r="31" spans="1:12" ht="15" customHeight="1">
      <c r="A31" s="26"/>
      <c r="B31" s="28"/>
      <c r="C31" s="29"/>
      <c r="D31" s="33"/>
      <c r="E31" s="32"/>
      <c r="F31" s="30"/>
      <c r="G31" s="32" t="s">
        <v>13</v>
      </c>
      <c r="H31" s="35">
        <v>62710</v>
      </c>
      <c r="I31" s="15"/>
      <c r="J31" s="15"/>
      <c r="L31" s="6"/>
    </row>
    <row r="32" spans="1:12" ht="15" customHeight="1">
      <c r="A32" s="26"/>
      <c r="B32" s="28"/>
      <c r="C32" s="29"/>
      <c r="D32" s="33"/>
      <c r="E32" s="32"/>
      <c r="F32" s="30"/>
      <c r="G32" s="32" t="s">
        <v>43</v>
      </c>
      <c r="H32" s="37">
        <v>27160</v>
      </c>
      <c r="I32" s="15"/>
      <c r="J32" s="15"/>
      <c r="L32" s="6"/>
    </row>
    <row r="33" spans="1:12" ht="15" customHeight="1">
      <c r="A33" s="26"/>
      <c r="B33" s="28"/>
      <c r="C33" s="29"/>
      <c r="D33" s="33"/>
      <c r="E33" s="32"/>
      <c r="F33" s="30"/>
      <c r="G33" s="32" t="s">
        <v>15</v>
      </c>
      <c r="H33" s="32">
        <f>H31+H32</f>
        <v>89870</v>
      </c>
      <c r="I33" s="15"/>
      <c r="J33" s="15"/>
      <c r="L33" s="6"/>
    </row>
    <row r="34" spans="1:12" ht="15" customHeight="1">
      <c r="A34" s="26"/>
      <c r="B34" s="28"/>
      <c r="C34" s="29"/>
      <c r="D34" s="33"/>
      <c r="E34" s="32"/>
      <c r="F34" s="30"/>
      <c r="G34" s="32" t="s">
        <v>16</v>
      </c>
      <c r="H34" s="36">
        <f>H30-H33</f>
        <v>-52849.409999999931</v>
      </c>
      <c r="I34" s="15"/>
      <c r="J34" s="15"/>
      <c r="L34" s="6"/>
    </row>
    <row r="35" spans="1:12">
      <c r="B35" s="18"/>
      <c r="H35" s="6"/>
      <c r="I35" s="15"/>
      <c r="J35" s="15"/>
      <c r="L35" s="6"/>
    </row>
  </sheetData>
  <sheetProtection selectLockedCells="1" selectUnlockedCells="1"/>
  <sortState xmlns:xlrd2="http://schemas.microsoft.com/office/spreadsheetml/2017/richdata2" ref="A4:O27">
    <sortCondition ref="A4:A2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4" activePane="bottomLeft" state="frozen"/>
      <selection pane="bottomLeft" activeCell="H25" sqref="H25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44</v>
      </c>
      <c r="B2" s="28">
        <v>44624</v>
      </c>
      <c r="C2" s="29">
        <v>10000</v>
      </c>
      <c r="D2" s="30" t="s">
        <v>30</v>
      </c>
      <c r="E2" s="31" t="s">
        <v>30</v>
      </c>
      <c r="F2" s="38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45</v>
      </c>
      <c r="B3" s="28">
        <v>44624</v>
      </c>
      <c r="C3" s="29">
        <v>60000</v>
      </c>
      <c r="D3" s="30" t="s">
        <v>30</v>
      </c>
      <c r="E3" s="31" t="s">
        <v>30</v>
      </c>
      <c r="F3" s="38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46</v>
      </c>
      <c r="B4" s="28">
        <v>44641</v>
      </c>
      <c r="C4" s="29">
        <v>110000</v>
      </c>
      <c r="D4" s="30" t="s">
        <v>30</v>
      </c>
      <c r="E4" s="31" t="s">
        <v>30</v>
      </c>
      <c r="F4" s="38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47</v>
      </c>
      <c r="B5" s="28">
        <v>44645</v>
      </c>
      <c r="C5" s="29">
        <v>20000</v>
      </c>
      <c r="D5" s="30" t="s">
        <v>30</v>
      </c>
      <c r="E5" s="31" t="s">
        <v>30</v>
      </c>
      <c r="F5" s="38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48</v>
      </c>
      <c r="B6" s="28">
        <v>44648</v>
      </c>
      <c r="C6" s="29">
        <v>10000</v>
      </c>
      <c r="D6" s="30" t="s">
        <v>30</v>
      </c>
      <c r="E6" s="31" t="s">
        <v>30</v>
      </c>
      <c r="F6" s="38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49</v>
      </c>
      <c r="B7" s="28">
        <v>44650</v>
      </c>
      <c r="C7" s="29">
        <v>40100</v>
      </c>
      <c r="D7" s="30" t="s">
        <v>30</v>
      </c>
      <c r="E7" s="31" t="s">
        <v>30</v>
      </c>
      <c r="F7" s="38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50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51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51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52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10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53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10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10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25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75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44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54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55</v>
      </c>
      <c r="H20" s="32">
        <v>37020.590000000069</v>
      </c>
    </row>
    <row r="21" spans="1:8" ht="15.6">
      <c r="A21" s="26"/>
      <c r="B21" s="28"/>
      <c r="C21" s="29"/>
      <c r="D21" s="33"/>
      <c r="E21" s="32"/>
      <c r="F21" s="30"/>
      <c r="G21" s="32" t="s">
        <v>56</v>
      </c>
      <c r="H21" s="34">
        <f>H19+H20</f>
        <v>128129.69200000005</v>
      </c>
    </row>
    <row r="22" spans="1:8" ht="15.6">
      <c r="A22" s="26"/>
      <c r="B22" s="28"/>
      <c r="C22" s="29"/>
      <c r="D22" s="33"/>
      <c r="E22" s="32"/>
      <c r="F22" s="30"/>
      <c r="G22" s="32" t="s">
        <v>13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57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15</v>
      </c>
      <c r="H24" s="34">
        <f>H22+H23</f>
        <v>187090</v>
      </c>
    </row>
    <row r="25" spans="1:8" ht="15.75">
      <c r="A25" s="26"/>
      <c r="B25" s="28"/>
      <c r="C25" s="29"/>
      <c r="D25" s="33"/>
      <c r="E25" s="32"/>
      <c r="F25" s="30"/>
      <c r="G25" s="32" t="s">
        <v>16</v>
      </c>
      <c r="H25" s="46">
        <f>H21-H24</f>
        <v>-58960.307999999946</v>
      </c>
    </row>
    <row r="26" spans="1:8" ht="15.6">
      <c r="G26" s="39" t="s">
        <v>58</v>
      </c>
      <c r="H26" s="39">
        <v>112000</v>
      </c>
    </row>
    <row r="27" spans="1:8" ht="15.6">
      <c r="G27" s="39" t="s">
        <v>59</v>
      </c>
      <c r="H27" s="40">
        <f>H25+H26</f>
        <v>53039.692000000054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1"/>
  <sheetViews>
    <sheetView workbookViewId="0">
      <pane ySplit="1" topLeftCell="A16" activePane="bottomLeft" state="frozen"/>
      <selection pane="bottomLeft" activeCell="H23" sqref="H2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60</v>
      </c>
      <c r="B2" s="28">
        <v>44659</v>
      </c>
      <c r="C2" s="29">
        <v>900</v>
      </c>
      <c r="D2" s="30" t="s">
        <v>30</v>
      </c>
      <c r="E2" s="31" t="s">
        <v>30</v>
      </c>
      <c r="F2" s="38">
        <v>9</v>
      </c>
      <c r="G2" s="31">
        <f t="shared" ref="G2:G7" si="0">C2*F2</f>
        <v>8100</v>
      </c>
      <c r="H2" s="41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52</v>
      </c>
      <c r="B3" s="28">
        <v>44673</v>
      </c>
      <c r="C3" s="29">
        <v>6000</v>
      </c>
      <c r="D3" s="30" t="s">
        <v>30</v>
      </c>
      <c r="E3" s="31" t="s">
        <v>30</v>
      </c>
      <c r="F3" s="38">
        <v>0.86</v>
      </c>
      <c r="G3" s="31">
        <f t="shared" si="0"/>
        <v>5160</v>
      </c>
      <c r="H3" s="41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11</v>
      </c>
      <c r="B4" s="28">
        <v>44673</v>
      </c>
      <c r="C4" s="29">
        <v>9000</v>
      </c>
      <c r="D4" s="30" t="s">
        <v>30</v>
      </c>
      <c r="E4" s="31" t="s">
        <v>30</v>
      </c>
      <c r="F4" s="38">
        <v>1.75</v>
      </c>
      <c r="G4" s="31">
        <f t="shared" si="0"/>
        <v>15750</v>
      </c>
      <c r="H4" s="41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61</v>
      </c>
      <c r="B5" s="28">
        <v>44677</v>
      </c>
      <c r="C5" s="29">
        <v>900</v>
      </c>
      <c r="D5" s="30" t="s">
        <v>30</v>
      </c>
      <c r="E5" s="31" t="s">
        <v>30</v>
      </c>
      <c r="F5" s="38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51</v>
      </c>
      <c r="B6" s="28">
        <v>44678</v>
      </c>
      <c r="C6" s="29">
        <v>9000</v>
      </c>
      <c r="D6" s="30" t="s">
        <v>30</v>
      </c>
      <c r="E6" s="31" t="s">
        <v>30</v>
      </c>
      <c r="F6" s="38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62</v>
      </c>
      <c r="B7" s="28">
        <v>44680</v>
      </c>
      <c r="C7" s="29">
        <v>9000</v>
      </c>
      <c r="D7" s="30" t="s">
        <v>30</v>
      </c>
      <c r="E7" s="31" t="s">
        <v>30</v>
      </c>
      <c r="F7" s="38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.75">
      <c r="A9" s="27" t="s">
        <v>63</v>
      </c>
      <c r="B9" s="28">
        <v>44669</v>
      </c>
      <c r="C9" s="29">
        <v>10000</v>
      </c>
      <c r="D9" s="30">
        <v>13</v>
      </c>
      <c r="E9" s="31">
        <v>130287.94</v>
      </c>
      <c r="F9" s="30">
        <v>12.7</v>
      </c>
      <c r="G9" s="31">
        <v>126718.71</v>
      </c>
      <c r="H9" s="41">
        <f>G9-E9</f>
        <v>-3569.2299999999959</v>
      </c>
      <c r="I9" s="11"/>
      <c r="J9" s="7"/>
      <c r="K9" s="7"/>
      <c r="L9" s="15"/>
      <c r="M9" s="15"/>
      <c r="N9" s="6"/>
    </row>
    <row r="10" spans="1:14" s="1" customFormat="1" ht="21.75">
      <c r="A10" s="27" t="s">
        <v>64</v>
      </c>
      <c r="B10" s="28">
        <v>44669</v>
      </c>
      <c r="C10" s="29">
        <v>20000</v>
      </c>
      <c r="D10" s="30">
        <v>12.4</v>
      </c>
      <c r="E10" s="31">
        <v>248549.3</v>
      </c>
      <c r="F10" s="30">
        <v>12.1</v>
      </c>
      <c r="G10" s="31">
        <v>241463.99</v>
      </c>
      <c r="H10" s="41">
        <f>G10-E10</f>
        <v>-7085.3099999999977</v>
      </c>
      <c r="I10" s="11"/>
      <c r="J10" s="7"/>
      <c r="K10" s="7"/>
      <c r="L10" s="15"/>
      <c r="M10" s="15"/>
      <c r="N10" s="6"/>
    </row>
    <row r="11" spans="1:14" s="1" customFormat="1" ht="21.75">
      <c r="A11" s="27" t="s">
        <v>53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41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27" t="s">
        <v>65</v>
      </c>
      <c r="B12" s="28">
        <v>44680</v>
      </c>
      <c r="C12" s="29">
        <v>10000</v>
      </c>
      <c r="D12" s="30">
        <v>11.2</v>
      </c>
      <c r="E12" s="31">
        <v>112248.07</v>
      </c>
      <c r="F12" s="30">
        <v>11</v>
      </c>
      <c r="G12" s="31">
        <v>109756.36</v>
      </c>
      <c r="H12" s="41">
        <f>G12-E12</f>
        <v>-2491.7100000000064</v>
      </c>
      <c r="I12" s="11"/>
      <c r="J12" s="7"/>
      <c r="K12" s="7"/>
      <c r="L12" s="15"/>
      <c r="M12" s="15"/>
      <c r="N12" s="6"/>
    </row>
    <row r="13" spans="1:14" s="1" customFormat="1" ht="21.75">
      <c r="A13" s="27" t="s">
        <v>26</v>
      </c>
      <c r="B13" s="28">
        <v>44679</v>
      </c>
      <c r="C13" s="29">
        <v>15000</v>
      </c>
      <c r="D13" s="30">
        <v>12.1</v>
      </c>
      <c r="E13" s="31">
        <v>181902.01</v>
      </c>
      <c r="F13" s="30">
        <v>12.5</v>
      </c>
      <c r="G13" s="31">
        <v>187084.7</v>
      </c>
      <c r="H13" s="41">
        <f>G13-E13</f>
        <v>5182.6900000000023</v>
      </c>
      <c r="I13" s="11"/>
      <c r="J13" s="7"/>
      <c r="K13" s="7"/>
      <c r="L13" s="15"/>
      <c r="M13" s="15"/>
      <c r="N13" s="6"/>
    </row>
    <row r="14" spans="1:14" s="1" customFormat="1" ht="21.75">
      <c r="A14" s="27" t="s">
        <v>66</v>
      </c>
      <c r="B14" s="28">
        <v>44652</v>
      </c>
      <c r="C14" s="29">
        <v>3000</v>
      </c>
      <c r="D14" s="30">
        <v>38.5</v>
      </c>
      <c r="E14" s="31">
        <v>115755.83</v>
      </c>
      <c r="F14" s="30">
        <v>38.75</v>
      </c>
      <c r="G14" s="31">
        <v>115992.52</v>
      </c>
      <c r="H14" s="41">
        <f>G14-E14</f>
        <v>236.69000000000233</v>
      </c>
      <c r="I14" s="11"/>
      <c r="J14" s="7"/>
      <c r="K14" s="7"/>
      <c r="L14" s="15"/>
      <c r="M14" s="15"/>
      <c r="N14" s="6"/>
    </row>
    <row r="15" spans="1:14" s="1" customFormat="1" ht="21.75">
      <c r="A15" s="27" t="s">
        <v>67</v>
      </c>
      <c r="B15" s="28">
        <v>44673</v>
      </c>
      <c r="C15" s="29">
        <v>2000</v>
      </c>
      <c r="D15" s="30">
        <v>98</v>
      </c>
      <c r="E15" s="31">
        <v>196434.12</v>
      </c>
      <c r="F15" s="30">
        <v>101.5</v>
      </c>
      <c r="G15" s="31">
        <v>202550.38</v>
      </c>
      <c r="H15" s="41">
        <f>G15-E15</f>
        <v>6116.2600000000093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>
        <f>SUM(E9:E15)</f>
        <v>1036410.5</v>
      </c>
      <c r="F16" s="30"/>
      <c r="G16" s="32">
        <f>SUM(G9:G15)</f>
        <v>1037207.59</v>
      </c>
      <c r="H16" s="34">
        <f>SUM(H9:H15)</f>
        <v>797.09000000001106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54</v>
      </c>
      <c r="H17" s="34">
        <f>H8+H16</f>
        <v>45467.090000000011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55</v>
      </c>
      <c r="H18" s="32">
        <v>128129.69200000005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56</v>
      </c>
      <c r="H19" s="34">
        <f>H17+H18</f>
        <v>173596.78200000006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13</v>
      </c>
      <c r="H20" s="35">
        <v>187090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68</v>
      </c>
      <c r="H21" s="35">
        <v>71150</v>
      </c>
      <c r="I21" s="11"/>
      <c r="J21" s="7"/>
      <c r="K21" s="7"/>
      <c r="L21" s="15"/>
      <c r="M21" s="15"/>
      <c r="N21" s="6"/>
    </row>
    <row r="22" spans="1:14" s="1" customFormat="1" ht="21">
      <c r="A22" s="26"/>
      <c r="B22" s="28"/>
      <c r="C22" s="29"/>
      <c r="D22" s="33"/>
      <c r="E22" s="32"/>
      <c r="F22" s="30"/>
      <c r="G22" s="32" t="s">
        <v>15</v>
      </c>
      <c r="H22" s="34">
        <f>H20+H21</f>
        <v>258240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32" t="s">
        <v>16</v>
      </c>
      <c r="H23" s="46">
        <f>H19-H22</f>
        <v>-84643.217999999935</v>
      </c>
      <c r="I23" s="11"/>
      <c r="J23" s="7"/>
      <c r="K23" s="7"/>
      <c r="L23" s="15"/>
      <c r="M23" s="15"/>
      <c r="N23" s="6"/>
    </row>
    <row r="24" spans="1:14" s="1" customFormat="1" ht="21">
      <c r="A24" s="5"/>
      <c r="B24" s="12"/>
      <c r="C24" s="8"/>
      <c r="D24" s="9"/>
      <c r="E24" s="7"/>
      <c r="F24" s="10"/>
      <c r="G24" s="39" t="s">
        <v>58</v>
      </c>
      <c r="H24" s="39">
        <v>112000</v>
      </c>
      <c r="I24" s="11"/>
      <c r="J24" s="7"/>
      <c r="K24" s="7"/>
      <c r="L24" s="15"/>
      <c r="M24" s="15"/>
      <c r="N24" s="6"/>
    </row>
    <row r="25" spans="1:14" s="1" customFormat="1" ht="21">
      <c r="A25" s="6"/>
      <c r="B25" s="12"/>
      <c r="C25" s="8"/>
      <c r="D25" s="10"/>
      <c r="E25" s="14"/>
      <c r="F25" s="10"/>
      <c r="G25" s="39" t="s">
        <v>59</v>
      </c>
      <c r="H25" s="40">
        <f>H23+H24</f>
        <v>27356.782000000065</v>
      </c>
      <c r="I25" s="11"/>
      <c r="J25" s="7"/>
      <c r="K25" s="7"/>
      <c r="L25" s="15"/>
      <c r="M25" s="15"/>
      <c r="N25" s="7"/>
    </row>
    <row r="26" spans="1:14">
      <c r="I26" s="7"/>
      <c r="K26" s="7"/>
      <c r="N26" s="13"/>
    </row>
    <row r="27" spans="1:14" ht="15.6" customHeight="1">
      <c r="K27" s="7"/>
    </row>
    <row r="28" spans="1:14">
      <c r="K28" s="7"/>
      <c r="M28" s="7"/>
    </row>
    <row r="29" spans="1:14">
      <c r="M29" s="7"/>
    </row>
    <row r="30" spans="1:14">
      <c r="M30" s="7"/>
    </row>
    <row r="31" spans="1:14">
      <c r="K31" s="7"/>
    </row>
  </sheetData>
  <sheetProtection selectLockedCells="1" selectUnlockedCells="1"/>
  <sortState xmlns:xlrd2="http://schemas.microsoft.com/office/spreadsheetml/2017/richdata2" ref="A9:N15">
    <sortCondition ref="A9:A15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E36" activePane="bottomLeft" state="frozen"/>
      <selection pane="bottomLeft" activeCell="H43" sqref="H4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26</v>
      </c>
      <c r="B2" s="28">
        <v>44686</v>
      </c>
      <c r="C2" s="29">
        <v>50000</v>
      </c>
      <c r="D2" s="30" t="s">
        <v>30</v>
      </c>
      <c r="E2" s="31" t="s">
        <v>30</v>
      </c>
      <c r="F2" s="38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52</v>
      </c>
      <c r="B3" s="28">
        <v>44686</v>
      </c>
      <c r="C3" s="29">
        <v>15000</v>
      </c>
      <c r="D3" s="30" t="s">
        <v>30</v>
      </c>
      <c r="E3" s="31" t="s">
        <v>30</v>
      </c>
      <c r="F3" s="38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27</v>
      </c>
      <c r="B4" s="28">
        <v>44687</v>
      </c>
      <c r="C4" s="29">
        <v>27000</v>
      </c>
      <c r="D4" s="30" t="s">
        <v>30</v>
      </c>
      <c r="E4" s="31" t="s">
        <v>30</v>
      </c>
      <c r="F4" s="38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12</v>
      </c>
      <c r="B5" s="28">
        <v>44687</v>
      </c>
      <c r="C5" s="29">
        <v>22500</v>
      </c>
      <c r="D5" s="30" t="s">
        <v>30</v>
      </c>
      <c r="E5" s="31" t="s">
        <v>30</v>
      </c>
      <c r="F5" s="38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69</v>
      </c>
      <c r="B6" s="28">
        <v>44687</v>
      </c>
      <c r="C6" s="29">
        <v>27000</v>
      </c>
      <c r="D6" s="30" t="s">
        <v>30</v>
      </c>
      <c r="E6" s="31" t="s">
        <v>30</v>
      </c>
      <c r="F6" s="38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70</v>
      </c>
      <c r="B7" s="28">
        <v>44690</v>
      </c>
      <c r="C7" s="29">
        <v>13000</v>
      </c>
      <c r="D7" s="30" t="s">
        <v>30</v>
      </c>
      <c r="E7" s="31"/>
      <c r="F7" s="38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71</v>
      </c>
      <c r="B8" s="28">
        <v>44693</v>
      </c>
      <c r="C8" s="29">
        <v>9000</v>
      </c>
      <c r="D8" s="30" t="s">
        <v>30</v>
      </c>
      <c r="E8" s="31"/>
      <c r="F8" s="38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25</v>
      </c>
      <c r="B9" s="28">
        <v>44694</v>
      </c>
      <c r="C9" s="29">
        <v>4500</v>
      </c>
      <c r="D9" s="30" t="s">
        <v>30</v>
      </c>
      <c r="E9" s="31"/>
      <c r="F9" s="38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72</v>
      </c>
      <c r="B10" s="28">
        <v>44698</v>
      </c>
      <c r="C10" s="29">
        <v>30000</v>
      </c>
      <c r="D10" s="30" t="s">
        <v>30</v>
      </c>
      <c r="E10" s="31"/>
      <c r="F10" s="38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73</v>
      </c>
      <c r="B11" s="28">
        <v>44698</v>
      </c>
      <c r="C11" s="29">
        <v>60000</v>
      </c>
      <c r="D11" s="30" t="s">
        <v>30</v>
      </c>
      <c r="E11" s="31"/>
      <c r="F11" s="38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74</v>
      </c>
      <c r="B12" s="28">
        <v>44700</v>
      </c>
      <c r="C12" s="29">
        <v>3000</v>
      </c>
      <c r="D12" s="30" t="s">
        <v>30</v>
      </c>
      <c r="E12" s="31"/>
      <c r="F12" s="38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67</v>
      </c>
      <c r="B13" s="28">
        <v>44700</v>
      </c>
      <c r="C13" s="29">
        <v>2000</v>
      </c>
      <c r="D13" s="30" t="s">
        <v>30</v>
      </c>
      <c r="E13" s="31"/>
      <c r="F13" s="38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39</v>
      </c>
      <c r="B14" s="28">
        <v>44701</v>
      </c>
      <c r="C14" s="29">
        <v>6000</v>
      </c>
      <c r="D14" s="30" t="s">
        <v>30</v>
      </c>
      <c r="E14" s="31"/>
      <c r="F14" s="38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24</v>
      </c>
      <c r="B15" s="28">
        <v>44701</v>
      </c>
      <c r="C15" s="29">
        <v>12000</v>
      </c>
      <c r="D15" s="30" t="s">
        <v>30</v>
      </c>
      <c r="E15" s="31"/>
      <c r="F15" s="38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75</v>
      </c>
      <c r="B16" s="28">
        <v>44705</v>
      </c>
      <c r="C16" s="29">
        <v>18000</v>
      </c>
      <c r="D16" s="30" t="s">
        <v>30</v>
      </c>
      <c r="E16" s="31"/>
      <c r="F16" s="38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76</v>
      </c>
      <c r="B17" s="28">
        <v>44705</v>
      </c>
      <c r="C17" s="29">
        <v>45000</v>
      </c>
      <c r="D17" s="30" t="s">
        <v>30</v>
      </c>
      <c r="E17" s="31"/>
      <c r="F17" s="38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77</v>
      </c>
      <c r="B18" s="28">
        <v>44705</v>
      </c>
      <c r="C18" s="29">
        <v>4500</v>
      </c>
      <c r="D18" s="30" t="s">
        <v>30</v>
      </c>
      <c r="E18" s="31"/>
      <c r="F18" s="38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78</v>
      </c>
      <c r="B19" s="28">
        <v>44706</v>
      </c>
      <c r="C19" s="29">
        <v>90000</v>
      </c>
      <c r="D19" s="30" t="s">
        <v>30</v>
      </c>
      <c r="E19" s="31"/>
      <c r="F19" s="38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18</v>
      </c>
      <c r="B20" s="28">
        <v>44712</v>
      </c>
      <c r="C20" s="29">
        <v>60000</v>
      </c>
      <c r="D20" s="30" t="s">
        <v>30</v>
      </c>
      <c r="E20" s="31"/>
      <c r="F20" s="38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71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66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53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71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39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39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66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39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79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77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25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25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36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17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5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54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55</v>
      </c>
      <c r="H38" s="34">
        <v>173596.78200000006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56</v>
      </c>
      <c r="H39" s="34">
        <f>H37+H38</f>
        <v>344208.35200000007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13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80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15</v>
      </c>
      <c r="H42" s="42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32" t="s">
        <v>16</v>
      </c>
      <c r="H43" s="47">
        <f>H39-H42</f>
        <v>29328.352000000072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9" t="s">
        <v>58</v>
      </c>
      <c r="H44" s="39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9" t="s">
        <v>59</v>
      </c>
      <c r="H45" s="40">
        <f>H43+H44</f>
        <v>141328.35200000007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16" activePane="bottomLeft" state="frozen"/>
      <selection pane="bottomLeft" activeCell="H22" sqref="H2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34</v>
      </c>
      <c r="B2" s="28">
        <v>44718</v>
      </c>
      <c r="C2" s="29">
        <v>50000</v>
      </c>
      <c r="D2" s="30" t="s">
        <v>30</v>
      </c>
      <c r="E2" s="31"/>
      <c r="F2" s="38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65</v>
      </c>
      <c r="B3" s="28">
        <v>44720</v>
      </c>
      <c r="C3" s="29">
        <v>110000</v>
      </c>
      <c r="D3" s="30" t="s">
        <v>30</v>
      </c>
      <c r="E3" s="31"/>
      <c r="F3" s="38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81</v>
      </c>
      <c r="B4" s="28">
        <v>44727</v>
      </c>
      <c r="C4" s="29">
        <v>30000</v>
      </c>
      <c r="D4" s="30" t="s">
        <v>30</v>
      </c>
      <c r="E4" s="31"/>
      <c r="F4" s="38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17</v>
      </c>
      <c r="B5" s="28">
        <v>44728</v>
      </c>
      <c r="C5" s="29">
        <v>6000</v>
      </c>
      <c r="D5" s="30" t="s">
        <v>30</v>
      </c>
      <c r="E5" s="31"/>
      <c r="F5" s="38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82</v>
      </c>
      <c r="B6" s="28">
        <v>44736</v>
      </c>
      <c r="C6" s="29">
        <v>40000</v>
      </c>
      <c r="D6" s="30" t="s">
        <v>30</v>
      </c>
      <c r="E6" s="31"/>
      <c r="F6" s="38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28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12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34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83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35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84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26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5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54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55</v>
      </c>
      <c r="H17" s="32">
        <v>344208.35200000007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56</v>
      </c>
      <c r="H18" s="34">
        <f>H16+H17</f>
        <v>385798.6920000001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13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85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15</v>
      </c>
      <c r="H21" s="42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32" t="s">
        <v>16</v>
      </c>
      <c r="H22" s="47">
        <f>H18-H21</f>
        <v>-1641.3079999999027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58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59</v>
      </c>
      <c r="H24" s="40">
        <f>H22+H23</f>
        <v>110358.6920000001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D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82</v>
      </c>
      <c r="B2" s="28">
        <v>44736</v>
      </c>
      <c r="C2" s="29">
        <v>40000</v>
      </c>
      <c r="D2" s="30" t="s">
        <v>30</v>
      </c>
      <c r="E2" s="31"/>
      <c r="F2" s="38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67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67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25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35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5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54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55</v>
      </c>
      <c r="H10" s="32">
        <v>385798.6920000001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56</v>
      </c>
      <c r="H11" s="34">
        <f>H9+H10</f>
        <v>367949.4420000001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13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86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15</v>
      </c>
      <c r="H14" s="42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32" t="s">
        <v>16</v>
      </c>
      <c r="H15" s="47">
        <f>H11-H14</f>
        <v>-46450.557999999903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9" t="s">
        <v>58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9" t="s">
        <v>59</v>
      </c>
      <c r="H17" s="40">
        <f>H15+H16</f>
        <v>65549.442000000097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E8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44799</v>
      </c>
      <c r="C2" s="29">
        <v>600</v>
      </c>
      <c r="D2" s="30" t="s">
        <v>30</v>
      </c>
      <c r="E2" s="31"/>
      <c r="F2" s="38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88</v>
      </c>
      <c r="B3" s="28">
        <v>44799</v>
      </c>
      <c r="C3" s="29">
        <v>900</v>
      </c>
      <c r="D3" s="30" t="s">
        <v>30</v>
      </c>
      <c r="E3" s="31"/>
      <c r="F3" s="38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2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87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28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5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54</v>
      </c>
      <c r="H8" s="42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55</v>
      </c>
      <c r="H9" s="32">
        <v>367949.4420000001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56</v>
      </c>
      <c r="H10" s="42">
        <f>H8+H9</f>
        <v>378717.68200000009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13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89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15</v>
      </c>
      <c r="H13" s="42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16</v>
      </c>
      <c r="H14" s="48">
        <f>H10-H13</f>
        <v>-89622.317999999912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9" t="s">
        <v>58</v>
      </c>
      <c r="H15" s="39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9" t="s">
        <v>59</v>
      </c>
      <c r="H16" s="43">
        <f>H14+H15</f>
        <v>22377.682000000088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C29" activePane="bottomLeft" state="frozen"/>
      <selection pane="bottomLeft" activeCell="H31" sqref="H31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90</v>
      </c>
      <c r="B2" s="28">
        <v>44806</v>
      </c>
      <c r="C2" s="29">
        <v>5000</v>
      </c>
      <c r="D2" s="30" t="s">
        <v>30</v>
      </c>
      <c r="E2" s="31"/>
      <c r="F2" s="38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24</v>
      </c>
      <c r="B3" s="28">
        <v>44806</v>
      </c>
      <c r="C3" s="29">
        <v>15000</v>
      </c>
      <c r="D3" s="30" t="s">
        <v>30</v>
      </c>
      <c r="E3" s="31"/>
      <c r="F3" s="38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91</v>
      </c>
      <c r="B4" s="28">
        <v>44806</v>
      </c>
      <c r="C4" s="29">
        <v>15000</v>
      </c>
      <c r="D4" s="30" t="s">
        <v>30</v>
      </c>
      <c r="E4" s="31"/>
      <c r="F4" s="38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81</v>
      </c>
      <c r="B5" s="28">
        <v>44806</v>
      </c>
      <c r="C5" s="29">
        <v>30000</v>
      </c>
      <c r="D5" s="30" t="s">
        <v>30</v>
      </c>
      <c r="E5" s="31"/>
      <c r="F5" s="38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34</v>
      </c>
      <c r="B6" s="28">
        <v>44809</v>
      </c>
      <c r="C6" s="29">
        <v>40000</v>
      </c>
      <c r="D6" s="30" t="s">
        <v>30</v>
      </c>
      <c r="E6" s="31"/>
      <c r="F6" s="38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23</v>
      </c>
      <c r="B7" s="28">
        <v>44809</v>
      </c>
      <c r="C7" s="29">
        <v>18000</v>
      </c>
      <c r="D7" s="30" t="s">
        <v>30</v>
      </c>
      <c r="E7" s="31"/>
      <c r="F7" s="38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18</v>
      </c>
      <c r="B8" s="28">
        <v>44810</v>
      </c>
      <c r="C8" s="29">
        <v>60000</v>
      </c>
      <c r="D8" s="30" t="s">
        <v>30</v>
      </c>
      <c r="E8" s="31"/>
      <c r="F8" s="38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65</v>
      </c>
      <c r="B9" s="28">
        <v>44810</v>
      </c>
      <c r="C9" s="29">
        <v>130000</v>
      </c>
      <c r="D9" s="30" t="s">
        <v>30</v>
      </c>
      <c r="E9" s="31"/>
      <c r="F9" s="38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74</v>
      </c>
      <c r="B10" s="28">
        <v>44810</v>
      </c>
      <c r="C10" s="29">
        <v>7500</v>
      </c>
      <c r="D10" s="30" t="s">
        <v>30</v>
      </c>
      <c r="E10" s="31"/>
      <c r="F10" s="38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27</v>
      </c>
      <c r="B11" s="28">
        <v>44811</v>
      </c>
      <c r="C11" s="29">
        <v>27000</v>
      </c>
      <c r="D11" s="30" t="s">
        <v>30</v>
      </c>
      <c r="E11" s="31"/>
      <c r="F11" s="38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12</v>
      </c>
      <c r="B12" s="28">
        <v>44812</v>
      </c>
      <c r="C12" s="29">
        <v>22500</v>
      </c>
      <c r="D12" s="30" t="s">
        <v>30</v>
      </c>
      <c r="E12" s="31"/>
      <c r="F12" s="38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72</v>
      </c>
      <c r="B13" s="28">
        <v>44813</v>
      </c>
      <c r="C13" s="29">
        <v>30000</v>
      </c>
      <c r="D13" s="30" t="s">
        <v>30</v>
      </c>
      <c r="E13" s="31"/>
      <c r="F13" s="38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70</v>
      </c>
      <c r="B14" s="28">
        <v>44813</v>
      </c>
      <c r="C14" s="29">
        <v>15000</v>
      </c>
      <c r="D14" s="30" t="s">
        <v>30</v>
      </c>
      <c r="E14" s="31"/>
      <c r="F14" s="38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78</v>
      </c>
      <c r="B15" s="28">
        <v>44813</v>
      </c>
      <c r="C15" s="29">
        <v>105000</v>
      </c>
      <c r="D15" s="30" t="s">
        <v>30</v>
      </c>
      <c r="E15" s="31"/>
      <c r="F15" s="38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69</v>
      </c>
      <c r="B16" s="28">
        <v>44813</v>
      </c>
      <c r="C16" s="29">
        <v>48000</v>
      </c>
      <c r="D16" s="30" t="s">
        <v>30</v>
      </c>
      <c r="E16" s="31"/>
      <c r="F16" s="38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76</v>
      </c>
      <c r="B17" s="28">
        <v>44817</v>
      </c>
      <c r="C17" s="29">
        <v>45000</v>
      </c>
      <c r="D17" s="30" t="s">
        <v>30</v>
      </c>
      <c r="E17" s="31"/>
      <c r="F17" s="38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75</v>
      </c>
      <c r="B18" s="28">
        <v>44818</v>
      </c>
      <c r="C18" s="29">
        <v>21000</v>
      </c>
      <c r="D18" s="30" t="s">
        <v>30</v>
      </c>
      <c r="E18" s="31"/>
      <c r="F18" s="38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92</v>
      </c>
      <c r="B19" s="28">
        <v>44818</v>
      </c>
      <c r="C19" s="29">
        <v>10000</v>
      </c>
      <c r="D19" s="30" t="s">
        <v>30</v>
      </c>
      <c r="E19" s="31"/>
      <c r="F19" s="38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17</v>
      </c>
      <c r="B20" s="28">
        <v>44819</v>
      </c>
      <c r="C20" s="29">
        <v>2400</v>
      </c>
      <c r="D20" s="30" t="s">
        <v>30</v>
      </c>
      <c r="E20" s="31"/>
      <c r="F20" s="38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82</v>
      </c>
      <c r="B21" s="28">
        <v>44823</v>
      </c>
      <c r="C21" s="29">
        <v>40000</v>
      </c>
      <c r="D21" s="30" t="s">
        <v>30</v>
      </c>
      <c r="E21" s="31"/>
      <c r="F21" s="38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11</v>
      </c>
      <c r="B22" s="28">
        <v>44825</v>
      </c>
      <c r="C22" s="29">
        <v>12000</v>
      </c>
      <c r="D22" s="30" t="s">
        <v>30</v>
      </c>
      <c r="E22" s="31"/>
      <c r="F22" s="38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75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73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65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93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44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54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55</v>
      </c>
      <c r="H30" s="32">
        <v>378717.68200000009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56</v>
      </c>
      <c r="H31" s="42">
        <f>H29+H30</f>
        <v>551927.90200000012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13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94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15</v>
      </c>
      <c r="H34" s="42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16</v>
      </c>
      <c r="H35" s="46">
        <f>H31-H34</f>
        <v>48242.902000000118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9" t="s">
        <v>58</v>
      </c>
      <c r="H36" s="39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9" t="s">
        <v>59</v>
      </c>
      <c r="H37" s="43">
        <f>H35+H36</f>
        <v>160242.90200000012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5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66</v>
      </c>
      <c r="B2" s="28">
        <v>44846</v>
      </c>
      <c r="C2" s="29">
        <v>4500</v>
      </c>
      <c r="D2" s="30" t="s">
        <v>30</v>
      </c>
      <c r="E2" s="31"/>
      <c r="F2" s="38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62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41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24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41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75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41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11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41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41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54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55</v>
      </c>
      <c r="H10" s="32">
        <v>551927.90200000012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56</v>
      </c>
      <c r="H11" s="42">
        <f>H9+H10</f>
        <v>520035.9420000001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13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95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15</v>
      </c>
      <c r="H14" s="42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16</v>
      </c>
      <c r="H15" s="46">
        <f>H11-H14</f>
        <v>-54779.057999999903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9" t="s">
        <v>58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9" t="s">
        <v>59</v>
      </c>
      <c r="H17" s="43">
        <f>H15+H16</f>
        <v>57220.942000000097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66</v>
      </c>
      <c r="B2" s="28">
        <v>44846</v>
      </c>
      <c r="C2" s="29">
        <v>0</v>
      </c>
      <c r="D2" s="30" t="s">
        <v>30</v>
      </c>
      <c r="E2" s="31"/>
      <c r="F2" s="38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12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70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23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88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91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53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53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96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54</v>
      </c>
      <c r="H13" s="44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55</v>
      </c>
      <c r="H14" s="32">
        <v>520035.9420000001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56</v>
      </c>
      <c r="H15" s="42">
        <f>H13+H14</f>
        <v>416029.09200000006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13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97</v>
      </c>
      <c r="H17" s="35">
        <v>37950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15</v>
      </c>
      <c r="H18" s="42">
        <f>H16+H17</f>
        <v>612765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16</v>
      </c>
      <c r="H19" s="46">
        <f>H15-H18</f>
        <v>-196735.90799999994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9" t="s">
        <v>58</v>
      </c>
      <c r="H20" s="39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9" t="s">
        <v>59</v>
      </c>
      <c r="H21" s="43">
        <f>H19+H20</f>
        <v>-84735.907999999938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D17" activePane="bottomLeft" state="frozen"/>
      <selection pane="bottomLeft" activeCell="H28" sqref="H28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90</v>
      </c>
      <c r="B2" s="28">
        <v>44897</v>
      </c>
      <c r="C2" s="29">
        <v>20000</v>
      </c>
      <c r="D2" s="30" t="s">
        <v>30</v>
      </c>
      <c r="E2" s="31"/>
      <c r="F2" s="38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18</v>
      </c>
      <c r="B3" s="28">
        <v>44901</v>
      </c>
      <c r="C3" s="29">
        <v>60000</v>
      </c>
      <c r="D3" s="30" t="s">
        <v>30</v>
      </c>
      <c r="E3" s="31"/>
      <c r="F3" s="38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34</v>
      </c>
      <c r="B4" s="28">
        <v>44901</v>
      </c>
      <c r="C4" s="29">
        <v>40000</v>
      </c>
      <c r="D4" s="30" t="s">
        <v>30</v>
      </c>
      <c r="E4" s="31"/>
      <c r="F4" s="38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65</v>
      </c>
      <c r="B5" s="28">
        <v>44903</v>
      </c>
      <c r="C5" s="29">
        <v>130000</v>
      </c>
      <c r="D5" s="30" t="s">
        <v>30</v>
      </c>
      <c r="E5" s="31"/>
      <c r="F5" s="38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24</v>
      </c>
      <c r="B6" s="28">
        <v>44904</v>
      </c>
      <c r="C6" s="29">
        <v>24000</v>
      </c>
      <c r="D6" s="30" t="s">
        <v>30</v>
      </c>
      <c r="E6" s="31"/>
      <c r="F6" s="38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81</v>
      </c>
      <c r="B7" s="28">
        <v>44908</v>
      </c>
      <c r="C7" s="29">
        <v>30000</v>
      </c>
      <c r="D7" s="30" t="s">
        <v>30</v>
      </c>
      <c r="E7" s="31"/>
      <c r="F7" s="38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82</v>
      </c>
      <c r="B8" s="28">
        <v>44910</v>
      </c>
      <c r="C8" s="29">
        <v>40000</v>
      </c>
      <c r="D8" s="30" t="s">
        <v>30</v>
      </c>
      <c r="E8" s="31"/>
      <c r="F8" s="38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17</v>
      </c>
      <c r="B9" s="28">
        <v>44910</v>
      </c>
      <c r="C9" s="29">
        <v>2400</v>
      </c>
      <c r="D9" s="30" t="s">
        <v>30</v>
      </c>
      <c r="E9" s="31"/>
      <c r="F9" s="38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92</v>
      </c>
      <c r="B10" s="28">
        <v>44918</v>
      </c>
      <c r="C10" s="29">
        <v>20000</v>
      </c>
      <c r="D10" s="30" t="s">
        <v>30</v>
      </c>
      <c r="E10" s="31"/>
      <c r="F10" s="38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98</v>
      </c>
      <c r="B11" s="28">
        <v>44923</v>
      </c>
      <c r="C11" s="29">
        <v>10000</v>
      </c>
      <c r="D11" s="30" t="s">
        <v>30</v>
      </c>
      <c r="E11" s="31"/>
      <c r="F11" s="38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10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53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12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12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69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23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41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54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55</v>
      </c>
      <c r="H21" s="32">
        <v>416029.09200000006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56</v>
      </c>
      <c r="H22" s="42">
        <f>H20+H21</f>
        <v>459673.67200000002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13</v>
      </c>
      <c r="H23" s="35">
        <v>612765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99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15</v>
      </c>
      <c r="H25" s="42">
        <f>H23+H24</f>
        <v>642295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16</v>
      </c>
      <c r="H26" s="36">
        <f>H22-H25</f>
        <v>-182621.32799999998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9" t="s">
        <v>58</v>
      </c>
      <c r="H27" s="39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9" t="s">
        <v>59</v>
      </c>
      <c r="H28" s="49">
        <f>H26+H27</f>
        <v>-70621.32799999998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2023-01-19T09:08:46Z</dcterms:modified>
  <cp:category/>
  <cp:contentStatus/>
</cp:coreProperties>
</file>