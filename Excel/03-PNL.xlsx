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563" documentId="8_{B00F7D7D-2236-4C8B-840E-2CD3F92C0379}" xr6:coauthVersionLast="47" xr6:coauthVersionMax="47" xr10:uidLastSave="{416B31E3-9DFE-44A4-8186-4A61BFADED29}"/>
  <bookViews>
    <workbookView xWindow="8076" yWindow="1416" windowWidth="13908" windowHeight="9516" tabRatio="445" firstSheet="12" activeTab="12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41" l="1"/>
  <c r="H16" i="39"/>
  <c r="H8" i="58"/>
  <c r="G3" i="58"/>
  <c r="E3" i="58"/>
  <c r="H2" i="58"/>
  <c r="H3" i="58" s="1"/>
  <c r="H5" i="58" s="1"/>
  <c r="H9" i="58" s="1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28" i="39" l="1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<sst xmlns="http://schemas.openxmlformats.org/spreadsheetml/2006/main" count="481" uniqueCount="99">
  <si>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</si>
  <si>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</si>
  <si>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</si>
  <si>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</si>
  <si>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</si>
  <si>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</si>
  <si>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</si>
  <si>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</si>
  <si>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</si>
  <si>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</si>
  <si>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</si>
  <si>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</si>
  <si>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</si>
  <si>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</si>
  <si>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</si>
  <si>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</si>
  <si>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</si>
  <si>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</si>
  <si>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</si>
  <si>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</si>
  <si>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</si>
  <si>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</si>
  <si>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</si>
  <si>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</si>
  <si>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</si>
  <si>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</si>
  <si>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</si>
  <si>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BGRIM</t>
  </si>
  <si>
    <t>CKP</t>
  </si>
  <si>
    <t>CLP</t>
  </si>
  <si>
    <t>DIF</t>
  </si>
  <si>
    <t>GLOBAL</t>
  </si>
  <si>
    <t>IP</t>
  </si>
  <si>
    <t>LPF</t>
  </si>
  <si>
    <t>NOBLE</t>
  </si>
  <si>
    <t>RATCH</t>
  </si>
  <si>
    <t>TSE</t>
  </si>
  <si>
    <t>TSTH</t>
  </si>
  <si>
    <t>TU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</si>
  <si>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</si>
  <si>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</si>
  <si>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</si>
  <si>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</si>
  <si>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</si>
  <si>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</si>
  <si>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</si>
  <si>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</si>
  <si>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</si>
  <si>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</si>
  <si>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SINGER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</si>
  <si>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</si>
  <si>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</si>
  <si>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</si>
  <si>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</si>
  <si>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</si>
  <si>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</si>
  <si>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</si>
  <si>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</si>
  <si>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>PTTGC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</si>
  <si>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</si>
  <si>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</si>
  <si>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</si>
  <si>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</si>
  <si>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</si>
  <si>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</si>
  <si>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</si>
  <si>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</si>
  <si>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STA</t>
  </si>
  <si>
    <t>TMT</t>
  </si>
  <si>
    <t>KCE</t>
  </si>
  <si>
    <t>SPALI</t>
  </si>
  <si>
    <t>ASP</t>
  </si>
  <si>
    <t>TPIPL</t>
  </si>
  <si>
    <t>MAKRO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</si>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</sst>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9"/>
  <sheetViews>
    <sheetView workbookViewId="0">
      <pane ySplit="1" topLeftCell="A2" activePane="bottomLeft" state="frozen"/>
      <selection pane="bottomLeft" activeCell="H7" sqref="H7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" si="0">G2-E2</f>
        <v>4074.7400000000052</v>
      </c>
      <c r="I2" s="15"/>
      <c r="J2" s="15"/>
      <c r="K2" s="6"/>
    </row>
    <row r="3" spans="1:11" ht="15" customHeight="1">
      <c r="A3" s="26"/>
      <c r="B3" s="28"/>
      <c r="C3" s="29"/>
      <c r="D3" s="33"/>
      <c r="E3" s="32">
        <f>SUM(E2:E2)</f>
        <v>93957.64</v>
      </c>
      <c r="F3" s="30"/>
      <c r="G3" s="32">
        <f>SUM(G2:G2)</f>
        <v>98032.38</v>
      </c>
      <c r="H3" s="34">
        <f>SUM(H2:H2)</f>
        <v>4074.7400000000052</v>
      </c>
      <c r="K3" s="15"/>
    </row>
    <row r="4" spans="1:11" ht="15" customHeight="1">
      <c r="A4" s="26"/>
      <c r="B4" s="28"/>
      <c r="C4" s="29"/>
      <c r="D4" s="33"/>
      <c r="E4" s="32"/>
      <c r="F4" s="30"/>
      <c r="G4" s="32"/>
      <c r="H4" s="32">
        <v>0</v>
      </c>
    </row>
    <row r="5" spans="1:11" ht="15" customHeight="1">
      <c r="A5" s="26"/>
      <c r="B5" s="28"/>
      <c r="C5" s="29"/>
      <c r="D5" s="33"/>
      <c r="E5" s="32"/>
      <c r="F5" s="30"/>
      <c r="G5" s="32"/>
      <c r="H5" s="32">
        <f>SUM(H3:H4)</f>
        <v>4074.7400000000052</v>
      </c>
    </row>
    <row r="6" spans="1:11" ht="15" customHeight="1">
      <c r="A6" s="26"/>
      <c r="B6" s="28"/>
      <c r="C6" s="29"/>
      <c r="D6" s="33"/>
      <c r="E6" s="32"/>
      <c r="F6" s="30"/>
      <c r="G6" s="32" t="s">
        <v>9</v>
      </c>
      <c r="H6" s="35">
        <v>0</v>
      </c>
    </row>
    <row r="7" spans="1:11" ht="15" customHeight="1">
      <c r="A7" s="26"/>
      <c r="B7" s="28"/>
      <c r="C7" s="29"/>
      <c r="D7" s="33"/>
      <c r="E7" s="32"/>
      <c r="F7" s="30"/>
      <c r="G7" s="32" t="s">
        <v>10</v>
      </c>
      <c r="H7" s="35">
        <v>62710</v>
      </c>
    </row>
    <row r="8" spans="1:11" ht="15" customHeight="1">
      <c r="A8" s="26"/>
      <c r="B8" s="28"/>
      <c r="C8" s="29"/>
      <c r="D8" s="33"/>
      <c r="E8" s="32"/>
      <c r="F8" s="30"/>
      <c r="G8" s="32" t="s">
        <v>11</v>
      </c>
      <c r="H8" s="32">
        <f>H6+H7</f>
        <v>62710</v>
      </c>
    </row>
    <row r="9" spans="1:11" ht="15" customHeight="1">
      <c r="A9" s="26"/>
      <c r="B9" s="28"/>
      <c r="C9" s="29"/>
      <c r="D9" s="33"/>
      <c r="E9" s="32"/>
      <c r="F9" s="30"/>
      <c r="G9" s="32" t="s">
        <v>12</v>
      </c>
      <c r="H9" s="36">
        <f>H5-H8</f>
        <v>-58635.259999999995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E18" activePane="bottomLeft" state="frozen"/>
      <selection pane="bottomLeft" activeCell="H29" sqref="H29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13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14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15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16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16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16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13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17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18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19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17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17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18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20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21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13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13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22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16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23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24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4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9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10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11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12</v>
      </c>
      <c r="H29" s="4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3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25</v>
      </c>
      <c r="B2" s="28">
        <v>44607</v>
      </c>
      <c r="C2" s="29">
        <v>10000</v>
      </c>
      <c r="D2" s="30" t="s">
        <v>26</v>
      </c>
      <c r="E2" s="31" t="s">
        <v>26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27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28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29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30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15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31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31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16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16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16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32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13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13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13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33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22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34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35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24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24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36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37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37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38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9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39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11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12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40</v>
      </c>
      <c r="B2" s="28">
        <v>44624</v>
      </c>
      <c r="C2" s="29">
        <v>10000</v>
      </c>
      <c r="D2" s="30" t="s">
        <v>26</v>
      </c>
      <c r="E2" s="31" t="s">
        <v>26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41</v>
      </c>
      <c r="B3" s="28">
        <v>44624</v>
      </c>
      <c r="C3" s="29">
        <v>60000</v>
      </c>
      <c r="D3" s="30" t="s">
        <v>26</v>
      </c>
      <c r="E3" s="31" t="s">
        <v>26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42</v>
      </c>
      <c r="B4" s="28">
        <v>44641</v>
      </c>
      <c r="C4" s="29">
        <v>110000</v>
      </c>
      <c r="D4" s="30" t="s">
        <v>26</v>
      </c>
      <c r="E4" s="31" t="s">
        <v>26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43</v>
      </c>
      <c r="B5" s="28">
        <v>44645</v>
      </c>
      <c r="C5" s="29">
        <v>20000</v>
      </c>
      <c r="D5" s="30" t="s">
        <v>26</v>
      </c>
      <c r="E5" s="31" t="s">
        <v>26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44</v>
      </c>
      <c r="B6" s="28">
        <v>44648</v>
      </c>
      <c r="C6" s="29">
        <v>10000</v>
      </c>
      <c r="D6" s="30" t="s">
        <v>26</v>
      </c>
      <c r="E6" s="31" t="s">
        <v>26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45</v>
      </c>
      <c r="B7" s="28">
        <v>44650</v>
      </c>
      <c r="C7" s="29">
        <v>40100</v>
      </c>
      <c r="D7" s="30" t="s">
        <v>26</v>
      </c>
      <c r="E7" s="31" t="s">
        <v>26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46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47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47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48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49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50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49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49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21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51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52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53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9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54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11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12</v>
      </c>
      <c r="H25" s="46">
        <f>H21-H24</f>
        <v>-58960.307999999946</v>
      </c>
    </row>
    <row r="26" spans="1:8" ht="15.6">
      <c r="G26" s="39" t="s">
        <v>55</v>
      </c>
      <c r="H26" s="39">
        <v>112000</v>
      </c>
    </row>
    <row r="27" spans="1:8" ht="15.6">
      <c r="G27" s="39" t="s">
        <v>56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57</v>
      </c>
      <c r="B2" s="28">
        <v>44659</v>
      </c>
      <c r="C2" s="29">
        <v>900</v>
      </c>
      <c r="D2" s="30" t="s">
        <v>26</v>
      </c>
      <c r="E2" s="31" t="s">
        <v>26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48</v>
      </c>
      <c r="B3" s="28">
        <v>44673</v>
      </c>
      <c r="C3" s="29">
        <v>6000</v>
      </c>
      <c r="D3" s="30" t="s">
        <v>26</v>
      </c>
      <c r="E3" s="31" t="s">
        <v>26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58</v>
      </c>
      <c r="B4" s="28">
        <v>44673</v>
      </c>
      <c r="C4" s="29">
        <v>9000</v>
      </c>
      <c r="D4" s="30" t="s">
        <v>26</v>
      </c>
      <c r="E4" s="31" t="s">
        <v>26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59</v>
      </c>
      <c r="B5" s="28">
        <v>44677</v>
      </c>
      <c r="C5" s="29">
        <v>900</v>
      </c>
      <c r="D5" s="30" t="s">
        <v>26</v>
      </c>
      <c r="E5" s="31" t="s">
        <v>26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47</v>
      </c>
      <c r="B6" s="28">
        <v>44678</v>
      </c>
      <c r="C6" s="29">
        <v>9000</v>
      </c>
      <c r="D6" s="30" t="s">
        <v>26</v>
      </c>
      <c r="E6" s="31" t="s">
        <v>26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60</v>
      </c>
      <c r="B7" s="28">
        <v>44680</v>
      </c>
      <c r="C7" s="29">
        <v>9000</v>
      </c>
      <c r="D7" s="30" t="s">
        <v>26</v>
      </c>
      <c r="E7" s="31" t="s">
        <v>26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61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62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50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63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22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64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65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51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52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53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9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66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11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12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55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56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22</v>
      </c>
      <c r="B2" s="28">
        <v>44686</v>
      </c>
      <c r="C2" s="29">
        <v>50000</v>
      </c>
      <c r="D2" s="30" t="s">
        <v>26</v>
      </c>
      <c r="E2" s="31" t="s">
        <v>26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48</v>
      </c>
      <c r="B3" s="28">
        <v>44686</v>
      </c>
      <c r="C3" s="29">
        <v>15000</v>
      </c>
      <c r="D3" s="30" t="s">
        <v>26</v>
      </c>
      <c r="E3" s="31" t="s">
        <v>26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23</v>
      </c>
      <c r="B4" s="28">
        <v>44687</v>
      </c>
      <c r="C4" s="29">
        <v>27000</v>
      </c>
      <c r="D4" s="30" t="s">
        <v>26</v>
      </c>
      <c r="E4" s="31" t="s">
        <v>26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67</v>
      </c>
      <c r="B5" s="28">
        <v>44687</v>
      </c>
      <c r="C5" s="29">
        <v>22500</v>
      </c>
      <c r="D5" s="30" t="s">
        <v>26</v>
      </c>
      <c r="E5" s="31" t="s">
        <v>26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68</v>
      </c>
      <c r="B6" s="28">
        <v>44687</v>
      </c>
      <c r="C6" s="29">
        <v>27000</v>
      </c>
      <c r="D6" s="30" t="s">
        <v>26</v>
      </c>
      <c r="E6" s="31" t="s">
        <v>26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69</v>
      </c>
      <c r="B7" s="28">
        <v>44690</v>
      </c>
      <c r="C7" s="29">
        <v>13000</v>
      </c>
      <c r="D7" s="30" t="s">
        <v>26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70</v>
      </c>
      <c r="B8" s="28">
        <v>44693</v>
      </c>
      <c r="C8" s="29">
        <v>9000</v>
      </c>
      <c r="D8" s="30" t="s">
        <v>26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21</v>
      </c>
      <c r="B9" s="28">
        <v>44694</v>
      </c>
      <c r="C9" s="29">
        <v>4500</v>
      </c>
      <c r="D9" s="30" t="s">
        <v>26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71</v>
      </c>
      <c r="B10" s="28">
        <v>44698</v>
      </c>
      <c r="C10" s="29">
        <v>30000</v>
      </c>
      <c r="D10" s="30" t="s">
        <v>26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72</v>
      </c>
      <c r="B11" s="28">
        <v>44698</v>
      </c>
      <c r="C11" s="29">
        <v>60000</v>
      </c>
      <c r="D11" s="30" t="s">
        <v>26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73</v>
      </c>
      <c r="B12" s="28">
        <v>44700</v>
      </c>
      <c r="C12" s="29">
        <v>3000</v>
      </c>
      <c r="D12" s="30" t="s">
        <v>26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65</v>
      </c>
      <c r="B13" s="28">
        <v>44700</v>
      </c>
      <c r="C13" s="29">
        <v>2000</v>
      </c>
      <c r="D13" s="30" t="s">
        <v>26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35</v>
      </c>
      <c r="B14" s="28">
        <v>44701</v>
      </c>
      <c r="C14" s="29">
        <v>6000</v>
      </c>
      <c r="D14" s="30" t="s">
        <v>26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20</v>
      </c>
      <c r="B15" s="28">
        <v>44701</v>
      </c>
      <c r="C15" s="29">
        <v>12000</v>
      </c>
      <c r="D15" s="30" t="s">
        <v>26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74</v>
      </c>
      <c r="B16" s="28">
        <v>44705</v>
      </c>
      <c r="C16" s="29">
        <v>18000</v>
      </c>
      <c r="D16" s="30" t="s">
        <v>26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75</v>
      </c>
      <c r="B17" s="28">
        <v>44705</v>
      </c>
      <c r="C17" s="29">
        <v>45000</v>
      </c>
      <c r="D17" s="30" t="s">
        <v>26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76</v>
      </c>
      <c r="B18" s="28">
        <v>44705</v>
      </c>
      <c r="C18" s="29">
        <v>4500</v>
      </c>
      <c r="D18" s="30" t="s">
        <v>26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77</v>
      </c>
      <c r="B19" s="28">
        <v>44706</v>
      </c>
      <c r="C19" s="29">
        <v>90000</v>
      </c>
      <c r="D19" s="30" t="s">
        <v>26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14</v>
      </c>
      <c r="B20" s="28">
        <v>44712</v>
      </c>
      <c r="C20" s="29">
        <v>60000</v>
      </c>
      <c r="D20" s="30" t="s">
        <v>26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70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64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50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70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35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35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64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35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78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76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21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21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32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13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51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52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53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9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79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11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12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55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56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30</v>
      </c>
      <c r="B2" s="28">
        <v>44718</v>
      </c>
      <c r="C2" s="29">
        <v>50000</v>
      </c>
      <c r="D2" s="30" t="s">
        <v>26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63</v>
      </c>
      <c r="B3" s="28">
        <v>44720</v>
      </c>
      <c r="C3" s="29">
        <v>110000</v>
      </c>
      <c r="D3" s="30" t="s">
        <v>26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80</v>
      </c>
      <c r="B4" s="28">
        <v>44727</v>
      </c>
      <c r="C4" s="29">
        <v>30000</v>
      </c>
      <c r="D4" s="30" t="s">
        <v>26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13</v>
      </c>
      <c r="B5" s="28">
        <v>44728</v>
      </c>
      <c r="C5" s="29">
        <v>6000</v>
      </c>
      <c r="D5" s="30" t="s">
        <v>26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81</v>
      </c>
      <c r="B6" s="28">
        <v>44736</v>
      </c>
      <c r="C6" s="29">
        <v>40000</v>
      </c>
      <c r="D6" s="30" t="s">
        <v>26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24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67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30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82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31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83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22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51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52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53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9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84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11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12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55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56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81</v>
      </c>
      <c r="B2" s="28">
        <v>44736</v>
      </c>
      <c r="C2" s="29">
        <v>40000</v>
      </c>
      <c r="D2" s="30" t="s">
        <v>26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65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65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21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31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51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52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53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9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85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11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12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55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56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86</v>
      </c>
      <c r="B2" s="28">
        <v>44799</v>
      </c>
      <c r="C2" s="29">
        <v>600</v>
      </c>
      <c r="D2" s="30" t="s">
        <v>26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87</v>
      </c>
      <c r="B3" s="28">
        <v>44799</v>
      </c>
      <c r="C3" s="29">
        <v>900</v>
      </c>
      <c r="D3" s="30" t="s">
        <v>26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86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24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51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52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53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9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88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11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12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55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56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89</v>
      </c>
      <c r="B2" s="28">
        <v>44806</v>
      </c>
      <c r="C2" s="29">
        <v>5000</v>
      </c>
      <c r="D2" s="30" t="s">
        <v>26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20</v>
      </c>
      <c r="B3" s="28">
        <v>44806</v>
      </c>
      <c r="C3" s="29">
        <v>15000</v>
      </c>
      <c r="D3" s="30" t="s">
        <v>26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90</v>
      </c>
      <c r="B4" s="28">
        <v>44806</v>
      </c>
      <c r="C4" s="29">
        <v>15000</v>
      </c>
      <c r="D4" s="30" t="s">
        <v>26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80</v>
      </c>
      <c r="B5" s="28">
        <v>44806</v>
      </c>
      <c r="C5" s="29">
        <v>30000</v>
      </c>
      <c r="D5" s="30" t="s">
        <v>26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30</v>
      </c>
      <c r="B6" s="28">
        <v>44809</v>
      </c>
      <c r="C6" s="29">
        <v>40000</v>
      </c>
      <c r="D6" s="30" t="s">
        <v>26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19</v>
      </c>
      <c r="B7" s="28">
        <v>44809</v>
      </c>
      <c r="C7" s="29">
        <v>18000</v>
      </c>
      <c r="D7" s="30" t="s">
        <v>26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44810</v>
      </c>
      <c r="C8" s="29">
        <v>60000</v>
      </c>
      <c r="D8" s="30" t="s">
        <v>26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63</v>
      </c>
      <c r="B9" s="28">
        <v>44810</v>
      </c>
      <c r="C9" s="29">
        <v>130000</v>
      </c>
      <c r="D9" s="30" t="s">
        <v>26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73</v>
      </c>
      <c r="B10" s="28">
        <v>44810</v>
      </c>
      <c r="C10" s="29">
        <v>7500</v>
      </c>
      <c r="D10" s="30" t="s">
        <v>26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23</v>
      </c>
      <c r="B11" s="28">
        <v>44811</v>
      </c>
      <c r="C11" s="29">
        <v>27000</v>
      </c>
      <c r="D11" s="30" t="s">
        <v>26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67</v>
      </c>
      <c r="B12" s="28">
        <v>44812</v>
      </c>
      <c r="C12" s="29">
        <v>22500</v>
      </c>
      <c r="D12" s="30" t="s">
        <v>26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71</v>
      </c>
      <c r="B13" s="28">
        <v>44813</v>
      </c>
      <c r="C13" s="29">
        <v>30000</v>
      </c>
      <c r="D13" s="30" t="s">
        <v>26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69</v>
      </c>
      <c r="B14" s="28">
        <v>44813</v>
      </c>
      <c r="C14" s="29">
        <v>15000</v>
      </c>
      <c r="D14" s="30" t="s">
        <v>26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77</v>
      </c>
      <c r="B15" s="28">
        <v>44813</v>
      </c>
      <c r="C15" s="29">
        <v>105000</v>
      </c>
      <c r="D15" s="30" t="s">
        <v>26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68</v>
      </c>
      <c r="B16" s="28">
        <v>44813</v>
      </c>
      <c r="C16" s="29">
        <v>48000</v>
      </c>
      <c r="D16" s="30" t="s">
        <v>26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75</v>
      </c>
      <c r="B17" s="28">
        <v>44817</v>
      </c>
      <c r="C17" s="29">
        <v>45000</v>
      </c>
      <c r="D17" s="30" t="s">
        <v>26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74</v>
      </c>
      <c r="B18" s="28">
        <v>44818</v>
      </c>
      <c r="C18" s="29">
        <v>21000</v>
      </c>
      <c r="D18" s="30" t="s">
        <v>26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91</v>
      </c>
      <c r="B19" s="28">
        <v>44818</v>
      </c>
      <c r="C19" s="29">
        <v>10000</v>
      </c>
      <c r="D19" s="30" t="s">
        <v>26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13</v>
      </c>
      <c r="B20" s="28">
        <v>44819</v>
      </c>
      <c r="C20" s="29">
        <v>2400</v>
      </c>
      <c r="D20" s="30" t="s">
        <v>26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81</v>
      </c>
      <c r="B21" s="28">
        <v>44823</v>
      </c>
      <c r="C21" s="29">
        <v>40000</v>
      </c>
      <c r="D21" s="30" t="s">
        <v>26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58</v>
      </c>
      <c r="B22" s="28">
        <v>44825</v>
      </c>
      <c r="C22" s="29">
        <v>12000</v>
      </c>
      <c r="D22" s="30" t="s">
        <v>26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74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72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63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92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51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52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53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9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93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11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12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55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56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4500</v>
      </c>
      <c r="D2" s="30" t="s">
        <v>26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60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20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74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58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51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52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53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9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94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11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12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55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56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0</v>
      </c>
      <c r="D2" s="30" t="s">
        <v>26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67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69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19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87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90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50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50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95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51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52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53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9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96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11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12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55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56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tabSelected="1"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89</v>
      </c>
      <c r="B2" s="28">
        <v>44897</v>
      </c>
      <c r="C2" s="29">
        <v>20000</v>
      </c>
      <c r="D2" s="30" t="s">
        <v>26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14</v>
      </c>
      <c r="B3" s="28">
        <v>44901</v>
      </c>
      <c r="C3" s="29">
        <v>60000</v>
      </c>
      <c r="D3" s="30" t="s">
        <v>26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30</v>
      </c>
      <c r="B4" s="28">
        <v>44901</v>
      </c>
      <c r="C4" s="29">
        <v>40000</v>
      </c>
      <c r="D4" s="30" t="s">
        <v>26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63</v>
      </c>
      <c r="B5" s="28">
        <v>44903</v>
      </c>
      <c r="C5" s="29">
        <v>130000</v>
      </c>
      <c r="D5" s="30" t="s">
        <v>26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20</v>
      </c>
      <c r="B6" s="28">
        <v>44904</v>
      </c>
      <c r="C6" s="29">
        <v>24000</v>
      </c>
      <c r="D6" s="30" t="s">
        <v>26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80</v>
      </c>
      <c r="B7" s="28">
        <v>44908</v>
      </c>
      <c r="C7" s="29">
        <v>30000</v>
      </c>
      <c r="D7" s="30" t="s">
        <v>26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81</v>
      </c>
      <c r="B8" s="28">
        <v>44910</v>
      </c>
      <c r="C8" s="29">
        <v>40000</v>
      </c>
      <c r="D8" s="30" t="s">
        <v>26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13</v>
      </c>
      <c r="B9" s="28">
        <v>44910</v>
      </c>
      <c r="C9" s="29">
        <v>2400</v>
      </c>
      <c r="D9" s="30" t="s">
        <v>26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91</v>
      </c>
      <c r="B10" s="28">
        <v>44918</v>
      </c>
      <c r="C10" s="29">
        <v>20000</v>
      </c>
      <c r="D10" s="30" t="s">
        <v>26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97</v>
      </c>
      <c r="B11" s="28">
        <v>44923</v>
      </c>
      <c r="C11" s="29">
        <v>10000</v>
      </c>
      <c r="D11" s="30" t="s">
        <v>26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49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50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67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67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68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19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51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52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53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9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98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11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12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55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56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2023-01-04T17:31:28Z</dcterms:modified>
  <cp:category/>
  <cp:contentStatus/>
</cp:coreProperties>
</file>