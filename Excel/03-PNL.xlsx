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80" documentId="8_{B00F7D7D-2236-4C8B-840E-2CD3F92C0379}" xr6:coauthVersionLast="47" xr6:coauthVersionMax="47" xr10:uidLastSave="{65227BA7-C9DA-4DB5-9A46-F95A39FB0DF6}"/>
  <bookViews>
    <workbookView xWindow="8076" yWindow="1416" windowWidth="13908" windowHeight="9516" tabRatio="445" firstSheet="1" activeTab="1" xr2:uid="{00000000-000D-0000-FFFF-FFFF00000000}"/>
  </bookViews>
  <sheets>
    <sheet name="JAN23" sheetId="58" r:id="rId1"/>
    <sheet name="FEB23" sheetId="59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9" l="1"/>
  <c r="H6" i="59"/>
  <c r="H5" i="59"/>
  <c r="G9" i="59"/>
  <c r="E9" i="59"/>
  <c r="H4" i="59"/>
  <c r="H8" i="59"/>
  <c r="H14" i="59"/>
  <c r="G2" i="59"/>
  <c r="H2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9" i="59" l="1"/>
  <c r="H11" i="59" s="1"/>
  <c r="H15" i="59" s="1"/>
  <c r="H12" i="58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5" i="40" l="1"/>
  <c r="H27" i="40" s="1"/>
</calcChain>
</file>

<file path=xl/sharedStrings.xml><?xml version="1.0" encoding="utf-8"?>
<sst xmlns="http://schemas.openxmlformats.org/spreadsheetml/2006/main" count="477" uniqueCount="98">
  <si>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</si>
  <si>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</si>
  <si>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</si>
  <si>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</si>
  <si>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</si>
  <si>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</si>
  <si>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</si>
  <si>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</si>
  <si>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</si>
  <si>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</si>
  <si>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</si>
  <si>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</si>
  <si>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</si>
  <si>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</si>
  <si>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</si>
  <si>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</si>
  <si>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</si>
  <si>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</si>
  <si>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</si>
  <si>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</si>
  <si>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</si>
  <si>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</si>
  <si>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DCC</t>
  </si>
  <si>
    <t>February Exp</t>
  </si>
  <si>
    <t>BGRIM</t>
  </si>
  <si>
    <t>CKP</t>
  </si>
  <si>
    <t>CLP</t>
  </si>
  <si>
    <t>DIF</t>
  </si>
  <si>
    <t>EPG</t>
  </si>
  <si>
    <t>GLOBAL</t>
  </si>
  <si>
    <t>IMH</t>
  </si>
  <si>
    <t>IP</t>
  </si>
  <si>
    <t>IVL</t>
  </si>
  <si>
    <t>LPF</t>
  </si>
  <si>
    <t>MCS</t>
  </si>
  <si>
    <t>NOBLE</t>
  </si>
  <si>
    <t>RATCH</t>
  </si>
  <si>
    <t>TOP</t>
  </si>
  <si>
    <t>TSE</t>
  </si>
  <si>
    <t>TSTH</t>
  </si>
  <si>
    <t>TU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</si>
  <si>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</si>
  <si>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</si>
  <si>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</si>
  <si>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</si>
  <si>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</si>
  <si>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</si>
  <si>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</si>
  <si>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</si>
  <si>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</si>
  <si>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</si>
  <si>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</si>
  <si>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</si>
  <si>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</si>
  <si>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</si>
  <si>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</si>
  <si>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</si>
  <si>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</si>
  <si>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</si>
  <si>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</si>
  <si>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</si>
  <si>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</si>
  <si>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</si>
  <si>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</si>
  <si>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</si>
  <si>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</si>
  <si>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</si>
  <si>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</si>
  <si>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</si>
  <si>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</si>
  <si>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</si>
  <si>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</si>
  <si>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RCL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</si>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</sst>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6" activePane="bottomLeft" state="frozen"/>
      <selection pane="bottomLeft" activeCell="A11" sqref="A11:XFD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6"/>
  <sheetViews>
    <sheetView tabSelected="1" workbookViewId="0">
      <selection activeCell="H9" sqref="H9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:H7" si="0">G4-E4</f>
        <v>-7013.010000000002</v>
      </c>
      <c r="I4" s="15"/>
      <c r="J4" s="15"/>
      <c r="K4" s="6"/>
    </row>
    <row r="5" spans="1:12" s="1" customFormat="1" ht="15" customHeight="1">
      <c r="A5" s="27" t="s">
        <v>15</v>
      </c>
      <c r="B5" s="28">
        <v>44965</v>
      </c>
      <c r="C5" s="29">
        <v>1000</v>
      </c>
      <c r="D5" s="30">
        <v>64.25</v>
      </c>
      <c r="E5" s="31">
        <v>64392.31</v>
      </c>
      <c r="F5" s="30">
        <v>54.5</v>
      </c>
      <c r="G5" s="31">
        <v>54379.28</v>
      </c>
      <c r="H5" s="32">
        <f t="shared" si="0"/>
        <v>-10013.029999999999</v>
      </c>
      <c r="I5" s="15"/>
      <c r="J5" s="15"/>
      <c r="K5" s="6"/>
    </row>
    <row r="6" spans="1:12" s="1" customFormat="1" ht="15" customHeight="1">
      <c r="A6" s="27" t="s">
        <v>15</v>
      </c>
      <c r="B6" s="28">
        <v>44965</v>
      </c>
      <c r="C6" s="29">
        <v>1000</v>
      </c>
      <c r="D6" s="30">
        <v>58</v>
      </c>
      <c r="E6" s="31">
        <v>58128.46</v>
      </c>
      <c r="F6" s="30">
        <v>54.5</v>
      </c>
      <c r="G6" s="31">
        <v>54379.28</v>
      </c>
      <c r="H6" s="32">
        <f t="shared" si="0"/>
        <v>-3749.1800000000003</v>
      </c>
      <c r="I6" s="15"/>
      <c r="J6" s="15"/>
      <c r="K6" s="6"/>
    </row>
    <row r="7" spans="1:12" s="1" customFormat="1" ht="15" customHeight="1">
      <c r="A7" s="27" t="s">
        <v>22</v>
      </c>
      <c r="B7" s="28">
        <v>44965</v>
      </c>
      <c r="C7" s="29">
        <v>60000</v>
      </c>
      <c r="D7" s="30">
        <v>2.96</v>
      </c>
      <c r="E7" s="31">
        <v>177993.36</v>
      </c>
      <c r="F7" s="30">
        <v>2.86</v>
      </c>
      <c r="G7" s="31">
        <v>171219.93</v>
      </c>
      <c r="H7" s="32">
        <f t="shared" si="0"/>
        <v>-6773.429999999993</v>
      </c>
      <c r="I7" s="15"/>
      <c r="J7" s="15"/>
      <c r="K7" s="6"/>
    </row>
    <row r="8" spans="1:12" s="1" customFormat="1" ht="15" customHeight="1">
      <c r="A8" s="27" t="s">
        <v>12</v>
      </c>
      <c r="B8" s="28">
        <v>44965</v>
      </c>
      <c r="C8" s="29">
        <v>2500</v>
      </c>
      <c r="D8" s="30">
        <v>37.75</v>
      </c>
      <c r="E8" s="31">
        <v>94584.04</v>
      </c>
      <c r="F8" s="30">
        <v>24.1</v>
      </c>
      <c r="G8" s="31">
        <v>60116.55</v>
      </c>
      <c r="H8" s="32">
        <f t="shared" ref="H8" si="1">G8-E8</f>
        <v>-34467.489999999991</v>
      </c>
      <c r="I8" s="15"/>
      <c r="J8" s="15"/>
      <c r="K8" s="6"/>
    </row>
    <row r="9" spans="1:12" ht="15" customHeight="1">
      <c r="A9" s="26"/>
      <c r="B9" s="28"/>
      <c r="C9" s="29"/>
      <c r="D9" s="33"/>
      <c r="E9" s="32">
        <f>SUM(E4:E8)</f>
        <v>457987.14999999997</v>
      </c>
      <c r="F9" s="30"/>
      <c r="G9" s="32">
        <f>SUM(G4:G8)</f>
        <v>395971.00999999995</v>
      </c>
      <c r="H9" s="34">
        <f>SUM(H4:H8)</f>
        <v>-62016.139999999985</v>
      </c>
      <c r="I9" s="15"/>
      <c r="J9" s="15"/>
      <c r="K9" s="15"/>
      <c r="L9" s="6"/>
    </row>
    <row r="10" spans="1:12" ht="15" customHeight="1">
      <c r="A10" s="26"/>
      <c r="B10" s="28"/>
      <c r="C10" s="29"/>
      <c r="D10" s="33"/>
      <c r="E10" s="32"/>
      <c r="F10" s="30"/>
      <c r="G10" s="32"/>
      <c r="H10" s="32">
        <v>-81338.25999999998</v>
      </c>
      <c r="I10" s="15"/>
      <c r="J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/>
      <c r="H11" s="34">
        <f>SUM(H2,H9,H10)</f>
        <v>-143354.39999999997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 t="s">
        <v>16</v>
      </c>
      <c r="H12" s="35">
        <v>76110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23</v>
      </c>
      <c r="H13" s="35">
        <v>40000</v>
      </c>
      <c r="I13" s="15"/>
      <c r="J13" s="15"/>
      <c r="L13" s="6"/>
    </row>
    <row r="14" spans="1:12" ht="15" customHeight="1">
      <c r="A14" s="26"/>
      <c r="B14" s="28"/>
      <c r="C14" s="29"/>
      <c r="D14" s="33"/>
      <c r="E14" s="32"/>
      <c r="F14" s="30"/>
      <c r="G14" s="32" t="s">
        <v>18</v>
      </c>
      <c r="H14" s="32">
        <f>H12+H13</f>
        <v>116110</v>
      </c>
      <c r="I14" s="15"/>
      <c r="J14" s="15"/>
      <c r="L14" s="6"/>
    </row>
    <row r="15" spans="1:12" ht="15" customHeight="1">
      <c r="A15" s="26"/>
      <c r="B15" s="28"/>
      <c r="C15" s="29"/>
      <c r="D15" s="33"/>
      <c r="E15" s="32"/>
      <c r="F15" s="30"/>
      <c r="G15" s="32" t="s">
        <v>19</v>
      </c>
      <c r="H15" s="36">
        <f>H11-H14</f>
        <v>-259464.39999999997</v>
      </c>
      <c r="I15" s="15"/>
      <c r="J15" s="15"/>
      <c r="L15" s="6"/>
    </row>
    <row r="16" spans="1:12" ht="13.9">
      <c r="B16" s="18"/>
      <c r="H16" s="6"/>
      <c r="I16" s="15"/>
      <c r="J16" s="15"/>
      <c r="L16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4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44607</v>
      </c>
      <c r="C2" s="29">
        <v>10000</v>
      </c>
      <c r="D2" s="30" t="s">
        <v>21</v>
      </c>
      <c r="E2" s="31" t="s">
        <v>21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24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25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26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27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28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29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29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30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30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30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31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32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32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32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33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34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35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36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37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37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38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39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39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40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23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41</v>
      </c>
      <c r="B2" s="28">
        <v>44624</v>
      </c>
      <c r="C2" s="29">
        <v>10000</v>
      </c>
      <c r="D2" s="30" t="s">
        <v>21</v>
      </c>
      <c r="E2" s="31" t="s">
        <v>21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42</v>
      </c>
      <c r="B3" s="28">
        <v>44624</v>
      </c>
      <c r="C3" s="29">
        <v>60000</v>
      </c>
      <c r="D3" s="30" t="s">
        <v>21</v>
      </c>
      <c r="E3" s="31" t="s">
        <v>21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43</v>
      </c>
      <c r="B4" s="28">
        <v>44641</v>
      </c>
      <c r="C4" s="29">
        <v>110000</v>
      </c>
      <c r="D4" s="30" t="s">
        <v>21</v>
      </c>
      <c r="E4" s="31" t="s">
        <v>21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44</v>
      </c>
      <c r="B5" s="28">
        <v>44645</v>
      </c>
      <c r="C5" s="29">
        <v>20000</v>
      </c>
      <c r="D5" s="30" t="s">
        <v>21</v>
      </c>
      <c r="E5" s="31" t="s">
        <v>21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45</v>
      </c>
      <c r="B6" s="28">
        <v>44648</v>
      </c>
      <c r="C6" s="29">
        <v>10000</v>
      </c>
      <c r="D6" s="30" t="s">
        <v>21</v>
      </c>
      <c r="E6" s="31" t="s">
        <v>21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46</v>
      </c>
      <c r="B7" s="28">
        <v>44650</v>
      </c>
      <c r="C7" s="29">
        <v>40100</v>
      </c>
      <c r="D7" s="30" t="s">
        <v>21</v>
      </c>
      <c r="E7" s="31" t="s">
        <v>21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47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48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48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49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50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51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52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53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54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55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56</v>
      </c>
      <c r="H26" s="39">
        <v>112000</v>
      </c>
    </row>
    <row r="27" spans="1:8" ht="15.6">
      <c r="G27" s="39" t="s">
        <v>57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58</v>
      </c>
      <c r="B2" s="28">
        <v>44659</v>
      </c>
      <c r="C2" s="29">
        <v>900</v>
      </c>
      <c r="D2" s="30" t="s">
        <v>21</v>
      </c>
      <c r="E2" s="31" t="s">
        <v>21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44673</v>
      </c>
      <c r="C3" s="29">
        <v>6000</v>
      </c>
      <c r="D3" s="30" t="s">
        <v>21</v>
      </c>
      <c r="E3" s="31" t="s">
        <v>21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21</v>
      </c>
      <c r="E5" s="31" t="s">
        <v>21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48</v>
      </c>
      <c r="B6" s="28">
        <v>44678</v>
      </c>
      <c r="C6" s="29">
        <v>9000</v>
      </c>
      <c r="D6" s="30" t="s">
        <v>21</v>
      </c>
      <c r="E6" s="31" t="s">
        <v>21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21</v>
      </c>
      <c r="E7" s="31" t="s">
        <v>21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61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62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50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63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34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64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65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54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66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56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57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34</v>
      </c>
      <c r="B2" s="28">
        <v>44686</v>
      </c>
      <c r="C2" s="29">
        <v>50000</v>
      </c>
      <c r="D2" s="30" t="s">
        <v>21</v>
      </c>
      <c r="E2" s="31" t="s">
        <v>21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44686</v>
      </c>
      <c r="C3" s="29">
        <v>15000</v>
      </c>
      <c r="D3" s="30" t="s">
        <v>21</v>
      </c>
      <c r="E3" s="31" t="s">
        <v>21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67</v>
      </c>
      <c r="B4" s="28">
        <v>44687</v>
      </c>
      <c r="C4" s="29">
        <v>27000</v>
      </c>
      <c r="D4" s="30" t="s">
        <v>21</v>
      </c>
      <c r="E4" s="31" t="s">
        <v>21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21</v>
      </c>
      <c r="E6" s="31" t="s">
        <v>21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69</v>
      </c>
      <c r="B8" s="28">
        <v>44693</v>
      </c>
      <c r="C8" s="29">
        <v>9000</v>
      </c>
      <c r="D8" s="30" t="s">
        <v>21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51</v>
      </c>
      <c r="B9" s="28">
        <v>44694</v>
      </c>
      <c r="C9" s="29">
        <v>4500</v>
      </c>
      <c r="D9" s="30" t="s">
        <v>21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70</v>
      </c>
      <c r="B10" s="28">
        <v>44698</v>
      </c>
      <c r="C10" s="29">
        <v>30000</v>
      </c>
      <c r="D10" s="30" t="s">
        <v>21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71</v>
      </c>
      <c r="B11" s="28">
        <v>44698</v>
      </c>
      <c r="C11" s="29">
        <v>60000</v>
      </c>
      <c r="D11" s="30" t="s">
        <v>21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65</v>
      </c>
      <c r="B13" s="28">
        <v>44700</v>
      </c>
      <c r="C13" s="29">
        <v>2000</v>
      </c>
      <c r="D13" s="30" t="s">
        <v>21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36</v>
      </c>
      <c r="B14" s="28">
        <v>44701</v>
      </c>
      <c r="C14" s="29">
        <v>6000</v>
      </c>
      <c r="D14" s="30" t="s">
        <v>21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72</v>
      </c>
      <c r="B15" s="28">
        <v>44701</v>
      </c>
      <c r="C15" s="29">
        <v>12000</v>
      </c>
      <c r="D15" s="30" t="s">
        <v>21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73</v>
      </c>
      <c r="B16" s="28">
        <v>44705</v>
      </c>
      <c r="C16" s="29">
        <v>18000</v>
      </c>
      <c r="D16" s="30" t="s">
        <v>21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74</v>
      </c>
      <c r="B17" s="28">
        <v>44705</v>
      </c>
      <c r="C17" s="29">
        <v>45000</v>
      </c>
      <c r="D17" s="30" t="s">
        <v>21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75</v>
      </c>
      <c r="B18" s="28">
        <v>44705</v>
      </c>
      <c r="C18" s="29">
        <v>4500</v>
      </c>
      <c r="D18" s="30" t="s">
        <v>21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76</v>
      </c>
      <c r="B19" s="28">
        <v>44706</v>
      </c>
      <c r="C19" s="29">
        <v>90000</v>
      </c>
      <c r="D19" s="30" t="s">
        <v>21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22</v>
      </c>
      <c r="B20" s="28">
        <v>44712</v>
      </c>
      <c r="C20" s="29">
        <v>60000</v>
      </c>
      <c r="D20" s="30" t="s">
        <v>21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69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64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50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69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36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36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64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36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77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75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51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51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31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32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52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53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54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78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56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57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27</v>
      </c>
      <c r="B2" s="28">
        <v>44718</v>
      </c>
      <c r="C2" s="29">
        <v>50000</v>
      </c>
      <c r="D2" s="30" t="s">
        <v>21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63</v>
      </c>
      <c r="B3" s="28">
        <v>44720</v>
      </c>
      <c r="C3" s="29">
        <v>110000</v>
      </c>
      <c r="D3" s="30" t="s">
        <v>21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79</v>
      </c>
      <c r="B4" s="28">
        <v>44727</v>
      </c>
      <c r="C4" s="29">
        <v>30000</v>
      </c>
      <c r="D4" s="30" t="s">
        <v>21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32</v>
      </c>
      <c r="B5" s="28">
        <v>44728</v>
      </c>
      <c r="C5" s="29">
        <v>6000</v>
      </c>
      <c r="D5" s="30" t="s">
        <v>21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37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27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29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81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34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52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82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56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57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65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51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29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52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53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54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83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57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84</v>
      </c>
      <c r="B2" s="28">
        <v>44799</v>
      </c>
      <c r="C2" s="29">
        <v>600</v>
      </c>
      <c r="D2" s="30" t="s">
        <v>21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85</v>
      </c>
      <c r="B3" s="28">
        <v>44799</v>
      </c>
      <c r="C3" s="29">
        <v>900</v>
      </c>
      <c r="D3" s="30" t="s">
        <v>21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84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37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52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53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86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56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57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44806</v>
      </c>
      <c r="C2" s="29">
        <v>5000</v>
      </c>
      <c r="D2" s="30" t="s">
        <v>21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72</v>
      </c>
      <c r="B3" s="28">
        <v>44806</v>
      </c>
      <c r="C3" s="29">
        <v>15000</v>
      </c>
      <c r="D3" s="30" t="s">
        <v>21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88</v>
      </c>
      <c r="B4" s="28">
        <v>44806</v>
      </c>
      <c r="C4" s="29">
        <v>15000</v>
      </c>
      <c r="D4" s="30" t="s">
        <v>21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79</v>
      </c>
      <c r="B5" s="28">
        <v>44806</v>
      </c>
      <c r="C5" s="29">
        <v>30000</v>
      </c>
      <c r="D5" s="30" t="s">
        <v>21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27</v>
      </c>
      <c r="B6" s="28">
        <v>44809</v>
      </c>
      <c r="C6" s="29">
        <v>40000</v>
      </c>
      <c r="D6" s="30" t="s">
        <v>21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89</v>
      </c>
      <c r="B7" s="28">
        <v>44809</v>
      </c>
      <c r="C7" s="29">
        <v>18000</v>
      </c>
      <c r="D7" s="30" t="s">
        <v>21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22</v>
      </c>
      <c r="B8" s="28">
        <v>44810</v>
      </c>
      <c r="C8" s="29">
        <v>60000</v>
      </c>
      <c r="D8" s="30" t="s">
        <v>21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63</v>
      </c>
      <c r="B9" s="28">
        <v>44810</v>
      </c>
      <c r="C9" s="29">
        <v>130000</v>
      </c>
      <c r="D9" s="30" t="s">
        <v>21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67</v>
      </c>
      <c r="B11" s="28">
        <v>44811</v>
      </c>
      <c r="C11" s="29">
        <v>27000</v>
      </c>
      <c r="D11" s="30" t="s">
        <v>21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70</v>
      </c>
      <c r="B13" s="28">
        <v>44813</v>
      </c>
      <c r="C13" s="29">
        <v>30000</v>
      </c>
      <c r="D13" s="30" t="s">
        <v>21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76</v>
      </c>
      <c r="B15" s="28">
        <v>44813</v>
      </c>
      <c r="C15" s="29">
        <v>105000</v>
      </c>
      <c r="D15" s="30" t="s">
        <v>21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74</v>
      </c>
      <c r="B17" s="28">
        <v>44817</v>
      </c>
      <c r="C17" s="29">
        <v>45000</v>
      </c>
      <c r="D17" s="30" t="s">
        <v>21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73</v>
      </c>
      <c r="B18" s="28">
        <v>44818</v>
      </c>
      <c r="C18" s="29">
        <v>21000</v>
      </c>
      <c r="D18" s="30" t="s">
        <v>21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90</v>
      </c>
      <c r="B19" s="28">
        <v>44818</v>
      </c>
      <c r="C19" s="29">
        <v>10000</v>
      </c>
      <c r="D19" s="30" t="s">
        <v>21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32</v>
      </c>
      <c r="B20" s="28">
        <v>44819</v>
      </c>
      <c r="C20" s="29">
        <v>2400</v>
      </c>
      <c r="D20" s="30" t="s">
        <v>21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73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71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63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52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53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54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56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57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4500</v>
      </c>
      <c r="D2" s="30" t="s">
        <v>21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72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73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52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54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57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0</v>
      </c>
      <c r="D2" s="30" t="s">
        <v>21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85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88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50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50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52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53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54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56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57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44897</v>
      </c>
      <c r="C2" s="29">
        <v>20000</v>
      </c>
      <c r="D2" s="30" t="s">
        <v>21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44901</v>
      </c>
      <c r="C3" s="29">
        <v>60000</v>
      </c>
      <c r="D3" s="30" t="s">
        <v>21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27</v>
      </c>
      <c r="B4" s="28">
        <v>44901</v>
      </c>
      <c r="C4" s="29">
        <v>40000</v>
      </c>
      <c r="D4" s="30" t="s">
        <v>21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63</v>
      </c>
      <c r="B5" s="28">
        <v>44903</v>
      </c>
      <c r="C5" s="29">
        <v>130000</v>
      </c>
      <c r="D5" s="30" t="s">
        <v>21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72</v>
      </c>
      <c r="B6" s="28">
        <v>44904</v>
      </c>
      <c r="C6" s="29">
        <v>24000</v>
      </c>
      <c r="D6" s="30" t="s">
        <v>21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79</v>
      </c>
      <c r="B7" s="28">
        <v>44908</v>
      </c>
      <c r="C7" s="29">
        <v>30000</v>
      </c>
      <c r="D7" s="30" t="s">
        <v>21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32</v>
      </c>
      <c r="B9" s="28">
        <v>44910</v>
      </c>
      <c r="C9" s="29">
        <v>2400</v>
      </c>
      <c r="D9" s="30" t="s">
        <v>21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90</v>
      </c>
      <c r="B10" s="28">
        <v>44918</v>
      </c>
      <c r="C10" s="29">
        <v>20000</v>
      </c>
      <c r="D10" s="30" t="s">
        <v>21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96</v>
      </c>
      <c r="B11" s="28">
        <v>44923</v>
      </c>
      <c r="C11" s="29">
        <v>10000</v>
      </c>
      <c r="D11" s="30" t="s">
        <v>21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50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52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53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54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56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57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2023-02-08T09:36:23Z</dcterms:modified>
  <cp:category/>
  <cp:contentStatus/>
</cp:coreProperties>
</file>