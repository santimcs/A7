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02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673" documentId="8_{B00F7D7D-2236-4C8B-840E-2CD3F92C0379}" xr6:coauthVersionLast="47" xr6:coauthVersionMax="47" xr10:uidLastSave="{CEB77B6F-ADEC-445F-92F2-16B7B4660DD0}"/>
  <bookViews>
    <workbookView xWindow="8076" yWindow="1416" windowWidth="13908" windowHeight="9516" tabRatio="445" firstSheet="1" activeTab="1" xr2:uid="{00000000-000D-0000-FFFF-FFFF00000000}"/>
  </bookViews>
  <sheets>
    <sheet name="JAN23" sheetId="58" r:id="rId1"/>
    <sheet name="FEB23" sheetId="59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59" l="1"/>
  <c r="H5" i="59"/>
  <c r="G8" i="59"/>
  <c r="E8" i="59"/>
  <c r="H4" i="59"/>
  <c r="H7" i="59"/>
  <c r="H13" i="59"/>
  <c r="G2" i="59"/>
  <c r="H2" i="59" s="1"/>
  <c r="H10" i="58"/>
  <c r="H9" i="58"/>
  <c r="H7" i="58"/>
  <c r="H8" i="58"/>
  <c r="H6" i="58"/>
  <c r="H5" i="58"/>
  <c r="H4" i="58"/>
  <c r="H3" i="58"/>
  <c r="G12" i="58"/>
  <c r="E12" i="58"/>
  <c r="H2" i="58"/>
  <c r="H13" i="41"/>
  <c r="H16" i="39"/>
  <c r="H17" i="58"/>
  <c r="H11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8" i="59" l="1"/>
  <c r="H10" i="59" s="1"/>
  <c r="H14" i="59" s="1"/>
  <c r="H12" i="58"/>
  <c r="H14" i="58" s="1"/>
  <c r="H18" i="58" s="1"/>
  <c r="H28" i="39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5" i="40" l="1"/>
  <c r="H27" i="40" s="1"/>
</calcChain>
</file>

<file path=xl/sharedStrings.xml><?xml version="1.0" encoding="utf-8"?>
<sst xmlns="http://schemas.openxmlformats.org/spreadsheetml/2006/main" count="476" uniqueCount="98">
  <si>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</si>
  <si>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</si>
  <si>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</si>
  <si>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</si>
  <si>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</si>
  <si>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</si>
  <si>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</si>
  <si>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</si>
  <si>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</si>
  <si>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</si>
  <si>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</si>
  <si>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PTTGC</t>
  </si>
  <si>
    <t>STA</t>
  </si>
  <si>
    <t>MAKRO</t>
  </si>
  <si>
    <t>WHAIR</t>
  </si>
  <si>
    <t>KCE</t>
  </si>
  <si>
    <t>B/F Expense</t>
  </si>
  <si>
    <t>January Exp</t>
  </si>
  <si>
    <t>C/F Expense</t>
  </si>
  <si>
    <t>Profit - Expense</t>
  </si>
  <si>
    <t>LPF-DIV</t>
  </si>
  <si>
    <t xml:space="preserve"> </t>
  </si>
  <si>
    <t>DCC</t>
  </si>
  <si>
    <t>February Exp</t>
  </si>
  <si>
    <t>BGRIM</t>
  </si>
  <si>
    <t>CKP</t>
  </si>
  <si>
    <t>CLP</t>
  </si>
  <si>
    <t>DIF</t>
  </si>
  <si>
    <t>EPG</t>
  </si>
  <si>
    <t>GLOBAL</t>
  </si>
  <si>
    <t>IMH</t>
  </si>
  <si>
    <t>IP</t>
  </si>
  <si>
    <t>IVL</t>
  </si>
  <si>
    <t>LPF</t>
  </si>
  <si>
    <t>MCS</t>
  </si>
  <si>
    <t>NOBLE</t>
  </si>
  <si>
    <t>RATCH</t>
  </si>
  <si>
    <t>TOP</t>
  </si>
  <si>
    <t>TSE</t>
  </si>
  <si>
    <t>TSTH</t>
  </si>
  <si>
    <t>TU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</si>
  <si>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</si>
  <si>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</si>
  <si>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</si>
  <si>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</si>
  <si>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</si>
  <si>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</si>
  <si>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</si>
  <si>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</si>
  <si>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</si>
  <si>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</si>
  <si>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SIS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</si>
  <si>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</si>
  <si>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</si>
  <si>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</si>
  <si>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</si>
  <si>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</si>
  <si>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</si>
  <si>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</si>
  <si>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</si>
  <si>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</si>
  <si>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</si>
  <si>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</si>
  <si>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</si>
  <si>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</si>
  <si>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</si>
  <si>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</si>
  <si>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NER</t>
  </si>
  <si>
    <t>TMT</t>
  </si>
  <si>
    <t>SPALI</t>
  </si>
  <si>
    <t>ASP</t>
  </si>
  <si>
    <t>TPIPL</t>
  </si>
  <si>
    <t>RCL</t>
  </si>
  <si>
    <t>BCH</t>
  </si>
  <si>
    <t>ORI</t>
  </si>
  <si>
    <t>RJH</t>
  </si>
  <si>
    <t>SENA</t>
  </si>
  <si>
    <t>HREIT</t>
  </si>
  <si>
    <t>May Exp</t>
  </si>
  <si>
    <t>WHART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</si>
  <si>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</si>
  <si>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</si>
  <si>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</si>
  <si>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</si>
  <si>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</si>
  <si>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</si>
  <si>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</si>
  <si>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</si>
  <si>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</si>
  <si>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SYNEX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</si>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</sst>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  <xf numFmtId="188" fontId="7" fillId="0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8"/>
  <sheetViews>
    <sheetView workbookViewId="0">
      <pane ySplit="1" topLeftCell="A6" activePane="bottomLeft" state="frozen"/>
      <selection pane="bottomLeft" activeCell="A11" sqref="A11:XFD11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7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si="0"/>
        <v>5847.4900000000052</v>
      </c>
      <c r="I4" s="15"/>
      <c r="J4" s="15"/>
      <c r="K4" s="6"/>
    </row>
    <row r="5" spans="1:11" s="1" customFormat="1" ht="15" customHeight="1">
      <c r="A5" s="27" t="s">
        <v>11</v>
      </c>
      <c r="B5" s="28">
        <v>44943</v>
      </c>
      <c r="C5" s="29">
        <v>3000</v>
      </c>
      <c r="D5" s="30">
        <v>51.25</v>
      </c>
      <c r="E5" s="31">
        <v>163110.47</v>
      </c>
      <c r="F5" s="30">
        <v>50.75</v>
      </c>
      <c r="G5" s="31">
        <v>151912.78</v>
      </c>
      <c r="H5" s="32">
        <f t="shared" si="0"/>
        <v>-11197.690000000002</v>
      </c>
      <c r="I5" s="15"/>
      <c r="J5" s="15"/>
      <c r="K5" s="6"/>
    </row>
    <row r="6" spans="1:11" s="1" customFormat="1" ht="15" customHeight="1">
      <c r="A6" s="27" t="s">
        <v>12</v>
      </c>
      <c r="B6" s="28">
        <v>44945</v>
      </c>
      <c r="C6" s="29">
        <v>2500</v>
      </c>
      <c r="D6" s="30">
        <v>32.75</v>
      </c>
      <c r="E6" s="31">
        <v>82056.34</v>
      </c>
      <c r="F6" s="30">
        <v>21.2</v>
      </c>
      <c r="G6" s="31">
        <v>52882.61</v>
      </c>
      <c r="H6" s="32">
        <f t="shared" si="0"/>
        <v>-29173.729999999996</v>
      </c>
      <c r="I6" s="15"/>
      <c r="J6" s="15"/>
      <c r="K6" s="6"/>
    </row>
    <row r="7" spans="1:11" s="1" customFormat="1" ht="15" customHeight="1">
      <c r="A7" s="27" t="s">
        <v>12</v>
      </c>
      <c r="B7" s="28">
        <v>44951</v>
      </c>
      <c r="C7" s="29">
        <v>2500</v>
      </c>
      <c r="D7" s="30">
        <v>33.25</v>
      </c>
      <c r="E7" s="31">
        <v>83309.11</v>
      </c>
      <c r="F7" s="30">
        <v>21.4</v>
      </c>
      <c r="G7" s="31">
        <v>53381.5</v>
      </c>
      <c r="H7" s="32">
        <f t="shared" si="0"/>
        <v>-29927.61</v>
      </c>
      <c r="I7" s="15"/>
      <c r="J7" s="15"/>
      <c r="K7" s="6"/>
    </row>
    <row r="8" spans="1:11" s="1" customFormat="1" ht="15" customHeight="1">
      <c r="A8" s="27" t="s">
        <v>12</v>
      </c>
      <c r="B8" s="28">
        <v>44951</v>
      </c>
      <c r="C8" s="29">
        <v>2500</v>
      </c>
      <c r="D8" s="30">
        <v>35.25</v>
      </c>
      <c r="E8" s="31">
        <v>88320.19</v>
      </c>
      <c r="F8" s="30">
        <v>21.9</v>
      </c>
      <c r="G8" s="31">
        <v>54628.74</v>
      </c>
      <c r="H8" s="32">
        <f t="shared" ref="H8:H10" si="1">G8-E8</f>
        <v>-33691.450000000004</v>
      </c>
      <c r="I8" s="15"/>
      <c r="J8" s="15"/>
      <c r="K8" s="6"/>
    </row>
    <row r="9" spans="1:11" s="1" customFormat="1" ht="15" customHeight="1">
      <c r="A9" s="27" t="s">
        <v>13</v>
      </c>
      <c r="B9" s="28">
        <v>44950</v>
      </c>
      <c r="C9" s="29">
        <v>7500</v>
      </c>
      <c r="D9" s="30">
        <v>40.4</v>
      </c>
      <c r="E9" s="31">
        <v>303671.11</v>
      </c>
      <c r="F9" s="30">
        <v>42.5</v>
      </c>
      <c r="G9" s="31">
        <v>318044</v>
      </c>
      <c r="H9" s="32">
        <f t="shared" si="1"/>
        <v>14372.890000000014</v>
      </c>
      <c r="I9" s="15"/>
      <c r="J9" s="15"/>
      <c r="K9" s="6"/>
    </row>
    <row r="10" spans="1:11" s="1" customFormat="1" ht="15" customHeight="1">
      <c r="A10" s="27" t="s">
        <v>14</v>
      </c>
      <c r="B10" s="28">
        <v>44956</v>
      </c>
      <c r="C10" s="29">
        <v>10000</v>
      </c>
      <c r="D10" s="30">
        <v>7.7</v>
      </c>
      <c r="E10" s="31">
        <v>77170.55</v>
      </c>
      <c r="F10" s="30">
        <v>7.8</v>
      </c>
      <c r="G10" s="31">
        <v>77827.240000000005</v>
      </c>
      <c r="H10" s="32">
        <f t="shared" si="1"/>
        <v>656.69000000000233</v>
      </c>
      <c r="I10" s="15"/>
      <c r="J10" s="15"/>
      <c r="K10" s="6"/>
    </row>
    <row r="11" spans="1:11" s="1" customFormat="1" ht="15" customHeight="1">
      <c r="A11" s="27" t="s">
        <v>15</v>
      </c>
      <c r="B11" s="28">
        <v>44957</v>
      </c>
      <c r="C11" s="29">
        <v>1000</v>
      </c>
      <c r="D11" s="30">
        <v>61.25</v>
      </c>
      <c r="E11" s="31">
        <v>61385.67</v>
      </c>
      <c r="F11" s="30">
        <v>53.75</v>
      </c>
      <c r="G11" s="31">
        <v>53630.95</v>
      </c>
      <c r="H11" s="32">
        <f t="shared" ref="H11" si="2">G11-E11</f>
        <v>-7754.7200000000012</v>
      </c>
      <c r="I11" s="15"/>
      <c r="J11" s="15"/>
      <c r="K11" s="6"/>
    </row>
    <row r="12" spans="1:11" ht="15" customHeight="1">
      <c r="A12" s="26"/>
      <c r="B12" s="28"/>
      <c r="C12" s="29"/>
      <c r="D12" s="33"/>
      <c r="E12" s="32">
        <f>SUM(E2:E11)</f>
        <v>1172466.1499999997</v>
      </c>
      <c r="F12" s="30"/>
      <c r="G12" s="32">
        <f t="shared" ref="G12:H12" si="3">SUM(G2:G11)</f>
        <v>1091127.8899999999</v>
      </c>
      <c r="H12" s="34">
        <f t="shared" si="3"/>
        <v>-81338.25999999998</v>
      </c>
      <c r="K12" s="15"/>
    </row>
    <row r="13" spans="1:11" ht="15" customHeight="1">
      <c r="A13" s="26"/>
      <c r="B13" s="28"/>
      <c r="C13" s="29"/>
      <c r="D13" s="33"/>
      <c r="E13" s="32"/>
      <c r="F13" s="30"/>
      <c r="G13" s="32"/>
      <c r="H13" s="32">
        <v>0</v>
      </c>
    </row>
    <row r="14" spans="1:11" ht="15" customHeight="1">
      <c r="A14" s="26"/>
      <c r="B14" s="28"/>
      <c r="C14" s="29"/>
      <c r="D14" s="33"/>
      <c r="E14" s="32"/>
      <c r="F14" s="30"/>
      <c r="G14" s="32"/>
      <c r="H14" s="32">
        <f>SUM(H12:H13)</f>
        <v>-81338.25999999998</v>
      </c>
    </row>
    <row r="15" spans="1:11" ht="15" customHeight="1">
      <c r="A15" s="26"/>
      <c r="B15" s="28"/>
      <c r="C15" s="29"/>
      <c r="D15" s="33"/>
      <c r="E15" s="32"/>
      <c r="F15" s="30"/>
      <c r="G15" s="32" t="s">
        <v>16</v>
      </c>
      <c r="H15" s="35">
        <v>0</v>
      </c>
    </row>
    <row r="16" spans="1:11" ht="15" customHeight="1">
      <c r="A16" s="26"/>
      <c r="B16" s="28"/>
      <c r="C16" s="29"/>
      <c r="D16" s="33"/>
      <c r="E16" s="32"/>
      <c r="F16" s="30"/>
      <c r="G16" s="32" t="s">
        <v>17</v>
      </c>
      <c r="H16" s="35">
        <v>76110</v>
      </c>
    </row>
    <row r="17" spans="1:8" ht="15" customHeight="1">
      <c r="A17" s="26"/>
      <c r="B17" s="28"/>
      <c r="C17" s="29"/>
      <c r="D17" s="33"/>
      <c r="E17" s="32"/>
      <c r="F17" s="30"/>
      <c r="G17" s="32" t="s">
        <v>18</v>
      </c>
      <c r="H17" s="32">
        <f>H15+H16</f>
        <v>76110</v>
      </c>
    </row>
    <row r="18" spans="1:8" ht="15" customHeight="1">
      <c r="A18" s="26"/>
      <c r="B18" s="28"/>
      <c r="C18" s="29"/>
      <c r="D18" s="33"/>
      <c r="E18" s="32"/>
      <c r="F18" s="30"/>
      <c r="G18" s="32" t="s">
        <v>19</v>
      </c>
      <c r="H18" s="36">
        <f>H14-H17</f>
        <v>-157448.25999999998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74D68-3DFE-4CE9-AFD6-DD45A9A60264}">
  <dimension ref="A1:L15"/>
  <sheetViews>
    <sheetView tabSelected="1" workbookViewId="0">
      <selection activeCell="E8" sqref="E8:H8"/>
    </sheetView>
  </sheetViews>
  <sheetFormatPr defaultColWidth="8.5703125" defaultRowHeight="12.75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2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2" s="1" customFormat="1" ht="15" customHeight="1">
      <c r="A2" s="27" t="s">
        <v>20</v>
      </c>
      <c r="B2" s="28">
        <v>44607</v>
      </c>
      <c r="C2" s="29">
        <v>0</v>
      </c>
      <c r="D2" s="30" t="s">
        <v>21</v>
      </c>
      <c r="E2" s="31" t="s">
        <v>21</v>
      </c>
      <c r="F2" s="30">
        <v>0.1719</v>
      </c>
      <c r="G2" s="31">
        <f>C2*F2</f>
        <v>0</v>
      </c>
      <c r="H2" s="32">
        <f>G2*0.9</f>
        <v>0</v>
      </c>
      <c r="I2" s="15"/>
      <c r="J2" s="15"/>
      <c r="K2" s="6"/>
    </row>
    <row r="3" spans="1:12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2" s="1" customFormat="1" ht="15" customHeight="1">
      <c r="A4" s="27" t="s">
        <v>15</v>
      </c>
      <c r="B4" s="28">
        <v>44958</v>
      </c>
      <c r="C4" s="29">
        <v>1000</v>
      </c>
      <c r="D4" s="30">
        <v>62.75</v>
      </c>
      <c r="E4" s="31">
        <v>62888.98</v>
      </c>
      <c r="F4" s="30">
        <v>56</v>
      </c>
      <c r="G4" s="31">
        <v>55875.97</v>
      </c>
      <c r="H4" s="32">
        <f t="shared" ref="H4:H6" si="0">G4-E4</f>
        <v>-7013.010000000002</v>
      </c>
      <c r="I4" s="15"/>
      <c r="J4" s="15"/>
      <c r="K4" s="6"/>
    </row>
    <row r="5" spans="1:12" s="1" customFormat="1" ht="15" customHeight="1">
      <c r="A5" s="27" t="s">
        <v>15</v>
      </c>
      <c r="B5" s="28">
        <v>44965</v>
      </c>
      <c r="C5" s="29">
        <v>1000</v>
      </c>
      <c r="D5" s="30">
        <v>64.25</v>
      </c>
      <c r="E5" s="31">
        <v>64392.31</v>
      </c>
      <c r="F5" s="30">
        <v>54.5</v>
      </c>
      <c r="G5" s="31">
        <v>54379.28</v>
      </c>
      <c r="H5" s="32">
        <f t="shared" si="0"/>
        <v>-10013.029999999999</v>
      </c>
      <c r="I5" s="15"/>
      <c r="J5" s="15"/>
      <c r="K5" s="6"/>
    </row>
    <row r="6" spans="1:12" s="1" customFormat="1" ht="15" customHeight="1">
      <c r="A6" s="27" t="s">
        <v>15</v>
      </c>
      <c r="B6" s="28">
        <v>44965</v>
      </c>
      <c r="C6" s="29">
        <v>1000</v>
      </c>
      <c r="D6" s="30">
        <v>58</v>
      </c>
      <c r="E6" s="31">
        <v>58128.46</v>
      </c>
      <c r="F6" s="30">
        <v>54.5</v>
      </c>
      <c r="G6" s="31">
        <v>54379.28</v>
      </c>
      <c r="H6" s="32">
        <f t="shared" si="0"/>
        <v>-3749.1800000000003</v>
      </c>
      <c r="I6" s="15"/>
      <c r="J6" s="15"/>
      <c r="K6" s="6"/>
    </row>
    <row r="7" spans="1:12" s="1" customFormat="1" ht="15" customHeight="1">
      <c r="A7" s="27" t="s">
        <v>22</v>
      </c>
      <c r="B7" s="28">
        <v>44965</v>
      </c>
      <c r="C7" s="29">
        <v>60000</v>
      </c>
      <c r="D7" s="30">
        <v>2.96</v>
      </c>
      <c r="E7" s="31">
        <v>177993.36</v>
      </c>
      <c r="F7" s="30">
        <v>2.86</v>
      </c>
      <c r="G7" s="31">
        <v>171219.93</v>
      </c>
      <c r="H7" s="32">
        <f t="shared" ref="H7" si="1">G7-E7</f>
        <v>-6773.429999999993</v>
      </c>
      <c r="I7" s="15"/>
      <c r="J7" s="15"/>
      <c r="K7" s="6"/>
    </row>
    <row r="8" spans="1:12" ht="15" customHeight="1">
      <c r="A8" s="26"/>
      <c r="B8" s="28"/>
      <c r="C8" s="29"/>
      <c r="D8" s="33"/>
      <c r="E8" s="50">
        <f>SUM(E4:E7)</f>
        <v>363403.11</v>
      </c>
      <c r="F8" s="30"/>
      <c r="G8" s="50">
        <f>SUM(G4:G7)</f>
        <v>335854.45999999996</v>
      </c>
      <c r="H8" s="34">
        <f>SUM(H4:H7)</f>
        <v>-27548.649999999994</v>
      </c>
      <c r="I8" s="15"/>
      <c r="J8" s="15"/>
      <c r="K8" s="15"/>
      <c r="L8" s="6"/>
    </row>
    <row r="9" spans="1:12" ht="15" customHeight="1">
      <c r="A9" s="26"/>
      <c r="B9" s="28"/>
      <c r="C9" s="29"/>
      <c r="D9" s="33"/>
      <c r="E9" s="32"/>
      <c r="F9" s="30"/>
      <c r="G9" s="32"/>
      <c r="H9" s="32">
        <v>-81338.25999999998</v>
      </c>
      <c r="I9" s="15"/>
      <c r="J9" s="15"/>
      <c r="L9" s="6"/>
    </row>
    <row r="10" spans="1:12" ht="15" customHeight="1">
      <c r="A10" s="26"/>
      <c r="B10" s="28"/>
      <c r="C10" s="29"/>
      <c r="D10" s="33"/>
      <c r="E10" s="32"/>
      <c r="F10" s="30"/>
      <c r="G10" s="32"/>
      <c r="H10" s="34">
        <f>SUM(H2,H8,H9)</f>
        <v>-108886.90999999997</v>
      </c>
      <c r="I10" s="15"/>
      <c r="J10" s="15"/>
      <c r="L10" s="6"/>
    </row>
    <row r="11" spans="1:12" ht="15" customHeight="1">
      <c r="A11" s="26"/>
      <c r="B11" s="28"/>
      <c r="C11" s="29"/>
      <c r="D11" s="33"/>
      <c r="E11" s="32"/>
      <c r="F11" s="30"/>
      <c r="G11" s="32" t="s">
        <v>16</v>
      </c>
      <c r="H11" s="35">
        <v>76110</v>
      </c>
      <c r="I11" s="15"/>
      <c r="J11" s="15"/>
      <c r="L11" s="6"/>
    </row>
    <row r="12" spans="1:12" ht="15" customHeight="1">
      <c r="A12" s="26"/>
      <c r="B12" s="28"/>
      <c r="C12" s="29"/>
      <c r="D12" s="33"/>
      <c r="E12" s="32"/>
      <c r="F12" s="30"/>
      <c r="G12" s="32" t="s">
        <v>23</v>
      </c>
      <c r="H12" s="35">
        <v>40000</v>
      </c>
      <c r="I12" s="15"/>
      <c r="J12" s="15"/>
      <c r="L12" s="6"/>
    </row>
    <row r="13" spans="1:12" ht="15" customHeight="1">
      <c r="A13" s="26"/>
      <c r="B13" s="28"/>
      <c r="C13" s="29"/>
      <c r="D13" s="33"/>
      <c r="E13" s="32"/>
      <c r="F13" s="30"/>
      <c r="G13" s="32" t="s">
        <v>18</v>
      </c>
      <c r="H13" s="32">
        <f>H11+H12</f>
        <v>116110</v>
      </c>
      <c r="I13" s="15"/>
      <c r="J13" s="15"/>
      <c r="L13" s="6"/>
    </row>
    <row r="14" spans="1:12" ht="15" customHeight="1">
      <c r="A14" s="26"/>
      <c r="B14" s="28"/>
      <c r="C14" s="29"/>
      <c r="D14" s="33"/>
      <c r="E14" s="32"/>
      <c r="F14" s="30"/>
      <c r="G14" s="32" t="s">
        <v>19</v>
      </c>
      <c r="H14" s="36">
        <f>H10-H13</f>
        <v>-224996.90999999997</v>
      </c>
      <c r="I14" s="15"/>
      <c r="J14" s="15"/>
      <c r="L14" s="6"/>
    </row>
    <row r="15" spans="1:12" ht="13.9">
      <c r="B15" s="18"/>
      <c r="H15" s="6"/>
      <c r="I15" s="15"/>
      <c r="J15" s="15"/>
      <c r="L15" s="6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4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20</v>
      </c>
      <c r="B2" s="28">
        <v>44607</v>
      </c>
      <c r="C2" s="29">
        <v>10000</v>
      </c>
      <c r="D2" s="30" t="s">
        <v>21</v>
      </c>
      <c r="E2" s="31" t="s">
        <v>21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24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25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26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27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28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29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29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30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30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30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31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32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32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32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33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34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35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36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37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37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38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39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39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40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16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23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18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19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41</v>
      </c>
      <c r="B2" s="28">
        <v>44624</v>
      </c>
      <c r="C2" s="29">
        <v>10000</v>
      </c>
      <c r="D2" s="30" t="s">
        <v>21</v>
      </c>
      <c r="E2" s="31" t="s">
        <v>21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42</v>
      </c>
      <c r="B3" s="28">
        <v>44624</v>
      </c>
      <c r="C3" s="29">
        <v>60000</v>
      </c>
      <c r="D3" s="30" t="s">
        <v>21</v>
      </c>
      <c r="E3" s="31" t="s">
        <v>21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43</v>
      </c>
      <c r="B4" s="28">
        <v>44641</v>
      </c>
      <c r="C4" s="29">
        <v>110000</v>
      </c>
      <c r="D4" s="30" t="s">
        <v>21</v>
      </c>
      <c r="E4" s="31" t="s">
        <v>21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44</v>
      </c>
      <c r="B5" s="28">
        <v>44645</v>
      </c>
      <c r="C5" s="29">
        <v>20000</v>
      </c>
      <c r="D5" s="30" t="s">
        <v>21</v>
      </c>
      <c r="E5" s="31" t="s">
        <v>21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45</v>
      </c>
      <c r="B6" s="28">
        <v>44648</v>
      </c>
      <c r="C6" s="29">
        <v>10000</v>
      </c>
      <c r="D6" s="30" t="s">
        <v>21</v>
      </c>
      <c r="E6" s="31" t="s">
        <v>21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46</v>
      </c>
      <c r="B7" s="28">
        <v>44650</v>
      </c>
      <c r="C7" s="29">
        <v>40100</v>
      </c>
      <c r="D7" s="30" t="s">
        <v>21</v>
      </c>
      <c r="E7" s="31" t="s">
        <v>21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47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48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48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49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50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51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52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53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54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16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55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18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19</v>
      </c>
      <c r="H25" s="46">
        <f>H21-H24</f>
        <v>-58960.307999999946</v>
      </c>
    </row>
    <row r="26" spans="1:8" ht="15.6">
      <c r="G26" s="39" t="s">
        <v>56</v>
      </c>
      <c r="H26" s="39">
        <v>112000</v>
      </c>
    </row>
    <row r="27" spans="1:8" ht="15.6">
      <c r="G27" s="39" t="s">
        <v>57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58</v>
      </c>
      <c r="B2" s="28">
        <v>44659</v>
      </c>
      <c r="C2" s="29">
        <v>900</v>
      </c>
      <c r="D2" s="30" t="s">
        <v>21</v>
      </c>
      <c r="E2" s="31" t="s">
        <v>21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49</v>
      </c>
      <c r="B3" s="28">
        <v>44673</v>
      </c>
      <c r="C3" s="29">
        <v>6000</v>
      </c>
      <c r="D3" s="30" t="s">
        <v>21</v>
      </c>
      <c r="E3" s="31" t="s">
        <v>21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11</v>
      </c>
      <c r="B4" s="28">
        <v>44673</v>
      </c>
      <c r="C4" s="29">
        <v>9000</v>
      </c>
      <c r="D4" s="30" t="s">
        <v>21</v>
      </c>
      <c r="E4" s="31" t="s">
        <v>21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59</v>
      </c>
      <c r="B5" s="28">
        <v>44677</v>
      </c>
      <c r="C5" s="29">
        <v>900</v>
      </c>
      <c r="D5" s="30" t="s">
        <v>21</v>
      </c>
      <c r="E5" s="31" t="s">
        <v>21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48</v>
      </c>
      <c r="B6" s="28">
        <v>44678</v>
      </c>
      <c r="C6" s="29">
        <v>9000</v>
      </c>
      <c r="D6" s="30" t="s">
        <v>21</v>
      </c>
      <c r="E6" s="31" t="s">
        <v>21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60</v>
      </c>
      <c r="B7" s="28">
        <v>44680</v>
      </c>
      <c r="C7" s="29">
        <v>9000</v>
      </c>
      <c r="D7" s="30" t="s">
        <v>21</v>
      </c>
      <c r="E7" s="31" t="s">
        <v>21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61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62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50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63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34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64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65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52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53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54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16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66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18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19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56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57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34</v>
      </c>
      <c r="B2" s="28">
        <v>44686</v>
      </c>
      <c r="C2" s="29">
        <v>50000</v>
      </c>
      <c r="D2" s="30" t="s">
        <v>21</v>
      </c>
      <c r="E2" s="31" t="s">
        <v>21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49</v>
      </c>
      <c r="B3" s="28">
        <v>44686</v>
      </c>
      <c r="C3" s="29">
        <v>15000</v>
      </c>
      <c r="D3" s="30" t="s">
        <v>21</v>
      </c>
      <c r="E3" s="31" t="s">
        <v>21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67</v>
      </c>
      <c r="B4" s="28">
        <v>44687</v>
      </c>
      <c r="C4" s="29">
        <v>27000</v>
      </c>
      <c r="D4" s="30" t="s">
        <v>21</v>
      </c>
      <c r="E4" s="31" t="s">
        <v>21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12</v>
      </c>
      <c r="B5" s="28">
        <v>44687</v>
      </c>
      <c r="C5" s="29">
        <v>22500</v>
      </c>
      <c r="D5" s="30" t="s">
        <v>21</v>
      </c>
      <c r="E5" s="31" t="s">
        <v>21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68</v>
      </c>
      <c r="B6" s="28">
        <v>44687</v>
      </c>
      <c r="C6" s="29">
        <v>27000</v>
      </c>
      <c r="D6" s="30" t="s">
        <v>21</v>
      </c>
      <c r="E6" s="31" t="s">
        <v>21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15</v>
      </c>
      <c r="B7" s="28">
        <v>44690</v>
      </c>
      <c r="C7" s="29">
        <v>13000</v>
      </c>
      <c r="D7" s="30" t="s">
        <v>21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69</v>
      </c>
      <c r="B8" s="28">
        <v>44693</v>
      </c>
      <c r="C8" s="29">
        <v>9000</v>
      </c>
      <c r="D8" s="30" t="s">
        <v>21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51</v>
      </c>
      <c r="B9" s="28">
        <v>44694</v>
      </c>
      <c r="C9" s="29">
        <v>4500</v>
      </c>
      <c r="D9" s="30" t="s">
        <v>21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70</v>
      </c>
      <c r="B10" s="28">
        <v>44698</v>
      </c>
      <c r="C10" s="29">
        <v>30000</v>
      </c>
      <c r="D10" s="30" t="s">
        <v>21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71</v>
      </c>
      <c r="B11" s="28">
        <v>44698</v>
      </c>
      <c r="C11" s="29">
        <v>60000</v>
      </c>
      <c r="D11" s="30" t="s">
        <v>21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13</v>
      </c>
      <c r="B12" s="28">
        <v>44700</v>
      </c>
      <c r="C12" s="29">
        <v>3000</v>
      </c>
      <c r="D12" s="30" t="s">
        <v>21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65</v>
      </c>
      <c r="B13" s="28">
        <v>44700</v>
      </c>
      <c r="C13" s="29">
        <v>2000</v>
      </c>
      <c r="D13" s="30" t="s">
        <v>21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36</v>
      </c>
      <c r="B14" s="28">
        <v>44701</v>
      </c>
      <c r="C14" s="29">
        <v>6000</v>
      </c>
      <c r="D14" s="30" t="s">
        <v>21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72</v>
      </c>
      <c r="B15" s="28">
        <v>44701</v>
      </c>
      <c r="C15" s="29">
        <v>12000</v>
      </c>
      <c r="D15" s="30" t="s">
        <v>21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73</v>
      </c>
      <c r="B16" s="28">
        <v>44705</v>
      </c>
      <c r="C16" s="29">
        <v>18000</v>
      </c>
      <c r="D16" s="30" t="s">
        <v>21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74</v>
      </c>
      <c r="B17" s="28">
        <v>44705</v>
      </c>
      <c r="C17" s="29">
        <v>45000</v>
      </c>
      <c r="D17" s="30" t="s">
        <v>21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75</v>
      </c>
      <c r="B18" s="28">
        <v>44705</v>
      </c>
      <c r="C18" s="29">
        <v>4500</v>
      </c>
      <c r="D18" s="30" t="s">
        <v>21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76</v>
      </c>
      <c r="B19" s="28">
        <v>44706</v>
      </c>
      <c r="C19" s="29">
        <v>90000</v>
      </c>
      <c r="D19" s="30" t="s">
        <v>21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22</v>
      </c>
      <c r="B20" s="28">
        <v>44712</v>
      </c>
      <c r="C20" s="29">
        <v>60000</v>
      </c>
      <c r="D20" s="30" t="s">
        <v>21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69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64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50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69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36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36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64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36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77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75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51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51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31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32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52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53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54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16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78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18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19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56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57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27</v>
      </c>
      <c r="B2" s="28">
        <v>44718</v>
      </c>
      <c r="C2" s="29">
        <v>50000</v>
      </c>
      <c r="D2" s="30" t="s">
        <v>21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63</v>
      </c>
      <c r="B3" s="28">
        <v>44720</v>
      </c>
      <c r="C3" s="29">
        <v>110000</v>
      </c>
      <c r="D3" s="30" t="s">
        <v>21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79</v>
      </c>
      <c r="B4" s="28">
        <v>44727</v>
      </c>
      <c r="C4" s="29">
        <v>30000</v>
      </c>
      <c r="D4" s="30" t="s">
        <v>21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32</v>
      </c>
      <c r="B5" s="28">
        <v>44728</v>
      </c>
      <c r="C5" s="29">
        <v>6000</v>
      </c>
      <c r="D5" s="30" t="s">
        <v>21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14</v>
      </c>
      <c r="B6" s="28">
        <v>44736</v>
      </c>
      <c r="C6" s="29">
        <v>40000</v>
      </c>
      <c r="D6" s="30" t="s">
        <v>21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37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12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27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80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29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81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34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52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53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54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16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82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18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19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56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57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14</v>
      </c>
      <c r="B2" s="28">
        <v>44736</v>
      </c>
      <c r="C2" s="29">
        <v>40000</v>
      </c>
      <c r="D2" s="30" t="s">
        <v>21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65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65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51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29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52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53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54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16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83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18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19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56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57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84</v>
      </c>
      <c r="B2" s="28">
        <v>44799</v>
      </c>
      <c r="C2" s="29">
        <v>600</v>
      </c>
      <c r="D2" s="30" t="s">
        <v>21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85</v>
      </c>
      <c r="B3" s="28">
        <v>44799</v>
      </c>
      <c r="C3" s="29">
        <v>900</v>
      </c>
      <c r="D3" s="30" t="s">
        <v>21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84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37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52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53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54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16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86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18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19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56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57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44806</v>
      </c>
      <c r="C2" s="29">
        <v>5000</v>
      </c>
      <c r="D2" s="30" t="s">
        <v>21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72</v>
      </c>
      <c r="B3" s="28">
        <v>44806</v>
      </c>
      <c r="C3" s="29">
        <v>15000</v>
      </c>
      <c r="D3" s="30" t="s">
        <v>21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88</v>
      </c>
      <c r="B4" s="28">
        <v>44806</v>
      </c>
      <c r="C4" s="29">
        <v>15000</v>
      </c>
      <c r="D4" s="30" t="s">
        <v>21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79</v>
      </c>
      <c r="B5" s="28">
        <v>44806</v>
      </c>
      <c r="C5" s="29">
        <v>30000</v>
      </c>
      <c r="D5" s="30" t="s">
        <v>21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27</v>
      </c>
      <c r="B6" s="28">
        <v>44809</v>
      </c>
      <c r="C6" s="29">
        <v>40000</v>
      </c>
      <c r="D6" s="30" t="s">
        <v>21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89</v>
      </c>
      <c r="B7" s="28">
        <v>44809</v>
      </c>
      <c r="C7" s="29">
        <v>18000</v>
      </c>
      <c r="D7" s="30" t="s">
        <v>21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22</v>
      </c>
      <c r="B8" s="28">
        <v>44810</v>
      </c>
      <c r="C8" s="29">
        <v>60000</v>
      </c>
      <c r="D8" s="30" t="s">
        <v>21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63</v>
      </c>
      <c r="B9" s="28">
        <v>44810</v>
      </c>
      <c r="C9" s="29">
        <v>130000</v>
      </c>
      <c r="D9" s="30" t="s">
        <v>21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13</v>
      </c>
      <c r="B10" s="28">
        <v>44810</v>
      </c>
      <c r="C10" s="29">
        <v>7500</v>
      </c>
      <c r="D10" s="30" t="s">
        <v>21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67</v>
      </c>
      <c r="B11" s="28">
        <v>44811</v>
      </c>
      <c r="C11" s="29">
        <v>27000</v>
      </c>
      <c r="D11" s="30" t="s">
        <v>21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12</v>
      </c>
      <c r="B12" s="28">
        <v>44812</v>
      </c>
      <c r="C12" s="29">
        <v>22500</v>
      </c>
      <c r="D12" s="30" t="s">
        <v>21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70</v>
      </c>
      <c r="B13" s="28">
        <v>44813</v>
      </c>
      <c r="C13" s="29">
        <v>30000</v>
      </c>
      <c r="D13" s="30" t="s">
        <v>21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15</v>
      </c>
      <c r="B14" s="28">
        <v>44813</v>
      </c>
      <c r="C14" s="29">
        <v>15000</v>
      </c>
      <c r="D14" s="30" t="s">
        <v>21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76</v>
      </c>
      <c r="B15" s="28">
        <v>44813</v>
      </c>
      <c r="C15" s="29">
        <v>105000</v>
      </c>
      <c r="D15" s="30" t="s">
        <v>21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68</v>
      </c>
      <c r="B16" s="28">
        <v>44813</v>
      </c>
      <c r="C16" s="29">
        <v>48000</v>
      </c>
      <c r="D16" s="30" t="s">
        <v>21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74</v>
      </c>
      <c r="B17" s="28">
        <v>44817</v>
      </c>
      <c r="C17" s="29">
        <v>45000</v>
      </c>
      <c r="D17" s="30" t="s">
        <v>21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73</v>
      </c>
      <c r="B18" s="28">
        <v>44818</v>
      </c>
      <c r="C18" s="29">
        <v>21000</v>
      </c>
      <c r="D18" s="30" t="s">
        <v>21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90</v>
      </c>
      <c r="B19" s="28">
        <v>44818</v>
      </c>
      <c r="C19" s="29">
        <v>10000</v>
      </c>
      <c r="D19" s="30" t="s">
        <v>21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32</v>
      </c>
      <c r="B20" s="28">
        <v>44819</v>
      </c>
      <c r="C20" s="29">
        <v>2400</v>
      </c>
      <c r="D20" s="30" t="s">
        <v>21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14</v>
      </c>
      <c r="B21" s="28">
        <v>44823</v>
      </c>
      <c r="C21" s="29">
        <v>40000</v>
      </c>
      <c r="D21" s="30" t="s">
        <v>21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11</v>
      </c>
      <c r="B22" s="28">
        <v>44825</v>
      </c>
      <c r="C22" s="29">
        <v>12000</v>
      </c>
      <c r="D22" s="30" t="s">
        <v>21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73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71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63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91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52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53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54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16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92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18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19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56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57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64</v>
      </c>
      <c r="B2" s="28">
        <v>44846</v>
      </c>
      <c r="C2" s="29">
        <v>4500</v>
      </c>
      <c r="D2" s="30" t="s">
        <v>21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60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72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73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11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52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53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54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16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93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18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19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56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57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64</v>
      </c>
      <c r="B2" s="28">
        <v>44846</v>
      </c>
      <c r="C2" s="29">
        <v>0</v>
      </c>
      <c r="D2" s="30" t="s">
        <v>21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12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15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89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85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88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50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50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94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52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53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54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16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95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18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19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56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57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44897</v>
      </c>
      <c r="C2" s="29">
        <v>20000</v>
      </c>
      <c r="D2" s="30" t="s">
        <v>21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22</v>
      </c>
      <c r="B3" s="28">
        <v>44901</v>
      </c>
      <c r="C3" s="29">
        <v>60000</v>
      </c>
      <c r="D3" s="30" t="s">
        <v>21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27</v>
      </c>
      <c r="B4" s="28">
        <v>44901</v>
      </c>
      <c r="C4" s="29">
        <v>40000</v>
      </c>
      <c r="D4" s="30" t="s">
        <v>21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63</v>
      </c>
      <c r="B5" s="28">
        <v>44903</v>
      </c>
      <c r="C5" s="29">
        <v>130000</v>
      </c>
      <c r="D5" s="30" t="s">
        <v>21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72</v>
      </c>
      <c r="B6" s="28">
        <v>44904</v>
      </c>
      <c r="C6" s="29">
        <v>24000</v>
      </c>
      <c r="D6" s="30" t="s">
        <v>21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79</v>
      </c>
      <c r="B7" s="28">
        <v>44908</v>
      </c>
      <c r="C7" s="29">
        <v>30000</v>
      </c>
      <c r="D7" s="30" t="s">
        <v>21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14</v>
      </c>
      <c r="B8" s="28">
        <v>44910</v>
      </c>
      <c r="C8" s="29">
        <v>40000</v>
      </c>
      <c r="D8" s="30" t="s">
        <v>21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32</v>
      </c>
      <c r="B9" s="28">
        <v>44910</v>
      </c>
      <c r="C9" s="29">
        <v>2400</v>
      </c>
      <c r="D9" s="30" t="s">
        <v>21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90</v>
      </c>
      <c r="B10" s="28">
        <v>44918</v>
      </c>
      <c r="C10" s="29">
        <v>20000</v>
      </c>
      <c r="D10" s="30" t="s">
        <v>21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96</v>
      </c>
      <c r="B11" s="28">
        <v>44923</v>
      </c>
      <c r="C11" s="29">
        <v>10000</v>
      </c>
      <c r="D11" s="30" t="s">
        <v>21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50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12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12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68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89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52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53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54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16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97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18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19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56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57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2023-02-08T04:36:59Z</dcterms:modified>
  <cp:category/>
  <cp:contentStatus/>
</cp:coreProperties>
</file>