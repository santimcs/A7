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07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4688" documentId="8_{B00F7D7D-2236-4C8B-840E-2CD3F92C0379}" xr6:coauthVersionLast="47" xr6:coauthVersionMax="47" xr10:uidLastSave="{8FE62CA4-7B4C-4A44-84FB-69A9627C3302}"/>
  <bookViews>
    <workbookView xWindow="8076" yWindow="1416" windowWidth="13908" windowHeight="9516" tabRatio="445" firstSheet="1" activeTab="1" xr2:uid="{00000000-000D-0000-FFFF-FFFF00000000}"/>
  </bookViews>
  <sheets>
    <sheet name="JAN23" sheetId="58" r:id="rId1"/>
    <sheet name="FEB23" sheetId="59" r:id="rId2"/>
    <sheet name="FEB22" sheetId="39" r:id="rId3"/>
    <sheet name="MAR22" sheetId="40" r:id="rId4"/>
    <sheet name="APR22" sheetId="41" r:id="rId5"/>
    <sheet name="MAY22" sheetId="50" r:id="rId6"/>
    <sheet name="JUN22" sheetId="52" r:id="rId7"/>
    <sheet name="JUL22" sheetId="44" r:id="rId8"/>
    <sheet name="AUG22 " sheetId="53" r:id="rId9"/>
    <sheet name="SEP22" sheetId="54" r:id="rId10"/>
    <sheet name="OCT22" sheetId="55" r:id="rId11"/>
    <sheet name="NOV22" sheetId="56" r:id="rId12"/>
    <sheet name="DEC22" sheetId="57" r:id="rId1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59" l="1"/>
  <c r="H7" i="59"/>
  <c r="H6" i="59"/>
  <c r="H5" i="59"/>
  <c r="G10" i="59"/>
  <c r="E10" i="59"/>
  <c r="H4" i="59"/>
  <c r="H9" i="59"/>
  <c r="H15" i="59"/>
  <c r="G2" i="59"/>
  <c r="H2" i="59" s="1"/>
  <c r="H10" i="58"/>
  <c r="H9" i="58"/>
  <c r="H7" i="58"/>
  <c r="H8" i="58"/>
  <c r="H6" i="58"/>
  <c r="H5" i="58"/>
  <c r="H4" i="58"/>
  <c r="H3" i="58"/>
  <c r="G12" i="58"/>
  <c r="E12" i="58"/>
  <c r="H2" i="58"/>
  <c r="H13" i="41"/>
  <c r="H16" i="39"/>
  <c r="H17" i="58"/>
  <c r="H11" i="58"/>
  <c r="H17" i="57"/>
  <c r="H16" i="57"/>
  <c r="H15" i="57"/>
  <c r="H14" i="57"/>
  <c r="G9" i="57"/>
  <c r="H9" i="57" s="1"/>
  <c r="G8" i="57"/>
  <c r="H8" i="57" s="1"/>
  <c r="E19" i="57"/>
  <c r="G19" i="57"/>
  <c r="H13" i="57"/>
  <c r="H18" i="57"/>
  <c r="G10" i="57"/>
  <c r="H10" i="57" s="1"/>
  <c r="G7" i="57"/>
  <c r="H7" i="57" s="1"/>
  <c r="G6" i="57"/>
  <c r="G2" i="57"/>
  <c r="H2" i="57" s="1"/>
  <c r="G5" i="57"/>
  <c r="H5" i="57" s="1"/>
  <c r="G11" i="57"/>
  <c r="H11" i="57" s="1"/>
  <c r="G4" i="57"/>
  <c r="H4" i="57" s="1"/>
  <c r="G3" i="57"/>
  <c r="H3" i="57" s="1"/>
  <c r="H25" i="57"/>
  <c r="H10" i="56"/>
  <c r="H9" i="56"/>
  <c r="H8" i="56"/>
  <c r="H7" i="56"/>
  <c r="H6" i="56"/>
  <c r="H5" i="56"/>
  <c r="G12" i="56"/>
  <c r="E12" i="56"/>
  <c r="H4" i="56"/>
  <c r="H18" i="56"/>
  <c r="H11" i="56"/>
  <c r="G2" i="56"/>
  <c r="H2" i="56" s="1"/>
  <c r="H3" i="56" s="1"/>
  <c r="H6" i="55"/>
  <c r="H5" i="55"/>
  <c r="H7" i="55"/>
  <c r="G8" i="55"/>
  <c r="E8" i="55"/>
  <c r="H4" i="55"/>
  <c r="H8" i="55"/>
  <c r="H14" i="55"/>
  <c r="G2" i="55"/>
  <c r="H2" i="55" s="1"/>
  <c r="H3" i="55"/>
  <c r="H9" i="55" s="1"/>
  <c r="H11" i="55" s="1"/>
  <c r="H15" i="55" s="1"/>
  <c r="H17" i="55" s="1"/>
  <c r="G22" i="54"/>
  <c r="G21" i="54"/>
  <c r="H21" i="54" s="1"/>
  <c r="G20" i="54"/>
  <c r="H20" i="54" s="1"/>
  <c r="G5" i="52"/>
  <c r="H5" i="52" s="1"/>
  <c r="G19" i="54"/>
  <c r="H19" i="54" s="1"/>
  <c r="G18" i="54"/>
  <c r="H18" i="54" s="1"/>
  <c r="H22" i="54"/>
  <c r="G16" i="54"/>
  <c r="H16" i="54" s="1"/>
  <c r="H26" i="54"/>
  <c r="G15" i="54"/>
  <c r="G14" i="54"/>
  <c r="G13" i="54"/>
  <c r="H13" i="54" s="1"/>
  <c r="G12" i="54"/>
  <c r="H25" i="54"/>
  <c r="E28" i="54"/>
  <c r="G28" i="54"/>
  <c r="H24" i="54"/>
  <c r="G9" i="54"/>
  <c r="H9" i="54" s="1"/>
  <c r="G11" i="54"/>
  <c r="H11" i="54" s="1"/>
  <c r="G8" i="54"/>
  <c r="H8" i="54" s="1"/>
  <c r="G10" i="54"/>
  <c r="H10" i="54" s="1"/>
  <c r="G7" i="54"/>
  <c r="H7" i="54" s="1"/>
  <c r="G5" i="54"/>
  <c r="H5" i="54" s="1"/>
  <c r="G4" i="54"/>
  <c r="H4" i="54" s="1"/>
  <c r="G3" i="54"/>
  <c r="H3" i="54" s="1"/>
  <c r="G2" i="54"/>
  <c r="H2" i="54" s="1"/>
  <c r="G6" i="54"/>
  <c r="H6" i="54" s="1"/>
  <c r="H34" i="54"/>
  <c r="H27" i="54"/>
  <c r="H28" i="54" s="1"/>
  <c r="G17" i="54"/>
  <c r="H17" i="54" s="1"/>
  <c r="G2" i="53"/>
  <c r="H2" i="53" s="1"/>
  <c r="H13" i="53"/>
  <c r="G7" i="53"/>
  <c r="E7" i="53"/>
  <c r="H6" i="53"/>
  <c r="H5" i="53"/>
  <c r="H7" i="53" s="1"/>
  <c r="G3" i="53"/>
  <c r="H3" i="53" s="1"/>
  <c r="H6" i="44"/>
  <c r="H5" i="44"/>
  <c r="H7" i="44"/>
  <c r="H14" i="44"/>
  <c r="G8" i="44"/>
  <c r="E8" i="44"/>
  <c r="H4" i="44"/>
  <c r="H8" i="44"/>
  <c r="G2" i="44"/>
  <c r="H3" i="44"/>
  <c r="H9" i="44" s="1"/>
  <c r="H11" i="44" s="1"/>
  <c r="H15" i="44" s="1"/>
  <c r="H17" i="44" s="1"/>
  <c r="H13" i="52"/>
  <c r="H12" i="52"/>
  <c r="G4" i="52"/>
  <c r="H4" i="52" s="1"/>
  <c r="H11" i="52"/>
  <c r="H10" i="52"/>
  <c r="G3" i="52"/>
  <c r="H3" i="52" s="1"/>
  <c r="H14" i="52"/>
  <c r="H21" i="52"/>
  <c r="G15" i="52"/>
  <c r="E15" i="52"/>
  <c r="H9" i="52"/>
  <c r="H8" i="52"/>
  <c r="H15" i="52"/>
  <c r="G6" i="52"/>
  <c r="H6" i="52" s="1"/>
  <c r="G2" i="52"/>
  <c r="H2" i="52" s="1"/>
  <c r="H7" i="52"/>
  <c r="G19" i="50"/>
  <c r="H34" i="50"/>
  <c r="H22" i="41"/>
  <c r="H33" i="50"/>
  <c r="G16" i="50"/>
  <c r="H16" i="50" s="1"/>
  <c r="H32" i="50"/>
  <c r="H31" i="50"/>
  <c r="G17" i="50"/>
  <c r="H17" i="50" s="1"/>
  <c r="H30" i="50"/>
  <c r="H28" i="50"/>
  <c r="G20" i="50"/>
  <c r="H20" i="50" s="1"/>
  <c r="G15" i="50"/>
  <c r="G14" i="50"/>
  <c r="H14" i="50" s="1"/>
  <c r="G13" i="50"/>
  <c r="H13" i="50" s="1"/>
  <c r="G12" i="50"/>
  <c r="H12" i="50" s="1"/>
  <c r="G18" i="50"/>
  <c r="H18" i="50" s="1"/>
  <c r="G10" i="50"/>
  <c r="H10" i="50" s="1"/>
  <c r="H29" i="50"/>
  <c r="H27" i="50"/>
  <c r="H26" i="50"/>
  <c r="H25" i="50"/>
  <c r="G11" i="50"/>
  <c r="H11" i="50" s="1"/>
  <c r="G9" i="50"/>
  <c r="H9" i="50" s="1"/>
  <c r="G8" i="50"/>
  <c r="H8" i="50" s="1"/>
  <c r="G7" i="50"/>
  <c r="H24" i="50"/>
  <c r="H23" i="50"/>
  <c r="E36" i="50"/>
  <c r="G36" i="50"/>
  <c r="H22" i="50"/>
  <c r="G6" i="50"/>
  <c r="H6" i="50" s="1"/>
  <c r="G5" i="50"/>
  <c r="G4" i="50"/>
  <c r="H4" i="50" s="1"/>
  <c r="G3" i="50"/>
  <c r="H3" i="50" s="1"/>
  <c r="G2" i="50"/>
  <c r="H42" i="50"/>
  <c r="H35" i="50"/>
  <c r="H21" i="50"/>
  <c r="H15" i="41"/>
  <c r="H10" i="41"/>
  <c r="H11" i="41"/>
  <c r="E16" i="41"/>
  <c r="G16" i="41"/>
  <c r="H9" i="41"/>
  <c r="H14" i="41"/>
  <c r="G4" i="41"/>
  <c r="H4" i="41" s="1"/>
  <c r="H12" i="41"/>
  <c r="G7" i="41"/>
  <c r="H7" i="41" s="1"/>
  <c r="G6" i="41"/>
  <c r="H6" i="41" s="1"/>
  <c r="G5" i="41"/>
  <c r="H5" i="41" s="1"/>
  <c r="G3" i="41"/>
  <c r="G2" i="41"/>
  <c r="H2" i="41" s="1"/>
  <c r="H8" i="41" s="1"/>
  <c r="H16" i="40"/>
  <c r="H15" i="40"/>
  <c r="G6" i="40"/>
  <c r="H6" i="40" s="1"/>
  <c r="H14" i="40"/>
  <c r="H13" i="40"/>
  <c r="H12" i="40"/>
  <c r="H11" i="40"/>
  <c r="G18" i="40"/>
  <c r="E18" i="40"/>
  <c r="H10" i="40"/>
  <c r="H9" i="40"/>
  <c r="G7" i="40"/>
  <c r="H7" i="40" s="1"/>
  <c r="G5" i="40"/>
  <c r="H5" i="40" s="1"/>
  <c r="G3" i="40"/>
  <c r="H3" i="40" s="1"/>
  <c r="G2" i="40"/>
  <c r="H2" i="40" s="1"/>
  <c r="H24" i="40"/>
  <c r="H17" i="40"/>
  <c r="G4" i="40"/>
  <c r="G2" i="39"/>
  <c r="H2" i="39" s="1"/>
  <c r="H24" i="39"/>
  <c r="H17" i="39"/>
  <c r="H20" i="39"/>
  <c r="H4" i="39"/>
  <c r="H10" i="39"/>
  <c r="H27" i="39"/>
  <c r="H5" i="39"/>
  <c r="H9" i="39"/>
  <c r="H21" i="39"/>
  <c r="H7" i="39"/>
  <c r="H26" i="39"/>
  <c r="H25" i="39"/>
  <c r="H8" i="39"/>
  <c r="H23" i="39"/>
  <c r="H19" i="39"/>
  <c r="H13" i="39"/>
  <c r="H12" i="39"/>
  <c r="H11" i="39"/>
  <c r="H22" i="39"/>
  <c r="H15" i="39"/>
  <c r="H18" i="39"/>
  <c r="G28" i="39"/>
  <c r="E28" i="39"/>
  <c r="H14" i="39"/>
  <c r="H33" i="39"/>
  <c r="H6" i="39"/>
  <c r="H10" i="59" l="1"/>
  <c r="H12" i="59" s="1"/>
  <c r="H16" i="59" s="1"/>
  <c r="H12" i="58"/>
  <c r="H14" i="58" s="1"/>
  <c r="H18" i="58" s="1"/>
  <c r="H28" i="39"/>
  <c r="H30" i="39"/>
  <c r="H34" i="39" s="1"/>
  <c r="H19" i="57"/>
  <c r="H12" i="57"/>
  <c r="H20" i="57"/>
  <c r="H22" i="57" s="1"/>
  <c r="H26" i="57" s="1"/>
  <c r="H28" i="57" s="1"/>
  <c r="H12" i="56"/>
  <c r="H13" i="56" s="1"/>
  <c r="H15" i="56" s="1"/>
  <c r="H19" i="56" s="1"/>
  <c r="H21" i="56" s="1"/>
  <c r="H23" i="54"/>
  <c r="H29" i="54"/>
  <c r="H31" i="54" s="1"/>
  <c r="H35" i="54" s="1"/>
  <c r="H37" i="54" s="1"/>
  <c r="H4" i="53"/>
  <c r="H8" i="53" s="1"/>
  <c r="H10" i="53" s="1"/>
  <c r="H14" i="53" s="1"/>
  <c r="H16" i="53" s="1"/>
  <c r="H16" i="52"/>
  <c r="H18" i="52" s="1"/>
  <c r="H22" i="52" s="1"/>
  <c r="H24" i="52" s="1"/>
  <c r="H36" i="50"/>
  <c r="H37" i="50" s="1"/>
  <c r="H39" i="50" s="1"/>
  <c r="H43" i="50" s="1"/>
  <c r="H45" i="50" s="1"/>
  <c r="H16" i="41"/>
  <c r="H17" i="41" s="1"/>
  <c r="H19" i="41" s="1"/>
  <c r="H23" i="41" s="1"/>
  <c r="H25" i="41" s="1"/>
  <c r="H18" i="40"/>
  <c r="H4" i="40"/>
  <c r="H8" i="40" s="1"/>
  <c r="H19" i="40" s="1"/>
  <c r="H21" i="40" s="1"/>
  <c r="H25" i="40" l="1"/>
  <c r="H27" i="40" s="1"/>
</calcChain>
</file>

<file path=xl/sharedStrings.xml><?xml version="1.0" encoding="utf-8"?>
<sst xmlns="http://schemas.openxmlformats.org/spreadsheetml/2006/main" count="478" uniqueCount="98">
  <si>
    <t>Name</t>
  </si>
  <si>
    <t>Sales Date</t>
  </si>
  <si>
    <t>Volume</t>
  </si>
  <si>
    <t>Buy</t>
  </si>
  <si>
    <t>Purchase</t>
  </si>
  <si>
    <t>Sell</t>
  </si>
  <si>
    <t>Sales</t>
  </si>
  <si>
    <t>Net</t>
  </si>
  <si>
    <t>GFPT</t>
  </si>
  <si>
    <t>JMART</t>
  </si>
  <si>
    <t>SINGER</t>
  </si>
  <si>
    <t>PTTGC</t>
  </si>
  <si>
    <t>STA</t>
  </si>
  <si>
    <t>MAKRO</t>
  </si>
  <si>
    <t>WHAIR</t>
  </si>
  <si>
    <t>KCE</t>
  </si>
  <si>
    <t>B/F Expense</t>
  </si>
  <si>
    <t>January Exp</t>
  </si>
  <si>
    <t>C/F Expense</t>
  </si>
  <si>
    <t>Profit - Expense</t>
  </si>
  <si>
    <t>LPF-DIV</t>
  </si>
  <si>
    <t xml:space="preserve"> </t>
  </si>
  <si>
    <t>DCC</t>
  </si>
  <si>
    <t>SCCC</t>
  </si>
  <si>
    <t>February Exp</t>
  </si>
  <si>
    <t>BGRIM</t>
  </si>
  <si>
    <t>CKP</t>
  </si>
  <si>
    <t>CLP</t>
  </si>
  <si>
    <t>DIF</t>
  </si>
  <si>
    <t>EPG</t>
  </si>
  <si>
    <t>GLOBAL</t>
  </si>
  <si>
    <t>IMH</t>
  </si>
  <si>
    <t>IP</t>
  </si>
  <si>
    <t>IVL</t>
  </si>
  <si>
    <t>LPF</t>
  </si>
  <si>
    <t>MCS</t>
  </si>
  <si>
    <t>NOBLE</t>
  </si>
  <si>
    <t>RATCH</t>
  </si>
  <si>
    <t>TOP</t>
  </si>
  <si>
    <t>TSE</t>
  </si>
  <si>
    <t>TSTH</t>
  </si>
  <si>
    <t>TU</t>
  </si>
  <si>
    <t>CPNCG-DIV</t>
  </si>
  <si>
    <t>DIF-DIV</t>
  </si>
  <si>
    <t>JASIF-DIV</t>
  </si>
  <si>
    <t>WHART-DIV</t>
  </si>
  <si>
    <t>AIMIRT-DIV</t>
  </si>
  <si>
    <t>HREIT-DIV</t>
  </si>
  <si>
    <t>TYCN</t>
  </si>
  <si>
    <t>SNC</t>
  </si>
  <si>
    <t>MEGA</t>
  </si>
  <si>
    <t>DOHOME</t>
  </si>
  <si>
    <t>SIS</t>
  </si>
  <si>
    <t>Div+Gain</t>
  </si>
  <si>
    <t>Carry Over</t>
  </si>
  <si>
    <t>Div+Gain+CO</t>
  </si>
  <si>
    <t>March Exp</t>
  </si>
  <si>
    <t>Tax Refund</t>
  </si>
  <si>
    <t>Net Profit/Loss</t>
  </si>
  <si>
    <t xml:space="preserve">SCC </t>
  </si>
  <si>
    <t xml:space="preserve">PTT </t>
  </si>
  <si>
    <t>AIMIRT</t>
  </si>
  <si>
    <t>CPNCG</t>
  </si>
  <si>
    <t>JASIF</t>
  </si>
  <si>
    <t>PTT</t>
  </si>
  <si>
    <t>TISCO</t>
  </si>
  <si>
    <t>April Exp</t>
  </si>
  <si>
    <t>NER</t>
  </si>
  <si>
    <t>TMT</t>
  </si>
  <si>
    <t>SPALI</t>
  </si>
  <si>
    <t>ASP</t>
  </si>
  <si>
    <t>TPIPL</t>
  </si>
  <si>
    <t>RCL</t>
  </si>
  <si>
    <t>BCH</t>
  </si>
  <si>
    <t>ORI</t>
  </si>
  <si>
    <t>RJH</t>
  </si>
  <si>
    <t>SENA</t>
  </si>
  <si>
    <t>HREIT</t>
  </si>
  <si>
    <t>May Exp</t>
  </si>
  <si>
    <t>WHART</t>
  </si>
  <si>
    <t>BDMS</t>
  </si>
  <si>
    <t>TTB</t>
  </si>
  <si>
    <t>June Exp</t>
  </si>
  <si>
    <t>JuLY Exp</t>
  </si>
  <si>
    <t>PTTEP</t>
  </si>
  <si>
    <t>SCC</t>
  </si>
  <si>
    <t>Aug Exp</t>
  </si>
  <si>
    <t>CPNREIT</t>
  </si>
  <si>
    <t>VNG</t>
  </si>
  <si>
    <t>SYNEX</t>
  </si>
  <si>
    <t>GVREIT</t>
  </si>
  <si>
    <t>BANPU</t>
  </si>
  <si>
    <t>Sep Exp</t>
  </si>
  <si>
    <t>Oct Expense</t>
  </si>
  <si>
    <t>BH</t>
  </si>
  <si>
    <t>Nov Expense</t>
  </si>
  <si>
    <t>TFFIF</t>
  </si>
  <si>
    <t>Dec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</si>
</sst>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87" formatCode="0.000"/>
    <numFmt numFmtId="188" formatCode="\฿#,##0.00"/>
    <numFmt numFmtId="189" formatCode="&quot;฿&quot;#,##0.00"/>
    <numFmt numFmtId="190" formatCode="0.0000"/>
    <numFmt numFmtId="191" formatCode="yyyy\-mm\-dd;@"/>
  </numFmts>
  <fonts count="1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charset val="1"/>
    </font>
    <font>
      <b/>
      <sz val="12"/>
      <name val="Calibri"/>
    </font>
    <font>
      <sz val="12"/>
      <name val="Calibri"/>
    </font>
    <font>
      <sz val="12"/>
      <color rgb="FF333333"/>
      <name val="Calibri"/>
    </font>
    <font>
      <sz val="12"/>
      <name val="Calibri"/>
      <family val="2"/>
    </font>
    <font>
      <b/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191" fontId="4" fillId="0" borderId="0" xfId="0" applyNumberFormat="1" applyFont="1"/>
    <xf numFmtId="188" fontId="0" fillId="0" borderId="0" xfId="0" applyNumberFormat="1"/>
    <xf numFmtId="0" fontId="6" fillId="0" borderId="0" xfId="0" applyFont="1" applyAlignment="1">
      <alignment horizontal="center"/>
    </xf>
    <xf numFmtId="191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87" fontId="6" fillId="0" borderId="0" xfId="0" applyNumberFormat="1" applyFont="1" applyAlignment="1">
      <alignment horizontal="center"/>
    </xf>
    <xf numFmtId="188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91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88" fontId="7" fillId="0" borderId="0" xfId="0" applyNumberFormat="1" applyFont="1"/>
    <xf numFmtId="187" fontId="7" fillId="0" borderId="0" xfId="0" applyNumberFormat="1" applyFont="1"/>
    <xf numFmtId="188" fontId="7" fillId="2" borderId="0" xfId="0" applyNumberFormat="1" applyFont="1" applyFill="1"/>
    <xf numFmtId="189" fontId="7" fillId="0" borderId="0" xfId="0" applyNumberFormat="1" applyFont="1"/>
    <xf numFmtId="4" fontId="7" fillId="2" borderId="0" xfId="0" applyNumberFormat="1" applyFont="1" applyFill="1"/>
    <xf numFmtId="189" fontId="6" fillId="0" borderId="0" xfId="0" applyNumberFormat="1" applyFont="1"/>
    <xf numFmtId="190" fontId="7" fillId="0" borderId="0" xfId="0" applyNumberFormat="1" applyFont="1"/>
    <xf numFmtId="188" fontId="9" fillId="0" borderId="0" xfId="0" applyNumberFormat="1" applyFont="1"/>
    <xf numFmtId="188" fontId="9" fillId="3" borderId="0" xfId="0" applyNumberFormat="1" applyFont="1" applyFill="1"/>
    <xf numFmtId="188" fontId="6" fillId="0" borderId="0" xfId="0" applyNumberFormat="1" applyFont="1"/>
    <xf numFmtId="188" fontId="7" fillId="4" borderId="0" xfId="0" applyNumberFormat="1" applyFont="1" applyFill="1"/>
    <xf numFmtId="188" fontId="9" fillId="4" borderId="0" xfId="0" applyNumberFormat="1" applyFont="1" applyFill="1"/>
    <xf numFmtId="188" fontId="6" fillId="2" borderId="0" xfId="0" applyNumberFormat="1" applyFont="1" applyFill="1"/>
    <xf numFmtId="188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88" fontId="10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07DCB-A805-454D-A7EE-FBDCD33FF9C5}">
  <dimension ref="A1:K18"/>
  <sheetViews>
    <sheetView workbookViewId="0">
      <pane ySplit="1" topLeftCell="A6" activePane="bottomLeft" state="frozen"/>
      <selection pane="bottomLeft" activeCell="A11" sqref="A11:XFD11"/>
    </sheetView>
  </sheetViews>
  <sheetFormatPr defaultColWidth="8.5703125" defaultRowHeight="12.75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8</v>
      </c>
      <c r="B2" s="28">
        <v>44929</v>
      </c>
      <c r="C2" s="29">
        <v>7500</v>
      </c>
      <c r="D2" s="30">
        <v>12.5</v>
      </c>
      <c r="E2" s="31">
        <v>93957.64</v>
      </c>
      <c r="F2" s="30">
        <v>13.1</v>
      </c>
      <c r="G2" s="31">
        <v>98032.38</v>
      </c>
      <c r="H2" s="32">
        <f t="shared" ref="H2:H7" si="0">G2-E2</f>
        <v>4074.7400000000052</v>
      </c>
      <c r="I2" s="15"/>
      <c r="J2" s="15"/>
      <c r="K2" s="6"/>
    </row>
    <row r="3" spans="1:11" s="1" customFormat="1" ht="15" customHeight="1">
      <c r="A3" s="27" t="s">
        <v>9</v>
      </c>
      <c r="B3" s="28">
        <v>44935</v>
      </c>
      <c r="C3" s="29">
        <v>3000</v>
      </c>
      <c r="D3" s="30">
        <v>40</v>
      </c>
      <c r="E3" s="31">
        <v>120265.79</v>
      </c>
      <c r="F3" s="30">
        <v>42</v>
      </c>
      <c r="G3" s="31">
        <v>125720.92</v>
      </c>
      <c r="H3" s="32">
        <f t="shared" si="0"/>
        <v>5455.1300000000047</v>
      </c>
      <c r="I3" s="15"/>
      <c r="J3" s="15"/>
      <c r="K3" s="6"/>
    </row>
    <row r="4" spans="1:11" s="1" customFormat="1" ht="15" customHeight="1">
      <c r="A4" s="27" t="s">
        <v>10</v>
      </c>
      <c r="B4" s="28">
        <v>44935</v>
      </c>
      <c r="C4" s="29">
        <v>3600</v>
      </c>
      <c r="D4" s="30">
        <v>27.5</v>
      </c>
      <c r="E4" s="31">
        <v>99219.28</v>
      </c>
      <c r="F4" s="30">
        <v>29.25</v>
      </c>
      <c r="G4" s="31">
        <v>105066.77</v>
      </c>
      <c r="H4" s="32">
        <f t="shared" si="0"/>
        <v>5847.4900000000052</v>
      </c>
      <c r="I4" s="15"/>
      <c r="J4" s="15"/>
      <c r="K4" s="6"/>
    </row>
    <row r="5" spans="1:11" s="1" customFormat="1" ht="15" customHeight="1">
      <c r="A5" s="27" t="s">
        <v>11</v>
      </c>
      <c r="B5" s="28">
        <v>44943</v>
      </c>
      <c r="C5" s="29">
        <v>3000</v>
      </c>
      <c r="D5" s="30">
        <v>51.25</v>
      </c>
      <c r="E5" s="31">
        <v>163110.47</v>
      </c>
      <c r="F5" s="30">
        <v>50.75</v>
      </c>
      <c r="G5" s="31">
        <v>151912.78</v>
      </c>
      <c r="H5" s="32">
        <f t="shared" si="0"/>
        <v>-11197.690000000002</v>
      </c>
      <c r="I5" s="15"/>
      <c r="J5" s="15"/>
      <c r="K5" s="6"/>
    </row>
    <row r="6" spans="1:11" s="1" customFormat="1" ht="15" customHeight="1">
      <c r="A6" s="27" t="s">
        <v>12</v>
      </c>
      <c r="B6" s="28">
        <v>44945</v>
      </c>
      <c r="C6" s="29">
        <v>2500</v>
      </c>
      <c r="D6" s="30">
        <v>32.75</v>
      </c>
      <c r="E6" s="31">
        <v>82056.34</v>
      </c>
      <c r="F6" s="30">
        <v>21.2</v>
      </c>
      <c r="G6" s="31">
        <v>52882.61</v>
      </c>
      <c r="H6" s="32">
        <f t="shared" si="0"/>
        <v>-29173.729999999996</v>
      </c>
      <c r="I6" s="15"/>
      <c r="J6" s="15"/>
      <c r="K6" s="6"/>
    </row>
    <row r="7" spans="1:11" s="1" customFormat="1" ht="15" customHeight="1">
      <c r="A7" s="27" t="s">
        <v>12</v>
      </c>
      <c r="B7" s="28">
        <v>44951</v>
      </c>
      <c r="C7" s="29">
        <v>2500</v>
      </c>
      <c r="D7" s="30">
        <v>33.25</v>
      </c>
      <c r="E7" s="31">
        <v>83309.11</v>
      </c>
      <c r="F7" s="30">
        <v>21.4</v>
      </c>
      <c r="G7" s="31">
        <v>53381.5</v>
      </c>
      <c r="H7" s="32">
        <f t="shared" si="0"/>
        <v>-29927.61</v>
      </c>
      <c r="I7" s="15"/>
      <c r="J7" s="15"/>
      <c r="K7" s="6"/>
    </row>
    <row r="8" spans="1:11" s="1" customFormat="1" ht="15" customHeight="1">
      <c r="A8" s="27" t="s">
        <v>12</v>
      </c>
      <c r="B8" s="28">
        <v>44951</v>
      </c>
      <c r="C8" s="29">
        <v>2500</v>
      </c>
      <c r="D8" s="30">
        <v>35.25</v>
      </c>
      <c r="E8" s="31">
        <v>88320.19</v>
      </c>
      <c r="F8" s="30">
        <v>21.9</v>
      </c>
      <c r="G8" s="31">
        <v>54628.74</v>
      </c>
      <c r="H8" s="32">
        <f t="shared" ref="H8:H10" si="1">G8-E8</f>
        <v>-33691.450000000004</v>
      </c>
      <c r="I8" s="15"/>
      <c r="J8" s="15"/>
      <c r="K8" s="6"/>
    </row>
    <row r="9" spans="1:11" s="1" customFormat="1" ht="15" customHeight="1">
      <c r="A9" s="27" t="s">
        <v>13</v>
      </c>
      <c r="B9" s="28">
        <v>44950</v>
      </c>
      <c r="C9" s="29">
        <v>7500</v>
      </c>
      <c r="D9" s="30">
        <v>40.4</v>
      </c>
      <c r="E9" s="31">
        <v>303671.11</v>
      </c>
      <c r="F9" s="30">
        <v>42.5</v>
      </c>
      <c r="G9" s="31">
        <v>318044</v>
      </c>
      <c r="H9" s="32">
        <f t="shared" si="1"/>
        <v>14372.890000000014</v>
      </c>
      <c r="I9" s="15"/>
      <c r="J9" s="15"/>
      <c r="K9" s="6"/>
    </row>
    <row r="10" spans="1:11" s="1" customFormat="1" ht="15" customHeight="1">
      <c r="A10" s="27" t="s">
        <v>14</v>
      </c>
      <c r="B10" s="28">
        <v>44956</v>
      </c>
      <c r="C10" s="29">
        <v>10000</v>
      </c>
      <c r="D10" s="30">
        <v>7.7</v>
      </c>
      <c r="E10" s="31">
        <v>77170.55</v>
      </c>
      <c r="F10" s="30">
        <v>7.8</v>
      </c>
      <c r="G10" s="31">
        <v>77827.240000000005</v>
      </c>
      <c r="H10" s="32">
        <f t="shared" si="1"/>
        <v>656.69000000000233</v>
      </c>
      <c r="I10" s="15"/>
      <c r="J10" s="15"/>
      <c r="K10" s="6"/>
    </row>
    <row r="11" spans="1:11" s="1" customFormat="1" ht="15" customHeight="1">
      <c r="A11" s="27" t="s">
        <v>15</v>
      </c>
      <c r="B11" s="28">
        <v>44957</v>
      </c>
      <c r="C11" s="29">
        <v>1000</v>
      </c>
      <c r="D11" s="30">
        <v>61.25</v>
      </c>
      <c r="E11" s="31">
        <v>61385.67</v>
      </c>
      <c r="F11" s="30">
        <v>53.75</v>
      </c>
      <c r="G11" s="31">
        <v>53630.95</v>
      </c>
      <c r="H11" s="32">
        <f t="shared" ref="H11" si="2">G11-E11</f>
        <v>-7754.7200000000012</v>
      </c>
      <c r="I11" s="15"/>
      <c r="J11" s="15"/>
      <c r="K11" s="6"/>
    </row>
    <row r="12" spans="1:11" ht="15" customHeight="1">
      <c r="A12" s="26"/>
      <c r="B12" s="28"/>
      <c r="C12" s="29"/>
      <c r="D12" s="33"/>
      <c r="E12" s="32">
        <f>SUM(E2:E11)</f>
        <v>1172466.1499999997</v>
      </c>
      <c r="F12" s="30"/>
      <c r="G12" s="32">
        <f t="shared" ref="G12:H12" si="3">SUM(G2:G11)</f>
        <v>1091127.8899999999</v>
      </c>
      <c r="H12" s="34">
        <f t="shared" si="3"/>
        <v>-81338.25999999998</v>
      </c>
      <c r="K12" s="15"/>
    </row>
    <row r="13" spans="1:11" ht="15" customHeight="1">
      <c r="A13" s="26"/>
      <c r="B13" s="28"/>
      <c r="C13" s="29"/>
      <c r="D13" s="33"/>
      <c r="E13" s="32"/>
      <c r="F13" s="30"/>
      <c r="G13" s="32"/>
      <c r="H13" s="32">
        <v>0</v>
      </c>
    </row>
    <row r="14" spans="1:11" ht="15" customHeight="1">
      <c r="A14" s="26"/>
      <c r="B14" s="28"/>
      <c r="C14" s="29"/>
      <c r="D14" s="33"/>
      <c r="E14" s="32"/>
      <c r="F14" s="30"/>
      <c r="G14" s="32"/>
      <c r="H14" s="32">
        <f>SUM(H12:H13)</f>
        <v>-81338.25999999998</v>
      </c>
    </row>
    <row r="15" spans="1:11" ht="15" customHeight="1">
      <c r="A15" s="26"/>
      <c r="B15" s="28"/>
      <c r="C15" s="29"/>
      <c r="D15" s="33"/>
      <c r="E15" s="32"/>
      <c r="F15" s="30"/>
      <c r="G15" s="32" t="s">
        <v>16</v>
      </c>
      <c r="H15" s="35">
        <v>0</v>
      </c>
    </row>
    <row r="16" spans="1:11" ht="15" customHeight="1">
      <c r="A16" s="26"/>
      <c r="B16" s="28"/>
      <c r="C16" s="29"/>
      <c r="D16" s="33"/>
      <c r="E16" s="32"/>
      <c r="F16" s="30"/>
      <c r="G16" s="32" t="s">
        <v>17</v>
      </c>
      <c r="H16" s="35">
        <v>76110</v>
      </c>
    </row>
    <row r="17" spans="1:8" ht="15" customHeight="1">
      <c r="A17" s="26"/>
      <c r="B17" s="28"/>
      <c r="C17" s="29"/>
      <c r="D17" s="33"/>
      <c r="E17" s="32"/>
      <c r="F17" s="30"/>
      <c r="G17" s="32" t="s">
        <v>18</v>
      </c>
      <c r="H17" s="32">
        <f>H15+H16</f>
        <v>76110</v>
      </c>
    </row>
    <row r="18" spans="1:8" ht="15" customHeight="1">
      <c r="A18" s="26"/>
      <c r="B18" s="28"/>
      <c r="C18" s="29"/>
      <c r="D18" s="33"/>
      <c r="E18" s="32"/>
      <c r="F18" s="30"/>
      <c r="G18" s="32" t="s">
        <v>19</v>
      </c>
      <c r="H18" s="36">
        <f>H14-H17</f>
        <v>-157448.25999999998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74D68-3DFE-4CE9-AFD6-DD45A9A60264}">
  <dimension ref="A1:L17"/>
  <sheetViews>
    <sheetView tabSelected="1" topLeftCell="A4" workbookViewId="0">
      <selection activeCell="H10" sqref="H10"/>
    </sheetView>
  </sheetViews>
  <sheetFormatPr defaultColWidth="8.5703125" defaultRowHeight="12.75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2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2" s="1" customFormat="1" ht="15" customHeight="1">
      <c r="A2" s="27" t="s">
        <v>20</v>
      </c>
      <c r="B2" s="28">
        <v>44607</v>
      </c>
      <c r="C2" s="29">
        <v>0</v>
      </c>
      <c r="D2" s="30" t="s">
        <v>21</v>
      </c>
      <c r="E2" s="31" t="s">
        <v>21</v>
      </c>
      <c r="F2" s="30">
        <v>0.1719</v>
      </c>
      <c r="G2" s="31">
        <f>C2*F2</f>
        <v>0</v>
      </c>
      <c r="H2" s="32">
        <f>G2*0.9</f>
        <v>0</v>
      </c>
      <c r="I2" s="15"/>
      <c r="J2" s="15"/>
      <c r="K2" s="6"/>
    </row>
    <row r="3" spans="1:12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2" s="1" customFormat="1" ht="15" customHeight="1">
      <c r="A4" s="27" t="s">
        <v>15</v>
      </c>
      <c r="B4" s="28">
        <v>44958</v>
      </c>
      <c r="C4" s="29">
        <v>1000</v>
      </c>
      <c r="D4" s="30">
        <v>62.75</v>
      </c>
      <c r="E4" s="31">
        <v>62888.98</v>
      </c>
      <c r="F4" s="30">
        <v>56</v>
      </c>
      <c r="G4" s="31">
        <v>55875.97</v>
      </c>
      <c r="H4" s="32">
        <f t="shared" ref="H4:H8" si="0">G4-E4</f>
        <v>-7013.010000000002</v>
      </c>
      <c r="I4" s="15"/>
      <c r="J4" s="15"/>
      <c r="K4" s="6"/>
    </row>
    <row r="5" spans="1:12" s="1" customFormat="1" ht="15" customHeight="1">
      <c r="A5" s="27" t="s">
        <v>15</v>
      </c>
      <c r="B5" s="28">
        <v>44965</v>
      </c>
      <c r="C5" s="29">
        <v>1000</v>
      </c>
      <c r="D5" s="30">
        <v>64.25</v>
      </c>
      <c r="E5" s="31">
        <v>64392.31</v>
      </c>
      <c r="F5" s="30">
        <v>54.5</v>
      </c>
      <c r="G5" s="31">
        <v>54379.28</v>
      </c>
      <c r="H5" s="32">
        <f t="shared" si="0"/>
        <v>-10013.029999999999</v>
      </c>
      <c r="I5" s="15"/>
      <c r="J5" s="15"/>
      <c r="K5" s="6"/>
    </row>
    <row r="6" spans="1:12" s="1" customFormat="1" ht="15" customHeight="1">
      <c r="A6" s="27" t="s">
        <v>15</v>
      </c>
      <c r="B6" s="28">
        <v>44965</v>
      </c>
      <c r="C6" s="29">
        <v>1000</v>
      </c>
      <c r="D6" s="30">
        <v>58</v>
      </c>
      <c r="E6" s="31">
        <v>58128.46</v>
      </c>
      <c r="F6" s="30">
        <v>54.5</v>
      </c>
      <c r="G6" s="31">
        <v>54379.28</v>
      </c>
      <c r="H6" s="32">
        <f t="shared" si="0"/>
        <v>-3749.1800000000003</v>
      </c>
      <c r="I6" s="15"/>
      <c r="J6" s="15"/>
      <c r="K6" s="6"/>
    </row>
    <row r="7" spans="1:12" s="1" customFormat="1" ht="15" customHeight="1">
      <c r="A7" s="27" t="s">
        <v>22</v>
      </c>
      <c r="B7" s="28">
        <v>44965</v>
      </c>
      <c r="C7" s="29">
        <v>60000</v>
      </c>
      <c r="D7" s="30">
        <v>2.96</v>
      </c>
      <c r="E7" s="31">
        <v>177993.36</v>
      </c>
      <c r="F7" s="30">
        <v>2.86</v>
      </c>
      <c r="G7" s="31">
        <v>171219.93</v>
      </c>
      <c r="H7" s="32">
        <f t="shared" si="0"/>
        <v>-6773.429999999993</v>
      </c>
      <c r="I7" s="15"/>
      <c r="J7" s="15"/>
      <c r="K7" s="6"/>
    </row>
    <row r="8" spans="1:12" s="1" customFormat="1" ht="15" customHeight="1">
      <c r="A8" s="27" t="s">
        <v>12</v>
      </c>
      <c r="B8" s="28">
        <v>44965</v>
      </c>
      <c r="C8" s="29">
        <v>2500</v>
      </c>
      <c r="D8" s="30">
        <v>37.75</v>
      </c>
      <c r="E8" s="31">
        <v>94584.04</v>
      </c>
      <c r="F8" s="30">
        <v>24.1</v>
      </c>
      <c r="G8" s="31">
        <v>60116.55</v>
      </c>
      <c r="H8" s="32">
        <f t="shared" si="0"/>
        <v>-34467.489999999991</v>
      </c>
      <c r="I8" s="15"/>
      <c r="J8" s="15"/>
      <c r="K8" s="6"/>
    </row>
    <row r="9" spans="1:12" s="1" customFormat="1" ht="15" customHeight="1">
      <c r="A9" s="27" t="s">
        <v>23</v>
      </c>
      <c r="B9" s="28">
        <v>44970</v>
      </c>
      <c r="C9" s="29">
        <v>1200</v>
      </c>
      <c r="D9" s="30">
        <v>171</v>
      </c>
      <c r="E9" s="31">
        <v>205654.49</v>
      </c>
      <c r="F9" s="30">
        <v>158.5</v>
      </c>
      <c r="G9" s="31">
        <v>189778.73</v>
      </c>
      <c r="H9" s="32">
        <f t="shared" ref="H9" si="1">G9-E9</f>
        <v>-15875.75999999998</v>
      </c>
      <c r="I9" s="15"/>
      <c r="J9" s="15"/>
      <c r="K9" s="6"/>
    </row>
    <row r="10" spans="1:12" ht="15" customHeight="1">
      <c r="A10" s="26"/>
      <c r="B10" s="28"/>
      <c r="C10" s="29"/>
      <c r="D10" s="33"/>
      <c r="E10" s="32">
        <f>SUM(E4:E9)</f>
        <v>663641.6399999999</v>
      </c>
      <c r="F10" s="30"/>
      <c r="G10" s="32">
        <f>SUM(G4:G9)</f>
        <v>585749.74</v>
      </c>
      <c r="H10" s="34">
        <f>SUM(H4:H9)</f>
        <v>-77891.899999999965</v>
      </c>
      <c r="I10" s="15"/>
      <c r="J10" s="15"/>
      <c r="K10" s="15"/>
      <c r="L10" s="6"/>
    </row>
    <row r="11" spans="1:12" ht="15" customHeight="1">
      <c r="A11" s="26"/>
      <c r="B11" s="28"/>
      <c r="C11" s="29"/>
      <c r="D11" s="33"/>
      <c r="E11" s="32"/>
      <c r="F11" s="30"/>
      <c r="G11" s="32"/>
      <c r="H11" s="32">
        <v>-81338.25999999998</v>
      </c>
      <c r="I11" s="15"/>
      <c r="J11" s="15"/>
      <c r="L11" s="6"/>
    </row>
    <row r="12" spans="1:12" ht="15" customHeight="1">
      <c r="A12" s="26"/>
      <c r="B12" s="28"/>
      <c r="C12" s="29"/>
      <c r="D12" s="33"/>
      <c r="E12" s="32"/>
      <c r="F12" s="30"/>
      <c r="G12" s="32"/>
      <c r="H12" s="34">
        <f>SUM(H2,H10,H11)</f>
        <v>-159230.15999999995</v>
      </c>
      <c r="I12" s="15"/>
      <c r="J12" s="15"/>
      <c r="L12" s="6"/>
    </row>
    <row r="13" spans="1:12" ht="15" customHeight="1">
      <c r="A13" s="26"/>
      <c r="B13" s="28"/>
      <c r="C13" s="29"/>
      <c r="D13" s="33"/>
      <c r="E13" s="32"/>
      <c r="F13" s="30"/>
      <c r="G13" s="32" t="s">
        <v>16</v>
      </c>
      <c r="H13" s="35">
        <v>76110</v>
      </c>
      <c r="I13" s="15"/>
      <c r="J13" s="15"/>
      <c r="L13" s="6"/>
    </row>
    <row r="14" spans="1:12" ht="15" customHeight="1">
      <c r="A14" s="26"/>
      <c r="B14" s="28"/>
      <c r="C14" s="29"/>
      <c r="D14" s="33"/>
      <c r="E14" s="32"/>
      <c r="F14" s="30"/>
      <c r="G14" s="32" t="s">
        <v>24</v>
      </c>
      <c r="H14" s="35">
        <v>40000</v>
      </c>
      <c r="I14" s="15"/>
      <c r="J14" s="15"/>
      <c r="L14" s="6"/>
    </row>
    <row r="15" spans="1:12" ht="15" customHeight="1">
      <c r="A15" s="26"/>
      <c r="B15" s="28"/>
      <c r="C15" s="29"/>
      <c r="D15" s="33"/>
      <c r="E15" s="32"/>
      <c r="F15" s="30"/>
      <c r="G15" s="32" t="s">
        <v>18</v>
      </c>
      <c r="H15" s="32">
        <f>H13+H14</f>
        <v>116110</v>
      </c>
      <c r="I15" s="15"/>
      <c r="J15" s="15"/>
      <c r="L15" s="6"/>
    </row>
    <row r="16" spans="1:12" ht="15" customHeight="1">
      <c r="A16" s="26"/>
      <c r="B16" s="28"/>
      <c r="C16" s="29"/>
      <c r="D16" s="33"/>
      <c r="E16" s="32"/>
      <c r="F16" s="30"/>
      <c r="G16" s="32" t="s">
        <v>19</v>
      </c>
      <c r="H16" s="36">
        <f>H12-H15</f>
        <v>-275340.15999999992</v>
      </c>
      <c r="I16" s="15"/>
      <c r="J16" s="15"/>
      <c r="L16" s="6"/>
    </row>
    <row r="17" spans="2:12" ht="13.9">
      <c r="B17" s="18"/>
      <c r="H17" s="6"/>
      <c r="I17" s="15"/>
      <c r="J17" s="15"/>
      <c r="L17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5"/>
  <sheetViews>
    <sheetView topLeftCell="A24" workbookViewId="0">
      <selection activeCell="H30" sqref="H30"/>
    </sheetView>
  </sheetViews>
  <sheetFormatPr defaultColWidth="8.5703125" defaultRowHeight="13.9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20</v>
      </c>
      <c r="B2" s="28">
        <v>44607</v>
      </c>
      <c r="C2" s="29">
        <v>10000</v>
      </c>
      <c r="D2" s="30" t="s">
        <v>21</v>
      </c>
      <c r="E2" s="31" t="s">
        <v>21</v>
      </c>
      <c r="F2" s="30">
        <v>0.1719</v>
      </c>
      <c r="G2" s="31">
        <f>C2*F2</f>
        <v>1719</v>
      </c>
      <c r="H2" s="32">
        <f>G2*0.9</f>
        <v>1547.1000000000001</v>
      </c>
      <c r="I2" s="15"/>
      <c r="J2" s="15"/>
      <c r="K2" s="6"/>
    </row>
    <row r="3" spans="1:11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1" s="1" customFormat="1" ht="15" customHeight="1">
      <c r="A4" s="27" t="s">
        <v>25</v>
      </c>
      <c r="B4" s="28">
        <v>44617</v>
      </c>
      <c r="C4" s="29">
        <v>9000</v>
      </c>
      <c r="D4" s="30">
        <v>40</v>
      </c>
      <c r="E4" s="31">
        <v>360797.36</v>
      </c>
      <c r="F4" s="30">
        <v>33</v>
      </c>
      <c r="G4" s="31">
        <v>296342.17</v>
      </c>
      <c r="H4" s="41">
        <f>G4-E4</f>
        <v>-64455.19</v>
      </c>
      <c r="I4" s="15"/>
      <c r="J4" s="15"/>
      <c r="K4" s="6"/>
    </row>
    <row r="5" spans="1:11" s="1" customFormat="1" ht="15" customHeight="1">
      <c r="A5" s="27" t="s">
        <v>26</v>
      </c>
      <c r="B5" s="28">
        <v>44614</v>
      </c>
      <c r="C5" s="29">
        <v>20000</v>
      </c>
      <c r="D5" s="30">
        <v>5</v>
      </c>
      <c r="E5" s="31">
        <v>100221.49</v>
      </c>
      <c r="F5" s="30">
        <v>5.0999999999999996</v>
      </c>
      <c r="G5" s="31">
        <v>101774.08</v>
      </c>
      <c r="H5" s="41">
        <f>G5-E5</f>
        <v>1552.5899999999965</v>
      </c>
      <c r="I5" s="15"/>
      <c r="J5" s="15"/>
      <c r="K5" s="6"/>
    </row>
    <row r="6" spans="1:11" s="1" customFormat="1" ht="15" customHeight="1">
      <c r="A6" s="27" t="s">
        <v>27</v>
      </c>
      <c r="B6" s="28">
        <v>44594</v>
      </c>
      <c r="C6" s="29">
        <v>10000</v>
      </c>
      <c r="D6" s="30">
        <v>5</v>
      </c>
      <c r="E6" s="31">
        <v>50110.75</v>
      </c>
      <c r="F6" s="30">
        <v>5.5</v>
      </c>
      <c r="G6" s="31">
        <v>54878.18</v>
      </c>
      <c r="H6" s="41">
        <f>G6-E6</f>
        <v>4767.43</v>
      </c>
      <c r="I6" s="15"/>
      <c r="J6" s="15"/>
      <c r="K6" s="6"/>
    </row>
    <row r="7" spans="1:11" s="1" customFormat="1" ht="15" customHeight="1">
      <c r="A7" s="27" t="s">
        <v>28</v>
      </c>
      <c r="B7" s="28">
        <v>44610</v>
      </c>
      <c r="C7" s="29">
        <v>10000</v>
      </c>
      <c r="D7" s="30">
        <v>14.7</v>
      </c>
      <c r="E7" s="31">
        <v>147325.59</v>
      </c>
      <c r="F7" s="30">
        <v>14.3</v>
      </c>
      <c r="G7" s="31">
        <v>142683.26999999999</v>
      </c>
      <c r="H7" s="41">
        <f>G7-E7</f>
        <v>-4642.320000000007</v>
      </c>
      <c r="I7" s="15"/>
      <c r="J7" s="15"/>
      <c r="K7" s="6"/>
    </row>
    <row r="8" spans="1:11" s="1" customFormat="1" ht="15" customHeight="1">
      <c r="A8" s="27" t="s">
        <v>29</v>
      </c>
      <c r="B8" s="28">
        <v>44606</v>
      </c>
      <c r="C8" s="29">
        <v>24000</v>
      </c>
      <c r="D8" s="30">
        <v>10.9</v>
      </c>
      <c r="E8" s="31">
        <v>262179.42</v>
      </c>
      <c r="F8" s="30">
        <v>10.3</v>
      </c>
      <c r="G8" s="31">
        <v>246652.48</v>
      </c>
      <c r="H8" s="41">
        <f>G8-E8</f>
        <v>-15526.939999999973</v>
      </c>
      <c r="I8" s="15"/>
      <c r="J8" s="15"/>
      <c r="K8" s="6"/>
    </row>
    <row r="9" spans="1:11" s="1" customFormat="1" ht="15" customHeight="1">
      <c r="A9" s="27" t="s">
        <v>30</v>
      </c>
      <c r="B9" s="28">
        <v>44613</v>
      </c>
      <c r="C9" s="29">
        <v>5000</v>
      </c>
      <c r="D9" s="30">
        <v>19.399999999999999</v>
      </c>
      <c r="E9" s="31">
        <v>97214.85</v>
      </c>
      <c r="F9" s="30">
        <v>21</v>
      </c>
      <c r="G9" s="31">
        <v>104767.44</v>
      </c>
      <c r="H9" s="41">
        <f>G9-E9</f>
        <v>7552.5899999999965</v>
      </c>
      <c r="I9" s="15"/>
      <c r="J9" s="15"/>
      <c r="K9" s="6"/>
    </row>
    <row r="10" spans="1:11" s="1" customFormat="1" ht="15" customHeight="1">
      <c r="A10" s="27" t="s">
        <v>30</v>
      </c>
      <c r="B10" s="28">
        <v>44616</v>
      </c>
      <c r="C10" s="29">
        <v>10000</v>
      </c>
      <c r="D10" s="30">
        <v>19.399999999999999</v>
      </c>
      <c r="E10" s="31">
        <v>194429.69</v>
      </c>
      <c r="F10" s="30">
        <v>21</v>
      </c>
      <c r="G10" s="31">
        <v>209534.87</v>
      </c>
      <c r="H10" s="41">
        <f>G10-E10</f>
        <v>15105.179999999993</v>
      </c>
      <c r="I10" s="15"/>
      <c r="J10" s="15"/>
      <c r="K10" s="6"/>
    </row>
    <row r="11" spans="1:11" s="1" customFormat="1" ht="15" customHeight="1">
      <c r="A11" s="27" t="s">
        <v>31</v>
      </c>
      <c r="B11" s="28">
        <v>44601</v>
      </c>
      <c r="C11" s="29">
        <v>3000</v>
      </c>
      <c r="D11" s="30">
        <v>17.600000000000001</v>
      </c>
      <c r="E11" s="31">
        <v>52916.95</v>
      </c>
      <c r="F11" s="30">
        <v>20.7</v>
      </c>
      <c r="G11" s="31">
        <v>61962.45</v>
      </c>
      <c r="H11" s="41">
        <f>G11-E11</f>
        <v>9045.5</v>
      </c>
      <c r="I11" s="15"/>
      <c r="J11" s="15"/>
      <c r="K11" s="6"/>
    </row>
    <row r="12" spans="1:11" s="1" customFormat="1" ht="15" customHeight="1">
      <c r="A12" s="27" t="s">
        <v>31</v>
      </c>
      <c r="B12" s="28">
        <v>44602</v>
      </c>
      <c r="C12" s="29">
        <v>3000</v>
      </c>
      <c r="D12" s="30">
        <v>17.600000000000001</v>
      </c>
      <c r="E12" s="31">
        <v>52916.95</v>
      </c>
      <c r="F12" s="30">
        <v>21.1</v>
      </c>
      <c r="G12" s="31">
        <v>63159.8</v>
      </c>
      <c r="H12" s="41">
        <f>G12-E12</f>
        <v>10242.850000000006</v>
      </c>
      <c r="I12" s="15"/>
      <c r="J12" s="15"/>
      <c r="K12" s="6"/>
    </row>
    <row r="13" spans="1:11" s="1" customFormat="1" ht="15" customHeight="1">
      <c r="A13" s="27" t="s">
        <v>31</v>
      </c>
      <c r="B13" s="28">
        <v>44603</v>
      </c>
      <c r="C13" s="29">
        <v>3000</v>
      </c>
      <c r="D13" s="30">
        <v>17.600000000000001</v>
      </c>
      <c r="E13" s="31">
        <v>52916.95</v>
      </c>
      <c r="F13" s="30">
        <v>18.399999999999999</v>
      </c>
      <c r="G13" s="31">
        <v>55077.74</v>
      </c>
      <c r="H13" s="41">
        <f>G13-E13</f>
        <v>2160.7900000000009</v>
      </c>
      <c r="I13" s="15"/>
      <c r="J13" s="15"/>
      <c r="K13" s="6"/>
    </row>
    <row r="14" spans="1:11" s="1" customFormat="1" ht="15" customHeight="1">
      <c r="A14" s="27" t="s">
        <v>32</v>
      </c>
      <c r="B14" s="28">
        <v>44593</v>
      </c>
      <c r="C14" s="29">
        <v>3000</v>
      </c>
      <c r="D14" s="30">
        <v>20.2</v>
      </c>
      <c r="E14" s="31">
        <v>60734.22</v>
      </c>
      <c r="F14" s="30">
        <v>22</v>
      </c>
      <c r="G14" s="31">
        <v>65853.820000000007</v>
      </c>
      <c r="H14" s="41">
        <f>G14-E14</f>
        <v>5119.6000000000058</v>
      </c>
      <c r="I14" s="15"/>
      <c r="J14" s="15"/>
      <c r="K14" s="6"/>
    </row>
    <row r="15" spans="1:11" s="1" customFormat="1" ht="15" customHeight="1">
      <c r="A15" s="27" t="s">
        <v>33</v>
      </c>
      <c r="B15" s="28">
        <v>44614</v>
      </c>
      <c r="C15" s="29">
        <v>1200</v>
      </c>
      <c r="D15" s="30">
        <v>42</v>
      </c>
      <c r="E15" s="31">
        <v>50511.63</v>
      </c>
      <c r="F15" s="30">
        <v>46</v>
      </c>
      <c r="G15" s="31">
        <v>55077.74</v>
      </c>
      <c r="H15" s="41">
        <f>G15-E15</f>
        <v>4566.1100000000006</v>
      </c>
      <c r="I15" s="15"/>
      <c r="J15" s="15"/>
      <c r="K15" s="6"/>
    </row>
    <row r="16" spans="1:11" s="1" customFormat="1" ht="15" customHeight="1">
      <c r="A16" s="27" t="s">
        <v>33</v>
      </c>
      <c r="B16" s="28">
        <v>44601</v>
      </c>
      <c r="C16" s="29">
        <v>1200</v>
      </c>
      <c r="D16" s="30">
        <v>42</v>
      </c>
      <c r="E16" s="31">
        <v>50511.63</v>
      </c>
      <c r="F16" s="30">
        <v>50.5</v>
      </c>
      <c r="G16" s="31">
        <v>60465.78</v>
      </c>
      <c r="H16" s="41">
        <f>G16-E16</f>
        <v>9954.1500000000015</v>
      </c>
      <c r="I16" s="15"/>
      <c r="J16" s="15"/>
      <c r="K16" s="6"/>
    </row>
    <row r="17" spans="1:12" s="1" customFormat="1" ht="15" customHeight="1">
      <c r="A17" s="27" t="s">
        <v>33</v>
      </c>
      <c r="B17" s="28">
        <v>44620</v>
      </c>
      <c r="C17" s="29">
        <v>3600</v>
      </c>
      <c r="D17" s="30">
        <v>42</v>
      </c>
      <c r="E17" s="31">
        <v>151534.89000000001</v>
      </c>
      <c r="F17" s="30">
        <v>45.5</v>
      </c>
      <c r="G17" s="31">
        <v>163437.20000000001</v>
      </c>
      <c r="H17" s="41">
        <f>G17-E17</f>
        <v>11902.309999999998</v>
      </c>
      <c r="I17" s="15"/>
      <c r="J17" s="15"/>
      <c r="K17" s="6"/>
    </row>
    <row r="18" spans="1:12" s="1" customFormat="1" ht="15" customHeight="1">
      <c r="A18" s="27" t="s">
        <v>34</v>
      </c>
      <c r="B18" s="28">
        <v>44620</v>
      </c>
      <c r="C18" s="29">
        <v>10000</v>
      </c>
      <c r="D18" s="30">
        <v>14</v>
      </c>
      <c r="E18" s="31">
        <v>140310.09</v>
      </c>
      <c r="F18" s="30">
        <v>14.1</v>
      </c>
      <c r="G18" s="31">
        <v>140687.70000000001</v>
      </c>
      <c r="H18" s="41">
        <f>G18-E18</f>
        <v>377.61000000001513</v>
      </c>
      <c r="I18" s="15"/>
      <c r="J18" s="15"/>
      <c r="K18" s="6"/>
    </row>
    <row r="19" spans="1:12" s="1" customFormat="1" ht="15" customHeight="1">
      <c r="A19" s="27" t="s">
        <v>35</v>
      </c>
      <c r="B19" s="28">
        <v>44595</v>
      </c>
      <c r="C19" s="29">
        <v>5000</v>
      </c>
      <c r="D19" s="30">
        <v>16.7</v>
      </c>
      <c r="E19" s="31">
        <v>83684.95</v>
      </c>
      <c r="F19" s="30">
        <v>14.7</v>
      </c>
      <c r="G19" s="31">
        <v>73337.2</v>
      </c>
      <c r="H19" s="41">
        <f>G19-E19</f>
        <v>-10347.75</v>
      </c>
      <c r="I19" s="15"/>
      <c r="J19" s="15"/>
      <c r="K19" s="6"/>
    </row>
    <row r="20" spans="1:12" s="1" customFormat="1" ht="15" customHeight="1">
      <c r="A20" s="27" t="s">
        <v>36</v>
      </c>
      <c r="B20" s="28">
        <v>44617</v>
      </c>
      <c r="C20" s="29">
        <v>63000</v>
      </c>
      <c r="D20" s="30">
        <v>7</v>
      </c>
      <c r="E20" s="31">
        <v>441976.77</v>
      </c>
      <c r="F20" s="30">
        <v>6</v>
      </c>
      <c r="G20" s="31">
        <v>377162.77</v>
      </c>
      <c r="H20" s="41">
        <f>G20-E20</f>
        <v>-64814</v>
      </c>
      <c r="I20" s="15"/>
      <c r="J20" s="15"/>
      <c r="K20" s="6"/>
    </row>
    <row r="21" spans="1:12" s="1" customFormat="1" ht="15" customHeight="1">
      <c r="A21" s="27" t="s">
        <v>37</v>
      </c>
      <c r="B21" s="28">
        <v>44613</v>
      </c>
      <c r="C21" s="29">
        <v>3000</v>
      </c>
      <c r="D21" s="30">
        <v>45.75</v>
      </c>
      <c r="E21" s="31">
        <v>137554</v>
      </c>
      <c r="F21" s="30">
        <v>46</v>
      </c>
      <c r="G21" s="31">
        <v>137694.34</v>
      </c>
      <c r="H21" s="41">
        <f>G21-E21</f>
        <v>140.33999999999651</v>
      </c>
      <c r="I21" s="15"/>
      <c r="J21" s="15"/>
      <c r="K21" s="6"/>
    </row>
    <row r="22" spans="1:12" s="1" customFormat="1" ht="15" customHeight="1">
      <c r="A22" s="27" t="s">
        <v>38</v>
      </c>
      <c r="B22" s="28">
        <v>44601</v>
      </c>
      <c r="C22" s="29">
        <v>2000</v>
      </c>
      <c r="D22" s="30">
        <v>50.5</v>
      </c>
      <c r="E22" s="31">
        <v>101223.7</v>
      </c>
      <c r="F22" s="30">
        <v>54</v>
      </c>
      <c r="G22" s="31">
        <v>107760.79</v>
      </c>
      <c r="H22" s="41">
        <f>G22-E22</f>
        <v>6537.0899999999965</v>
      </c>
      <c r="I22" s="15"/>
      <c r="J22" s="15"/>
      <c r="K22" s="6"/>
    </row>
    <row r="23" spans="1:12" s="1" customFormat="1" ht="15" customHeight="1">
      <c r="A23" s="27" t="s">
        <v>38</v>
      </c>
      <c r="B23" s="28">
        <v>44606</v>
      </c>
      <c r="C23" s="29">
        <v>2000</v>
      </c>
      <c r="D23" s="30">
        <v>50.5</v>
      </c>
      <c r="E23" s="31">
        <v>101223.7</v>
      </c>
      <c r="F23" s="30">
        <v>53.75</v>
      </c>
      <c r="G23" s="31">
        <v>107261.89</v>
      </c>
      <c r="H23" s="41">
        <f>G23-E23</f>
        <v>6038.1900000000023</v>
      </c>
      <c r="I23" s="15"/>
      <c r="J23" s="15"/>
      <c r="K23" s="6"/>
    </row>
    <row r="24" spans="1:12" s="1" customFormat="1" ht="15" customHeight="1">
      <c r="A24" s="27" t="s">
        <v>39</v>
      </c>
      <c r="B24" s="28">
        <v>44617</v>
      </c>
      <c r="C24" s="29">
        <v>40000</v>
      </c>
      <c r="D24" s="30">
        <v>2.6</v>
      </c>
      <c r="E24" s="31">
        <v>104230.35</v>
      </c>
      <c r="F24" s="30">
        <v>2.5</v>
      </c>
      <c r="G24" s="31">
        <v>99778.51</v>
      </c>
      <c r="H24" s="41">
        <f>G24-E24</f>
        <v>-4451.8400000000111</v>
      </c>
      <c r="I24" s="15"/>
      <c r="J24" s="15"/>
      <c r="K24" s="6"/>
    </row>
    <row r="25" spans="1:12" s="1" customFormat="1" ht="15" customHeight="1">
      <c r="A25" s="27" t="s">
        <v>40</v>
      </c>
      <c r="B25" s="28">
        <v>44607</v>
      </c>
      <c r="C25" s="29">
        <v>64700</v>
      </c>
      <c r="D25" s="30">
        <v>1.5</v>
      </c>
      <c r="E25" s="31">
        <v>97264.95</v>
      </c>
      <c r="F25" s="30">
        <v>1.43</v>
      </c>
      <c r="G25" s="31">
        <v>92316.07</v>
      </c>
      <c r="H25" s="41">
        <f>G25-E25</f>
        <v>-4948.8799999999901</v>
      </c>
      <c r="I25" s="15"/>
      <c r="J25" s="15"/>
      <c r="K25" s="6"/>
    </row>
    <row r="26" spans="1:12" s="1" customFormat="1" ht="15" customHeight="1">
      <c r="A26" s="27" t="s">
        <v>40</v>
      </c>
      <c r="B26" s="28">
        <v>44609</v>
      </c>
      <c r="C26" s="29">
        <v>10300</v>
      </c>
      <c r="D26" s="30">
        <v>1.5</v>
      </c>
      <c r="E26" s="31">
        <v>15484.22</v>
      </c>
      <c r="F26" s="30">
        <v>1.43</v>
      </c>
      <c r="G26" s="31">
        <v>14696.38</v>
      </c>
      <c r="H26" s="41">
        <f>G26-E26</f>
        <v>-787.84000000000015</v>
      </c>
      <c r="I26" s="15"/>
      <c r="J26" s="15"/>
      <c r="K26" s="6"/>
    </row>
    <row r="27" spans="1:12" s="1" customFormat="1" ht="15" customHeight="1">
      <c r="A27" s="27" t="s">
        <v>41</v>
      </c>
      <c r="B27" s="28">
        <v>44615</v>
      </c>
      <c r="C27" s="29">
        <v>18000</v>
      </c>
      <c r="D27" s="30">
        <v>20.8</v>
      </c>
      <c r="E27" s="31">
        <v>375229.26</v>
      </c>
      <c r="F27" s="30">
        <v>20.5</v>
      </c>
      <c r="G27" s="31">
        <v>368182.7</v>
      </c>
      <c r="H27" s="41">
        <f>G27-E27</f>
        <v>-7046.5599999999977</v>
      </c>
      <c r="I27" s="15"/>
      <c r="J27" s="15"/>
      <c r="K27" s="6"/>
    </row>
    <row r="28" spans="1:12" ht="15" customHeight="1">
      <c r="A28" s="26"/>
      <c r="B28" s="28"/>
      <c r="C28" s="29"/>
      <c r="D28" s="33"/>
      <c r="E28" s="32">
        <f>SUM(E4:E27)</f>
        <v>3282504.3600000003</v>
      </c>
      <c r="F28" s="30"/>
      <c r="G28" s="32">
        <f t="shared" ref="G28" si="0">SUM(G4:G27)</f>
        <v>3200545.3699999992</v>
      </c>
      <c r="H28" s="44">
        <f>SUM(H4:H27)</f>
        <v>-81958.989999999976</v>
      </c>
      <c r="I28" s="15"/>
      <c r="J28" s="15"/>
      <c r="K28" s="15"/>
      <c r="L28" s="6"/>
    </row>
    <row r="29" spans="1:12" ht="15" customHeight="1">
      <c r="A29" s="26"/>
      <c r="B29" s="28"/>
      <c r="C29" s="29"/>
      <c r="D29" s="33"/>
      <c r="E29" s="32"/>
      <c r="F29" s="30"/>
      <c r="G29" s="32"/>
      <c r="H29" s="32">
        <v>117432.48000000004</v>
      </c>
      <c r="I29" s="15"/>
      <c r="J29" s="15"/>
      <c r="L29" s="6"/>
    </row>
    <row r="30" spans="1:12" ht="15" customHeight="1">
      <c r="A30" s="26"/>
      <c r="B30" s="28"/>
      <c r="C30" s="29"/>
      <c r="D30" s="33"/>
      <c r="E30" s="32"/>
      <c r="F30" s="30"/>
      <c r="G30" s="32"/>
      <c r="H30" s="34">
        <f>SUM(H2,H28,H29)</f>
        <v>37020.590000000069</v>
      </c>
      <c r="I30" s="15"/>
      <c r="J30" s="15"/>
      <c r="L30" s="6"/>
    </row>
    <row r="31" spans="1:12" ht="15" customHeight="1">
      <c r="A31" s="26"/>
      <c r="B31" s="28"/>
      <c r="C31" s="29"/>
      <c r="D31" s="33"/>
      <c r="E31" s="32"/>
      <c r="F31" s="30"/>
      <c r="G31" s="32" t="s">
        <v>16</v>
      </c>
      <c r="H31" s="35">
        <v>62710</v>
      </c>
      <c r="I31" s="15"/>
      <c r="J31" s="15"/>
      <c r="L31" s="6"/>
    </row>
    <row r="32" spans="1:12" ht="15" customHeight="1">
      <c r="A32" s="26"/>
      <c r="B32" s="28"/>
      <c r="C32" s="29"/>
      <c r="D32" s="33"/>
      <c r="E32" s="32"/>
      <c r="F32" s="30"/>
      <c r="G32" s="32" t="s">
        <v>24</v>
      </c>
      <c r="H32" s="37">
        <v>27160</v>
      </c>
      <c r="I32" s="15"/>
      <c r="J32" s="15"/>
      <c r="L32" s="6"/>
    </row>
    <row r="33" spans="1:12" ht="15" customHeight="1">
      <c r="A33" s="26"/>
      <c r="B33" s="28"/>
      <c r="C33" s="29"/>
      <c r="D33" s="33"/>
      <c r="E33" s="32"/>
      <c r="F33" s="30"/>
      <c r="G33" s="32" t="s">
        <v>18</v>
      </c>
      <c r="H33" s="32">
        <f>H31+H32</f>
        <v>89870</v>
      </c>
      <c r="I33" s="15"/>
      <c r="J33" s="15"/>
      <c r="L33" s="6"/>
    </row>
    <row r="34" spans="1:12" ht="15" customHeight="1">
      <c r="A34" s="26"/>
      <c r="B34" s="28"/>
      <c r="C34" s="29"/>
      <c r="D34" s="33"/>
      <c r="E34" s="32"/>
      <c r="F34" s="30"/>
      <c r="G34" s="32" t="s">
        <v>19</v>
      </c>
      <c r="H34" s="36">
        <f>H30-H33</f>
        <v>-52849.409999999931</v>
      </c>
      <c r="I34" s="15"/>
      <c r="J34" s="15"/>
      <c r="L34" s="6"/>
    </row>
    <row r="35" spans="1:12">
      <c r="B35" s="18"/>
      <c r="H35" s="6"/>
      <c r="I35" s="15"/>
      <c r="J35" s="15"/>
      <c r="L35" s="6"/>
    </row>
  </sheetData>
  <sheetProtection selectLockedCells="1" selectUnlockedCells="1"/>
  <sortState xmlns:xlrd2="http://schemas.microsoft.com/office/spreadsheetml/2017/richdata2" ref="A4:O27">
    <sortCondition ref="A4:A2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7"/>
  <sheetViews>
    <sheetView workbookViewId="0">
      <pane ySplit="1" topLeftCell="A14" activePane="bottomLeft" state="frozen"/>
      <selection pane="bottomLeft" activeCell="H25" sqref="H25"/>
    </sheetView>
  </sheetViews>
  <sheetFormatPr defaultColWidth="8.5703125" defaultRowHeight="13.9"/>
  <cols>
    <col min="1" max="1" width="11.7109375" style="5" bestFit="1" customWidth="1"/>
    <col min="2" max="2" width="11.85546875" style="12" bestFit="1" customWidth="1"/>
    <col min="3" max="3" width="8.42578125" style="8" customWidth="1"/>
    <col min="4" max="4" width="7.28515625" style="9" customWidth="1"/>
    <col min="5" max="5" width="14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0.5703125" style="6" bestFit="1" customWidth="1"/>
    <col min="14" max="14" width="5.42578125" style="6" bestFit="1" customWidth="1"/>
    <col min="15" max="16384" width="8.5703125" style="6"/>
  </cols>
  <sheetData>
    <row r="1" spans="1:11" ht="15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K1" s="7"/>
    </row>
    <row r="2" spans="1:11" ht="15.6">
      <c r="A2" s="27" t="s">
        <v>42</v>
      </c>
      <c r="B2" s="28">
        <v>44624</v>
      </c>
      <c r="C2" s="29">
        <v>10000</v>
      </c>
      <c r="D2" s="30" t="s">
        <v>21</v>
      </c>
      <c r="E2" s="31" t="s">
        <v>21</v>
      </c>
      <c r="F2" s="38">
        <v>0.22220000000000001</v>
      </c>
      <c r="G2" s="31">
        <f t="shared" ref="G2:G7" si="0">C2*F2</f>
        <v>2222</v>
      </c>
      <c r="H2" s="32">
        <f>G2*0.9</f>
        <v>1999.8</v>
      </c>
    </row>
    <row r="3" spans="1:11" ht="15.6">
      <c r="A3" s="27" t="s">
        <v>43</v>
      </c>
      <c r="B3" s="28">
        <v>44624</v>
      </c>
      <c r="C3" s="29">
        <v>60000</v>
      </c>
      <c r="D3" s="30" t="s">
        <v>21</v>
      </c>
      <c r="E3" s="31" t="s">
        <v>21</v>
      </c>
      <c r="F3" s="38">
        <v>0.26100000000000001</v>
      </c>
      <c r="G3" s="31">
        <f t="shared" si="0"/>
        <v>15660</v>
      </c>
      <c r="H3" s="32">
        <f>G3</f>
        <v>15660</v>
      </c>
    </row>
    <row r="4" spans="1:11" ht="15.6">
      <c r="A4" s="27" t="s">
        <v>44</v>
      </c>
      <c r="B4" s="28">
        <v>44641</v>
      </c>
      <c r="C4" s="29">
        <v>110000</v>
      </c>
      <c r="D4" s="30" t="s">
        <v>21</v>
      </c>
      <c r="E4" s="31" t="s">
        <v>21</v>
      </c>
      <c r="F4" s="38">
        <v>0.25</v>
      </c>
      <c r="G4" s="31">
        <f t="shared" si="0"/>
        <v>27500</v>
      </c>
      <c r="H4" s="32">
        <f>G4</f>
        <v>27500</v>
      </c>
    </row>
    <row r="5" spans="1:11" ht="15.6">
      <c r="A5" s="27" t="s">
        <v>45</v>
      </c>
      <c r="B5" s="28">
        <v>44645</v>
      </c>
      <c r="C5" s="29">
        <v>20000</v>
      </c>
      <c r="D5" s="30" t="s">
        <v>21</v>
      </c>
      <c r="E5" s="31" t="s">
        <v>21</v>
      </c>
      <c r="F5" s="38">
        <v>0.1195</v>
      </c>
      <c r="G5" s="31">
        <f t="shared" si="0"/>
        <v>2390</v>
      </c>
      <c r="H5" s="32">
        <f>G5*0.9</f>
        <v>2151</v>
      </c>
    </row>
    <row r="6" spans="1:11" ht="15.6">
      <c r="A6" s="27" t="s">
        <v>46</v>
      </c>
      <c r="B6" s="28">
        <v>44648</v>
      </c>
      <c r="C6" s="29">
        <v>10000</v>
      </c>
      <c r="D6" s="30" t="s">
        <v>21</v>
      </c>
      <c r="E6" s="31" t="s">
        <v>21</v>
      </c>
      <c r="F6" s="38">
        <v>0.221</v>
      </c>
      <c r="G6" s="31">
        <f t="shared" si="0"/>
        <v>2210</v>
      </c>
      <c r="H6" s="32">
        <f>G6*0.9</f>
        <v>1989</v>
      </c>
    </row>
    <row r="7" spans="1:11" ht="15.6">
      <c r="A7" s="27" t="s">
        <v>47</v>
      </c>
      <c r="B7" s="28">
        <v>44650</v>
      </c>
      <c r="C7" s="29">
        <v>40100</v>
      </c>
      <c r="D7" s="30" t="s">
        <v>21</v>
      </c>
      <c r="E7" s="31" t="s">
        <v>21</v>
      </c>
      <c r="F7" s="38">
        <v>0.17380000000000001</v>
      </c>
      <c r="G7" s="31">
        <f t="shared" si="0"/>
        <v>6969.38</v>
      </c>
      <c r="H7" s="32">
        <f>G7*0.9</f>
        <v>6272.442</v>
      </c>
    </row>
    <row r="8" spans="1:11" ht="15.6">
      <c r="A8" s="27"/>
      <c r="B8" s="28"/>
      <c r="C8" s="29"/>
      <c r="D8" s="30"/>
      <c r="E8" s="31"/>
      <c r="F8" s="30"/>
      <c r="G8" s="31"/>
      <c r="H8" s="34">
        <f>SUM(H2:H7)</f>
        <v>55572.242000000006</v>
      </c>
    </row>
    <row r="9" spans="1:11" ht="15.6">
      <c r="A9" s="27" t="s">
        <v>48</v>
      </c>
      <c r="B9" s="28">
        <v>44621</v>
      </c>
      <c r="C9" s="29">
        <v>40000</v>
      </c>
      <c r="D9" s="30">
        <v>3.8</v>
      </c>
      <c r="E9" s="31">
        <v>152336.66</v>
      </c>
      <c r="F9" s="30">
        <v>3.5</v>
      </c>
      <c r="G9" s="31">
        <v>139689.91</v>
      </c>
      <c r="H9" s="32">
        <f t="shared" ref="H9:H17" si="1">G9-E9</f>
        <v>-12646.75</v>
      </c>
    </row>
    <row r="10" spans="1:11" ht="15.6">
      <c r="A10" s="27" t="s">
        <v>49</v>
      </c>
      <c r="B10" s="28">
        <v>44622</v>
      </c>
      <c r="C10" s="29">
        <v>1800</v>
      </c>
      <c r="D10" s="30">
        <v>17</v>
      </c>
      <c r="E10" s="31">
        <v>30667.77</v>
      </c>
      <c r="F10" s="30">
        <v>17.100000000000001</v>
      </c>
      <c r="G10" s="31">
        <v>30711.83</v>
      </c>
      <c r="H10" s="32">
        <f t="shared" si="1"/>
        <v>44.06000000000131</v>
      </c>
    </row>
    <row r="11" spans="1:11" ht="15.6">
      <c r="A11" s="27" t="s">
        <v>49</v>
      </c>
      <c r="B11" s="28">
        <v>44623</v>
      </c>
      <c r="C11" s="29">
        <v>7200</v>
      </c>
      <c r="D11" s="30">
        <v>17</v>
      </c>
      <c r="E11" s="31">
        <v>122671.11</v>
      </c>
      <c r="F11" s="30">
        <v>17.100000000000001</v>
      </c>
      <c r="G11" s="31">
        <v>122847.3</v>
      </c>
      <c r="H11" s="32">
        <f t="shared" si="1"/>
        <v>176.19000000000233</v>
      </c>
    </row>
    <row r="12" spans="1:11" ht="15.6">
      <c r="A12" s="27" t="s">
        <v>50</v>
      </c>
      <c r="B12" s="28">
        <v>44629</v>
      </c>
      <c r="C12" s="29">
        <v>6000</v>
      </c>
      <c r="D12" s="30">
        <v>43</v>
      </c>
      <c r="E12" s="31">
        <v>258571.44</v>
      </c>
      <c r="F12" s="30">
        <v>43.25</v>
      </c>
      <c r="G12" s="31">
        <v>258925.23</v>
      </c>
      <c r="H12" s="32">
        <f t="shared" si="1"/>
        <v>353.79000000000815</v>
      </c>
    </row>
    <row r="13" spans="1:11" ht="15.6">
      <c r="A13" s="27" t="s">
        <v>10</v>
      </c>
      <c r="B13" s="28">
        <v>44630</v>
      </c>
      <c r="C13" s="29">
        <v>1500</v>
      </c>
      <c r="D13" s="30">
        <v>42.25</v>
      </c>
      <c r="E13" s="31">
        <v>63515.37</v>
      </c>
      <c r="F13" s="30">
        <v>48.5</v>
      </c>
      <c r="G13" s="31">
        <v>72588.87</v>
      </c>
      <c r="H13" s="32">
        <f t="shared" si="1"/>
        <v>9073.4999999999927</v>
      </c>
    </row>
    <row r="14" spans="1:11" ht="15.6">
      <c r="A14" s="27" t="s">
        <v>51</v>
      </c>
      <c r="B14" s="28">
        <v>44630</v>
      </c>
      <c r="C14" s="29">
        <v>4800</v>
      </c>
      <c r="D14" s="30">
        <v>20.25</v>
      </c>
      <c r="E14" s="31">
        <v>97415.28</v>
      </c>
      <c r="F14" s="30">
        <v>22.5</v>
      </c>
      <c r="G14" s="31">
        <v>107760.79</v>
      </c>
      <c r="H14" s="32">
        <f t="shared" si="1"/>
        <v>10345.509999999995</v>
      </c>
    </row>
    <row r="15" spans="1:11" ht="15.6">
      <c r="A15" s="27" t="s">
        <v>10</v>
      </c>
      <c r="B15" s="28">
        <v>44643</v>
      </c>
      <c r="C15" s="29">
        <v>1500</v>
      </c>
      <c r="D15" s="30">
        <v>42.25</v>
      </c>
      <c r="E15" s="31">
        <v>63515.37</v>
      </c>
      <c r="F15" s="30">
        <v>50.75</v>
      </c>
      <c r="G15" s="31">
        <v>75956.39</v>
      </c>
      <c r="H15" s="32">
        <f t="shared" si="1"/>
        <v>12441.019999999997</v>
      </c>
    </row>
    <row r="16" spans="1:11" ht="15.6">
      <c r="A16" s="27" t="s">
        <v>10</v>
      </c>
      <c r="B16" s="28">
        <v>44648</v>
      </c>
      <c r="C16" s="29">
        <v>1500</v>
      </c>
      <c r="D16" s="30">
        <v>42.25</v>
      </c>
      <c r="E16" s="31">
        <v>63515.37</v>
      </c>
      <c r="F16" s="30">
        <v>52.75</v>
      </c>
      <c r="G16" s="31">
        <v>78949.740000000005</v>
      </c>
      <c r="H16" s="32">
        <f t="shared" si="1"/>
        <v>15434.370000000003</v>
      </c>
    </row>
    <row r="17" spans="1:8" ht="15.6">
      <c r="A17" s="27" t="s">
        <v>52</v>
      </c>
      <c r="B17" s="28">
        <v>44651</v>
      </c>
      <c r="C17" s="29">
        <v>4500</v>
      </c>
      <c r="D17" s="30">
        <v>40.5</v>
      </c>
      <c r="E17" s="31">
        <v>182653.67</v>
      </c>
      <c r="F17" s="30">
        <v>40.75</v>
      </c>
      <c r="G17" s="31">
        <v>182968.84</v>
      </c>
      <c r="H17" s="32">
        <f t="shared" si="1"/>
        <v>315.1699999999837</v>
      </c>
    </row>
    <row r="18" spans="1:8" ht="15.75">
      <c r="A18" s="26"/>
      <c r="B18" s="28"/>
      <c r="C18" s="29"/>
      <c r="D18" s="33"/>
      <c r="E18" s="32">
        <f>SUM(E9:E17)</f>
        <v>1034862.04</v>
      </c>
      <c r="F18" s="30"/>
      <c r="G18" s="32">
        <f>SUM(G9:G17)</f>
        <v>1070398.9000000001</v>
      </c>
      <c r="H18" s="44">
        <f>SUM(H9:H17)</f>
        <v>35536.859999999986</v>
      </c>
    </row>
    <row r="19" spans="1:8" ht="15.6">
      <c r="A19" s="26"/>
      <c r="B19" s="28"/>
      <c r="C19" s="29"/>
      <c r="D19" s="33"/>
      <c r="E19" s="32"/>
      <c r="F19" s="30"/>
      <c r="G19" s="32" t="s">
        <v>53</v>
      </c>
      <c r="H19" s="34">
        <f>H8+H18</f>
        <v>91109.101999999984</v>
      </c>
    </row>
    <row r="20" spans="1:8" ht="15.6">
      <c r="A20" s="26"/>
      <c r="B20" s="28"/>
      <c r="C20" s="29"/>
      <c r="D20" s="33"/>
      <c r="E20" s="32"/>
      <c r="F20" s="30"/>
      <c r="G20" s="32" t="s">
        <v>54</v>
      </c>
      <c r="H20" s="32">
        <v>37020.590000000069</v>
      </c>
    </row>
    <row r="21" spans="1:8" ht="15.6">
      <c r="A21" s="26"/>
      <c r="B21" s="28"/>
      <c r="C21" s="29"/>
      <c r="D21" s="33"/>
      <c r="E21" s="32"/>
      <c r="F21" s="30"/>
      <c r="G21" s="32" t="s">
        <v>55</v>
      </c>
      <c r="H21" s="34">
        <f>H19+H20</f>
        <v>128129.69200000005</v>
      </c>
    </row>
    <row r="22" spans="1:8" ht="15.6">
      <c r="A22" s="26"/>
      <c r="B22" s="28"/>
      <c r="C22" s="29"/>
      <c r="D22" s="33"/>
      <c r="E22" s="32"/>
      <c r="F22" s="30"/>
      <c r="G22" s="32" t="s">
        <v>16</v>
      </c>
      <c r="H22" s="35">
        <v>89870</v>
      </c>
    </row>
    <row r="23" spans="1:8" ht="15.6">
      <c r="A23" s="26"/>
      <c r="B23" s="28"/>
      <c r="C23" s="29"/>
      <c r="D23" s="33"/>
      <c r="E23" s="32"/>
      <c r="F23" s="30"/>
      <c r="G23" s="32" t="s">
        <v>56</v>
      </c>
      <c r="H23" s="35">
        <v>97220</v>
      </c>
    </row>
    <row r="24" spans="1:8" ht="15.6">
      <c r="A24" s="26"/>
      <c r="B24" s="28"/>
      <c r="C24" s="29"/>
      <c r="D24" s="33"/>
      <c r="E24" s="32"/>
      <c r="F24" s="30"/>
      <c r="G24" s="32" t="s">
        <v>18</v>
      </c>
      <c r="H24" s="34">
        <f>H22+H23</f>
        <v>187090</v>
      </c>
    </row>
    <row r="25" spans="1:8" ht="15.75">
      <c r="A25" s="26"/>
      <c r="B25" s="28"/>
      <c r="C25" s="29"/>
      <c r="D25" s="33"/>
      <c r="E25" s="32"/>
      <c r="F25" s="30"/>
      <c r="G25" s="32" t="s">
        <v>19</v>
      </c>
      <c r="H25" s="46">
        <f>H21-H24</f>
        <v>-58960.307999999946</v>
      </c>
    </row>
    <row r="26" spans="1:8" ht="15.6">
      <c r="G26" s="39" t="s">
        <v>57</v>
      </c>
      <c r="H26" s="39">
        <v>112000</v>
      </c>
    </row>
    <row r="27" spans="1:8" ht="15.6">
      <c r="G27" s="39" t="s">
        <v>58</v>
      </c>
      <c r="H27" s="40">
        <f>H25+H26</f>
        <v>53039.692000000054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31"/>
  <sheetViews>
    <sheetView workbookViewId="0">
      <pane ySplit="1" topLeftCell="A16" activePane="bottomLeft" state="frozen"/>
      <selection pane="bottomLeft" activeCell="H23" sqref="H2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2.7109375" style="7" bestFit="1" customWidth="1"/>
    <col min="6" max="6" width="8.7109375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23</v>
      </c>
      <c r="B2" s="28">
        <v>44659</v>
      </c>
      <c r="C2" s="29">
        <v>900</v>
      </c>
      <c r="D2" s="30" t="s">
        <v>21</v>
      </c>
      <c r="E2" s="31" t="s">
        <v>21</v>
      </c>
      <c r="F2" s="38">
        <v>9</v>
      </c>
      <c r="G2" s="31">
        <f t="shared" ref="G2:G7" si="0">C2*F2</f>
        <v>8100</v>
      </c>
      <c r="H2" s="41">
        <f>G2*0.9</f>
        <v>7290</v>
      </c>
      <c r="I2" s="11"/>
      <c r="J2" s="2"/>
      <c r="K2" s="7"/>
      <c r="L2" s="6"/>
      <c r="M2" s="6"/>
      <c r="N2" s="6"/>
    </row>
    <row r="3" spans="1:14" s="1" customFormat="1" ht="21">
      <c r="A3" s="27" t="s">
        <v>50</v>
      </c>
      <c r="B3" s="28">
        <v>44673</v>
      </c>
      <c r="C3" s="29">
        <v>6000</v>
      </c>
      <c r="D3" s="30" t="s">
        <v>21</v>
      </c>
      <c r="E3" s="31" t="s">
        <v>21</v>
      </c>
      <c r="F3" s="38">
        <v>0.86</v>
      </c>
      <c r="G3" s="31">
        <f t="shared" si="0"/>
        <v>5160</v>
      </c>
      <c r="H3" s="41">
        <v>4980</v>
      </c>
      <c r="I3" s="11"/>
      <c r="J3" s="17"/>
      <c r="K3" s="7"/>
      <c r="L3" s="6"/>
      <c r="M3" s="6"/>
      <c r="N3" s="6"/>
    </row>
    <row r="4" spans="1:14" s="1" customFormat="1" ht="21">
      <c r="A4" s="27" t="s">
        <v>11</v>
      </c>
      <c r="B4" s="28">
        <v>44673</v>
      </c>
      <c r="C4" s="29">
        <v>9000</v>
      </c>
      <c r="D4" s="30" t="s">
        <v>21</v>
      </c>
      <c r="E4" s="31" t="s">
        <v>21</v>
      </c>
      <c r="F4" s="38">
        <v>1.75</v>
      </c>
      <c r="G4" s="31">
        <f t="shared" si="0"/>
        <v>15750</v>
      </c>
      <c r="H4" s="41">
        <f>G4*0.9</f>
        <v>14175</v>
      </c>
      <c r="I4" s="11"/>
      <c r="J4" s="17"/>
      <c r="K4" s="7"/>
      <c r="L4" s="6"/>
      <c r="M4" s="6"/>
      <c r="N4" s="6"/>
    </row>
    <row r="5" spans="1:14" s="1" customFormat="1" ht="21">
      <c r="A5" s="27" t="s">
        <v>59</v>
      </c>
      <c r="B5" s="28">
        <v>44677</v>
      </c>
      <c r="C5" s="29">
        <v>900</v>
      </c>
      <c r="D5" s="30" t="s">
        <v>21</v>
      </c>
      <c r="E5" s="31" t="s">
        <v>21</v>
      </c>
      <c r="F5" s="38">
        <v>10</v>
      </c>
      <c r="G5" s="31">
        <f t="shared" si="0"/>
        <v>9000</v>
      </c>
      <c r="H5" s="32">
        <f>G5*0.9</f>
        <v>8100</v>
      </c>
      <c r="I5" s="11"/>
      <c r="J5" s="17"/>
      <c r="K5" s="7"/>
      <c r="L5" s="6"/>
      <c r="M5" s="6"/>
      <c r="N5" s="6"/>
    </row>
    <row r="6" spans="1:14" s="1" customFormat="1" ht="21">
      <c r="A6" s="27" t="s">
        <v>49</v>
      </c>
      <c r="B6" s="28">
        <v>44678</v>
      </c>
      <c r="C6" s="29">
        <v>9000</v>
      </c>
      <c r="D6" s="30" t="s">
        <v>21</v>
      </c>
      <c r="E6" s="31" t="s">
        <v>21</v>
      </c>
      <c r="F6" s="38">
        <v>0.45</v>
      </c>
      <c r="G6" s="31">
        <f t="shared" si="0"/>
        <v>4050</v>
      </c>
      <c r="H6" s="32">
        <f>G6*0.9</f>
        <v>3645</v>
      </c>
      <c r="I6" s="11"/>
      <c r="J6" s="19"/>
      <c r="K6" s="7"/>
      <c r="L6" s="6"/>
      <c r="M6" s="6"/>
      <c r="N6" s="6"/>
    </row>
    <row r="7" spans="1:14" s="1" customFormat="1" ht="21">
      <c r="A7" s="27" t="s">
        <v>60</v>
      </c>
      <c r="B7" s="28">
        <v>44680</v>
      </c>
      <c r="C7" s="29">
        <v>9000</v>
      </c>
      <c r="D7" s="30" t="s">
        <v>21</v>
      </c>
      <c r="E7" s="31" t="s">
        <v>21</v>
      </c>
      <c r="F7" s="38">
        <v>0.8</v>
      </c>
      <c r="G7" s="31">
        <f t="shared" si="0"/>
        <v>7200</v>
      </c>
      <c r="H7" s="32">
        <f>G7*0.9</f>
        <v>6480</v>
      </c>
      <c r="I7" s="11"/>
      <c r="J7" s="17"/>
      <c r="K7" s="7"/>
      <c r="L7" s="6"/>
      <c r="M7" s="6"/>
      <c r="N7" s="6"/>
    </row>
    <row r="8" spans="1:14" s="1" customFormat="1" ht="21">
      <c r="A8" s="27"/>
      <c r="B8" s="28"/>
      <c r="C8" s="29"/>
      <c r="D8" s="30"/>
      <c r="E8" s="31"/>
      <c r="F8" s="30"/>
      <c r="G8" s="31"/>
      <c r="H8" s="34">
        <f>SUM(H2:H7)</f>
        <v>44670</v>
      </c>
      <c r="I8" s="11"/>
      <c r="J8" s="19"/>
      <c r="K8" s="7"/>
      <c r="L8" s="6"/>
      <c r="M8" s="6"/>
      <c r="N8" s="6"/>
    </row>
    <row r="9" spans="1:14" s="1" customFormat="1" ht="21.75">
      <c r="A9" s="27" t="s">
        <v>61</v>
      </c>
      <c r="B9" s="28">
        <v>44669</v>
      </c>
      <c r="C9" s="29">
        <v>10000</v>
      </c>
      <c r="D9" s="30">
        <v>13</v>
      </c>
      <c r="E9" s="31">
        <v>130287.94</v>
      </c>
      <c r="F9" s="30">
        <v>12.7</v>
      </c>
      <c r="G9" s="31">
        <v>126718.71</v>
      </c>
      <c r="H9" s="41">
        <f>G9-E9</f>
        <v>-3569.2299999999959</v>
      </c>
      <c r="I9" s="11"/>
      <c r="J9" s="7"/>
      <c r="K9" s="7"/>
      <c r="L9" s="15"/>
      <c r="M9" s="15"/>
      <c r="N9" s="6"/>
    </row>
    <row r="10" spans="1:14" s="1" customFormat="1" ht="21.75">
      <c r="A10" s="27" t="s">
        <v>62</v>
      </c>
      <c r="B10" s="28">
        <v>44669</v>
      </c>
      <c r="C10" s="29">
        <v>20000</v>
      </c>
      <c r="D10" s="30">
        <v>12.4</v>
      </c>
      <c r="E10" s="31">
        <v>248549.3</v>
      </c>
      <c r="F10" s="30">
        <v>12.1</v>
      </c>
      <c r="G10" s="31">
        <v>241463.99</v>
      </c>
      <c r="H10" s="41">
        <f>G10-E10</f>
        <v>-7085.3099999999977</v>
      </c>
      <c r="I10" s="11"/>
      <c r="J10" s="7"/>
      <c r="K10" s="7"/>
      <c r="L10" s="15"/>
      <c r="M10" s="15"/>
      <c r="N10" s="6"/>
    </row>
    <row r="11" spans="1:14" s="1" customFormat="1" ht="21.75">
      <c r="A11" s="27" t="s">
        <v>51</v>
      </c>
      <c r="B11" s="28">
        <v>44671</v>
      </c>
      <c r="C11" s="29">
        <v>2400</v>
      </c>
      <c r="D11" s="30">
        <v>21.3</v>
      </c>
      <c r="E11" s="31">
        <v>51233.23</v>
      </c>
      <c r="F11" s="30">
        <v>22.4</v>
      </c>
      <c r="G11" s="31">
        <v>53640.93</v>
      </c>
      <c r="H11" s="41">
        <f>G11-E11</f>
        <v>2407.6999999999971</v>
      </c>
      <c r="I11" s="11"/>
      <c r="J11" s="7"/>
      <c r="K11" s="7"/>
      <c r="L11" s="15"/>
      <c r="M11" s="15"/>
      <c r="N11" s="6"/>
    </row>
    <row r="12" spans="1:14" s="1" customFormat="1" ht="21.75">
      <c r="A12" s="27" t="s">
        <v>63</v>
      </c>
      <c r="B12" s="28">
        <v>44680</v>
      </c>
      <c r="C12" s="29">
        <v>10000</v>
      </c>
      <c r="D12" s="30">
        <v>11.2</v>
      </c>
      <c r="E12" s="31">
        <v>112248.07</v>
      </c>
      <c r="F12" s="30">
        <v>11</v>
      </c>
      <c r="G12" s="31">
        <v>109756.36</v>
      </c>
      <c r="H12" s="41">
        <f>G12-E12</f>
        <v>-2491.7100000000064</v>
      </c>
      <c r="I12" s="11"/>
      <c r="J12" s="7"/>
      <c r="K12" s="7"/>
      <c r="L12" s="15"/>
      <c r="M12" s="15"/>
      <c r="N12" s="6"/>
    </row>
    <row r="13" spans="1:14" s="1" customFormat="1" ht="21.75">
      <c r="A13" s="27" t="s">
        <v>35</v>
      </c>
      <c r="B13" s="28">
        <v>44679</v>
      </c>
      <c r="C13" s="29">
        <v>15000</v>
      </c>
      <c r="D13" s="30">
        <v>12.1</v>
      </c>
      <c r="E13" s="31">
        <v>181902.01</v>
      </c>
      <c r="F13" s="30">
        <v>12.5</v>
      </c>
      <c r="G13" s="31">
        <v>187084.7</v>
      </c>
      <c r="H13" s="41">
        <f>G13-E13</f>
        <v>5182.6900000000023</v>
      </c>
      <c r="I13" s="11"/>
      <c r="J13" s="7"/>
      <c r="K13" s="7"/>
      <c r="L13" s="15"/>
      <c r="M13" s="15"/>
      <c r="N13" s="6"/>
    </row>
    <row r="14" spans="1:14" s="1" customFormat="1" ht="21.75">
      <c r="A14" s="27" t="s">
        <v>64</v>
      </c>
      <c r="B14" s="28">
        <v>44652</v>
      </c>
      <c r="C14" s="29">
        <v>3000</v>
      </c>
      <c r="D14" s="30">
        <v>38.5</v>
      </c>
      <c r="E14" s="31">
        <v>115755.83</v>
      </c>
      <c r="F14" s="30">
        <v>38.75</v>
      </c>
      <c r="G14" s="31">
        <v>115992.52</v>
      </c>
      <c r="H14" s="41">
        <f>G14-E14</f>
        <v>236.69000000000233</v>
      </c>
      <c r="I14" s="11"/>
      <c r="J14" s="7"/>
      <c r="K14" s="7"/>
      <c r="L14" s="15"/>
      <c r="M14" s="15"/>
      <c r="N14" s="6"/>
    </row>
    <row r="15" spans="1:14" s="1" customFormat="1" ht="21.75">
      <c r="A15" s="27" t="s">
        <v>65</v>
      </c>
      <c r="B15" s="28">
        <v>44673</v>
      </c>
      <c r="C15" s="29">
        <v>2000</v>
      </c>
      <c r="D15" s="30">
        <v>98</v>
      </c>
      <c r="E15" s="31">
        <v>196434.12</v>
      </c>
      <c r="F15" s="30">
        <v>101.5</v>
      </c>
      <c r="G15" s="31">
        <v>202550.38</v>
      </c>
      <c r="H15" s="41">
        <f>G15-E15</f>
        <v>6116.2600000000093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>
        <f>SUM(E9:E15)</f>
        <v>1036410.5</v>
      </c>
      <c r="F16" s="30"/>
      <c r="G16" s="32">
        <f>SUM(G9:G15)</f>
        <v>1037207.59</v>
      </c>
      <c r="H16" s="34">
        <f>SUM(H9:H15)</f>
        <v>797.09000000001106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53</v>
      </c>
      <c r="H17" s="34">
        <f>H8+H16</f>
        <v>45467.090000000011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54</v>
      </c>
      <c r="H18" s="32">
        <v>128129.69200000005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55</v>
      </c>
      <c r="H19" s="34">
        <f>H17+H18</f>
        <v>173596.78200000006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16</v>
      </c>
      <c r="H20" s="35">
        <v>187090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66</v>
      </c>
      <c r="H21" s="35">
        <v>71150</v>
      </c>
      <c r="I21" s="11"/>
      <c r="J21" s="7"/>
      <c r="K21" s="7"/>
      <c r="L21" s="15"/>
      <c r="M21" s="15"/>
      <c r="N21" s="6"/>
    </row>
    <row r="22" spans="1:14" s="1" customFormat="1" ht="21">
      <c r="A22" s="26"/>
      <c r="B22" s="28"/>
      <c r="C22" s="29"/>
      <c r="D22" s="33"/>
      <c r="E22" s="32"/>
      <c r="F22" s="30"/>
      <c r="G22" s="32" t="s">
        <v>18</v>
      </c>
      <c r="H22" s="34">
        <f>H20+H21</f>
        <v>258240</v>
      </c>
      <c r="I22" s="11"/>
      <c r="J22" s="7"/>
      <c r="K22" s="7"/>
      <c r="L22" s="15"/>
      <c r="M22" s="15"/>
      <c r="N22" s="6"/>
    </row>
    <row r="23" spans="1:14" s="1" customFormat="1" ht="21.75">
      <c r="A23" s="5"/>
      <c r="B23" s="12"/>
      <c r="C23" s="8"/>
      <c r="D23" s="9"/>
      <c r="E23" s="7"/>
      <c r="F23" s="10"/>
      <c r="G23" s="32" t="s">
        <v>19</v>
      </c>
      <c r="H23" s="46">
        <f>H19-H22</f>
        <v>-84643.217999999935</v>
      </c>
      <c r="I23" s="11"/>
      <c r="J23" s="7"/>
      <c r="K23" s="7"/>
      <c r="L23" s="15"/>
      <c r="M23" s="15"/>
      <c r="N23" s="6"/>
    </row>
    <row r="24" spans="1:14" s="1" customFormat="1" ht="21">
      <c r="A24" s="5"/>
      <c r="B24" s="12"/>
      <c r="C24" s="8"/>
      <c r="D24" s="9"/>
      <c r="E24" s="7"/>
      <c r="F24" s="10"/>
      <c r="G24" s="39" t="s">
        <v>57</v>
      </c>
      <c r="H24" s="39">
        <v>112000</v>
      </c>
      <c r="I24" s="11"/>
      <c r="J24" s="7"/>
      <c r="K24" s="7"/>
      <c r="L24" s="15"/>
      <c r="M24" s="15"/>
      <c r="N24" s="6"/>
    </row>
    <row r="25" spans="1:14" s="1" customFormat="1" ht="21">
      <c r="A25" s="6"/>
      <c r="B25" s="12"/>
      <c r="C25" s="8"/>
      <c r="D25" s="10"/>
      <c r="E25" s="14"/>
      <c r="F25" s="10"/>
      <c r="G25" s="39" t="s">
        <v>58</v>
      </c>
      <c r="H25" s="40">
        <f>H23+H24</f>
        <v>27356.782000000065</v>
      </c>
      <c r="I25" s="11"/>
      <c r="J25" s="7"/>
      <c r="K25" s="7"/>
      <c r="L25" s="15"/>
      <c r="M25" s="15"/>
      <c r="N25" s="7"/>
    </row>
    <row r="26" spans="1:14">
      <c r="I26" s="7"/>
      <c r="K26" s="7"/>
      <c r="N26" s="13"/>
    </row>
    <row r="27" spans="1:14" ht="15.6" customHeight="1">
      <c r="K27" s="7"/>
    </row>
    <row r="28" spans="1:14">
      <c r="K28" s="7"/>
      <c r="M28" s="7"/>
    </row>
    <row r="29" spans="1:14">
      <c r="M29" s="7"/>
    </row>
    <row r="30" spans="1:14">
      <c r="M30" s="7"/>
    </row>
    <row r="31" spans="1:14">
      <c r="K31" s="7"/>
    </row>
  </sheetData>
  <sheetProtection selectLockedCells="1" selectUnlockedCells="1"/>
  <sortState xmlns:xlrd2="http://schemas.microsoft.com/office/spreadsheetml/2017/richdata2" ref="A9:N15">
    <sortCondition ref="A9:A15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5CF25-EA22-4260-9CCB-8B4317B92A1A}">
  <dimension ref="A1:N51"/>
  <sheetViews>
    <sheetView workbookViewId="0">
      <pane ySplit="1" topLeftCell="E36" activePane="bottomLeft" state="frozen"/>
      <selection pane="bottomLeft" activeCell="H43" sqref="H4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4.42578125" style="7" bestFit="1" customWidth="1"/>
    <col min="6" max="6" width="8.7109375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35</v>
      </c>
      <c r="B2" s="28">
        <v>44686</v>
      </c>
      <c r="C2" s="29">
        <v>50000</v>
      </c>
      <c r="D2" s="30" t="s">
        <v>21</v>
      </c>
      <c r="E2" s="31" t="s">
        <v>21</v>
      </c>
      <c r="F2" s="38">
        <v>0.5</v>
      </c>
      <c r="G2" s="31">
        <f t="shared" ref="G2:G20" si="0">C2*F2</f>
        <v>25000</v>
      </c>
      <c r="H2" s="32">
        <v>24500</v>
      </c>
      <c r="I2" s="11"/>
      <c r="J2" s="2"/>
      <c r="K2" s="7"/>
      <c r="L2" s="6"/>
      <c r="M2" s="6"/>
      <c r="N2" s="6"/>
    </row>
    <row r="3" spans="1:14" s="1" customFormat="1" ht="21">
      <c r="A3" s="27" t="s">
        <v>50</v>
      </c>
      <c r="B3" s="28">
        <v>44686</v>
      </c>
      <c r="C3" s="29">
        <v>15000</v>
      </c>
      <c r="D3" s="30" t="s">
        <v>21</v>
      </c>
      <c r="E3" s="31" t="s">
        <v>21</v>
      </c>
      <c r="F3" s="38">
        <v>0.52</v>
      </c>
      <c r="G3" s="31">
        <f t="shared" si="0"/>
        <v>7800</v>
      </c>
      <c r="H3" s="32">
        <f>G3*0.9</f>
        <v>7020</v>
      </c>
      <c r="I3" s="11"/>
      <c r="J3" s="17"/>
      <c r="K3" s="7"/>
      <c r="L3" s="6"/>
      <c r="M3" s="6"/>
      <c r="N3" s="6"/>
    </row>
    <row r="4" spans="1:14" s="1" customFormat="1" ht="21">
      <c r="A4" s="27" t="s">
        <v>67</v>
      </c>
      <c r="B4" s="28">
        <v>44687</v>
      </c>
      <c r="C4" s="29">
        <v>27000</v>
      </c>
      <c r="D4" s="30" t="s">
        <v>21</v>
      </c>
      <c r="E4" s="31" t="s">
        <v>21</v>
      </c>
      <c r="F4" s="38">
        <v>0.36</v>
      </c>
      <c r="G4" s="31">
        <f t="shared" si="0"/>
        <v>9720</v>
      </c>
      <c r="H4" s="32">
        <f>G4</f>
        <v>9720</v>
      </c>
      <c r="I4" s="11"/>
      <c r="J4" s="17"/>
      <c r="K4" s="7"/>
      <c r="L4" s="6"/>
      <c r="M4" s="6"/>
      <c r="N4" s="6"/>
    </row>
    <row r="5" spans="1:14" s="1" customFormat="1" ht="21">
      <c r="A5" s="27" t="s">
        <v>12</v>
      </c>
      <c r="B5" s="28">
        <v>44687</v>
      </c>
      <c r="C5" s="29">
        <v>22500</v>
      </c>
      <c r="D5" s="30" t="s">
        <v>21</v>
      </c>
      <c r="E5" s="31" t="s">
        <v>21</v>
      </c>
      <c r="F5" s="38">
        <v>0.65</v>
      </c>
      <c r="G5" s="31">
        <f t="shared" si="0"/>
        <v>14625</v>
      </c>
      <c r="H5" s="32">
        <v>13387.5</v>
      </c>
      <c r="I5" s="11"/>
      <c r="J5" s="17"/>
      <c r="K5" s="7"/>
      <c r="L5" s="6"/>
      <c r="M5" s="6"/>
      <c r="N5" s="6"/>
    </row>
    <row r="6" spans="1:14" s="1" customFormat="1" ht="21">
      <c r="A6" s="27" t="s">
        <v>68</v>
      </c>
      <c r="B6" s="28">
        <v>44687</v>
      </c>
      <c r="C6" s="29">
        <v>27000</v>
      </c>
      <c r="D6" s="30" t="s">
        <v>21</v>
      </c>
      <c r="E6" s="31" t="s">
        <v>21</v>
      </c>
      <c r="F6" s="38">
        <v>0.7</v>
      </c>
      <c r="G6" s="31">
        <f t="shared" si="0"/>
        <v>18900</v>
      </c>
      <c r="H6" s="32">
        <f>G6*0.9</f>
        <v>17010</v>
      </c>
      <c r="I6" s="11"/>
      <c r="J6" s="17"/>
      <c r="K6" s="7"/>
      <c r="L6" s="6"/>
      <c r="M6" s="6"/>
      <c r="N6" s="6"/>
    </row>
    <row r="7" spans="1:14" s="1" customFormat="1" ht="21">
      <c r="A7" s="27" t="s">
        <v>15</v>
      </c>
      <c r="B7" s="28">
        <v>44690</v>
      </c>
      <c r="C7" s="29">
        <v>13000</v>
      </c>
      <c r="D7" s="30" t="s">
        <v>21</v>
      </c>
      <c r="E7" s="31"/>
      <c r="F7" s="38">
        <v>1</v>
      </c>
      <c r="G7" s="31">
        <f t="shared" si="0"/>
        <v>13000</v>
      </c>
      <c r="H7" s="32">
        <v>12402</v>
      </c>
      <c r="I7" s="11"/>
      <c r="J7" s="17"/>
      <c r="K7" s="7"/>
      <c r="L7" s="6"/>
      <c r="M7" s="6"/>
      <c r="N7" s="6"/>
    </row>
    <row r="8" spans="1:14" s="1" customFormat="1" ht="21">
      <c r="A8" s="27" t="s">
        <v>69</v>
      </c>
      <c r="B8" s="28">
        <v>44693</v>
      </c>
      <c r="C8" s="29">
        <v>9000</v>
      </c>
      <c r="D8" s="30" t="s">
        <v>21</v>
      </c>
      <c r="E8" s="31"/>
      <c r="F8" s="38">
        <v>0.75</v>
      </c>
      <c r="G8" s="31">
        <f t="shared" si="0"/>
        <v>6750</v>
      </c>
      <c r="H8" s="32">
        <f t="shared" ref="H8:H14" si="1">G8*0.9</f>
        <v>6075</v>
      </c>
      <c r="I8" s="11"/>
      <c r="J8" s="17"/>
      <c r="K8" s="7"/>
      <c r="L8" s="6"/>
      <c r="M8" s="6"/>
      <c r="N8" s="6"/>
    </row>
    <row r="9" spans="1:14" s="1" customFormat="1" ht="21">
      <c r="A9" s="27" t="s">
        <v>52</v>
      </c>
      <c r="B9" s="28">
        <v>44694</v>
      </c>
      <c r="C9" s="29">
        <v>4500</v>
      </c>
      <c r="D9" s="30" t="s">
        <v>21</v>
      </c>
      <c r="E9" s="31"/>
      <c r="F9" s="38">
        <v>1.2</v>
      </c>
      <c r="G9" s="31">
        <f t="shared" si="0"/>
        <v>5400</v>
      </c>
      <c r="H9" s="32">
        <f t="shared" si="1"/>
        <v>4860</v>
      </c>
      <c r="I9" s="11"/>
      <c r="J9" s="17"/>
      <c r="K9" s="7"/>
      <c r="L9" s="6"/>
      <c r="M9" s="6"/>
      <c r="N9" s="6"/>
    </row>
    <row r="10" spans="1:14" s="1" customFormat="1" ht="21">
      <c r="A10" s="27" t="s">
        <v>70</v>
      </c>
      <c r="B10" s="28">
        <v>44698</v>
      </c>
      <c r="C10" s="29">
        <v>30000</v>
      </c>
      <c r="D10" s="30" t="s">
        <v>21</v>
      </c>
      <c r="E10" s="31"/>
      <c r="F10" s="38">
        <v>0.2</v>
      </c>
      <c r="G10" s="31">
        <f t="shared" si="0"/>
        <v>6000</v>
      </c>
      <c r="H10" s="32">
        <f t="shared" si="1"/>
        <v>5400</v>
      </c>
      <c r="I10" s="11"/>
      <c r="J10" s="17"/>
      <c r="K10" s="7"/>
      <c r="L10" s="6"/>
      <c r="M10" s="6"/>
      <c r="N10" s="6"/>
    </row>
    <row r="11" spans="1:14" s="1" customFormat="1" ht="21">
      <c r="A11" s="27" t="s">
        <v>71</v>
      </c>
      <c r="B11" s="28">
        <v>44698</v>
      </c>
      <c r="C11" s="29">
        <v>60000</v>
      </c>
      <c r="D11" s="30" t="s">
        <v>21</v>
      </c>
      <c r="E11" s="31"/>
      <c r="F11" s="38">
        <v>0.06</v>
      </c>
      <c r="G11" s="31">
        <f t="shared" si="0"/>
        <v>3600</v>
      </c>
      <c r="H11" s="32">
        <f t="shared" si="1"/>
        <v>3240</v>
      </c>
      <c r="I11" s="11"/>
      <c r="J11" s="17"/>
      <c r="K11" s="7"/>
      <c r="L11" s="6"/>
      <c r="M11" s="6"/>
      <c r="N11" s="6"/>
    </row>
    <row r="12" spans="1:14" s="1" customFormat="1" ht="21">
      <c r="A12" s="27" t="s">
        <v>13</v>
      </c>
      <c r="B12" s="28">
        <v>44700</v>
      </c>
      <c r="C12" s="29">
        <v>3000</v>
      </c>
      <c r="D12" s="30" t="s">
        <v>21</v>
      </c>
      <c r="E12" s="31"/>
      <c r="F12" s="38">
        <v>0.32</v>
      </c>
      <c r="G12" s="31">
        <f t="shared" si="0"/>
        <v>960</v>
      </c>
      <c r="H12" s="32">
        <f t="shared" si="1"/>
        <v>864</v>
      </c>
      <c r="I12" s="11"/>
      <c r="J12" s="17"/>
      <c r="K12" s="7"/>
      <c r="L12" s="6"/>
      <c r="M12" s="6"/>
      <c r="N12" s="6"/>
    </row>
    <row r="13" spans="1:14" s="1" customFormat="1" ht="21">
      <c r="A13" s="27" t="s">
        <v>65</v>
      </c>
      <c r="B13" s="28">
        <v>44700</v>
      </c>
      <c r="C13" s="29">
        <v>2000</v>
      </c>
      <c r="D13" s="30" t="s">
        <v>21</v>
      </c>
      <c r="E13" s="31"/>
      <c r="F13" s="38">
        <v>7.15</v>
      </c>
      <c r="G13" s="31">
        <f t="shared" si="0"/>
        <v>14300</v>
      </c>
      <c r="H13" s="32">
        <f t="shared" si="1"/>
        <v>12870</v>
      </c>
      <c r="I13" s="11"/>
      <c r="J13" s="17"/>
      <c r="K13" s="7"/>
      <c r="L13" s="6"/>
      <c r="M13" s="6"/>
      <c r="N13" s="6"/>
    </row>
    <row r="14" spans="1:14" s="1" customFormat="1" ht="21">
      <c r="A14" s="27" t="s">
        <v>37</v>
      </c>
      <c r="B14" s="28">
        <v>44701</v>
      </c>
      <c r="C14" s="29">
        <v>6000</v>
      </c>
      <c r="D14" s="30" t="s">
        <v>21</v>
      </c>
      <c r="E14" s="31"/>
      <c r="F14" s="38">
        <v>1.35</v>
      </c>
      <c r="G14" s="31">
        <f t="shared" si="0"/>
        <v>8100.0000000000009</v>
      </c>
      <c r="H14" s="32">
        <f t="shared" si="1"/>
        <v>7290.0000000000009</v>
      </c>
      <c r="I14" s="11"/>
      <c r="J14" s="17"/>
      <c r="K14" s="7"/>
      <c r="L14" s="6"/>
      <c r="M14" s="6"/>
      <c r="N14" s="6"/>
    </row>
    <row r="15" spans="1:14" s="1" customFormat="1" ht="21">
      <c r="A15" s="27" t="s">
        <v>72</v>
      </c>
      <c r="B15" s="28">
        <v>44701</v>
      </c>
      <c r="C15" s="29">
        <v>12000</v>
      </c>
      <c r="D15" s="30" t="s">
        <v>21</v>
      </c>
      <c r="E15" s="31"/>
      <c r="F15" s="38">
        <v>3</v>
      </c>
      <c r="G15" s="31">
        <f t="shared" si="0"/>
        <v>36000</v>
      </c>
      <c r="H15" s="32">
        <v>32700</v>
      </c>
      <c r="I15" s="11"/>
      <c r="J15" s="17"/>
      <c r="K15" s="7"/>
      <c r="L15" s="6"/>
      <c r="M15" s="6"/>
      <c r="N15" s="6"/>
    </row>
    <row r="16" spans="1:14" s="1" customFormat="1" ht="21">
      <c r="A16" s="27" t="s">
        <v>73</v>
      </c>
      <c r="B16" s="28">
        <v>44705</v>
      </c>
      <c r="C16" s="29">
        <v>18000</v>
      </c>
      <c r="D16" s="30" t="s">
        <v>21</v>
      </c>
      <c r="E16" s="31"/>
      <c r="F16" s="38">
        <v>1</v>
      </c>
      <c r="G16" s="31">
        <f t="shared" si="0"/>
        <v>18000</v>
      </c>
      <c r="H16" s="32">
        <f>G16*0.9</f>
        <v>16200</v>
      </c>
      <c r="I16" s="11"/>
      <c r="J16" s="17"/>
      <c r="K16" s="7"/>
      <c r="L16" s="6"/>
      <c r="M16" s="6"/>
      <c r="N16" s="6"/>
    </row>
    <row r="17" spans="1:14" s="1" customFormat="1" ht="21">
      <c r="A17" s="27" t="s">
        <v>74</v>
      </c>
      <c r="B17" s="28">
        <v>44705</v>
      </c>
      <c r="C17" s="29">
        <v>45000</v>
      </c>
      <c r="D17" s="30" t="s">
        <v>21</v>
      </c>
      <c r="E17" s="31"/>
      <c r="F17" s="38">
        <v>0.42</v>
      </c>
      <c r="G17" s="31">
        <f t="shared" si="0"/>
        <v>18900</v>
      </c>
      <c r="H17" s="32">
        <f>G17*0.9</f>
        <v>17010</v>
      </c>
      <c r="I17" s="11"/>
      <c r="J17" s="17"/>
      <c r="K17" s="7"/>
      <c r="L17" s="6"/>
      <c r="M17" s="6"/>
      <c r="N17" s="6"/>
    </row>
    <row r="18" spans="1:14" s="1" customFormat="1" ht="21">
      <c r="A18" s="27" t="s">
        <v>75</v>
      </c>
      <c r="B18" s="28">
        <v>44705</v>
      </c>
      <c r="C18" s="29">
        <v>4500</v>
      </c>
      <c r="D18" s="30" t="s">
        <v>21</v>
      </c>
      <c r="E18" s="31"/>
      <c r="F18" s="38">
        <v>1</v>
      </c>
      <c r="G18" s="31">
        <f t="shared" si="0"/>
        <v>4500</v>
      </c>
      <c r="H18" s="32">
        <f>G18*0.9</f>
        <v>4050</v>
      </c>
      <c r="I18" s="11"/>
      <c r="J18" s="17"/>
      <c r="K18" s="7"/>
      <c r="L18" s="6"/>
      <c r="M18" s="6"/>
      <c r="N18" s="6"/>
    </row>
    <row r="19" spans="1:14" s="1" customFormat="1" ht="21">
      <c r="A19" s="27" t="s">
        <v>76</v>
      </c>
      <c r="B19" s="28">
        <v>44706</v>
      </c>
      <c r="C19" s="29">
        <v>90000</v>
      </c>
      <c r="D19" s="30" t="s">
        <v>21</v>
      </c>
      <c r="E19" s="31"/>
      <c r="F19" s="38">
        <v>0.211477</v>
      </c>
      <c r="G19" s="31">
        <f t="shared" si="0"/>
        <v>19032.93</v>
      </c>
      <c r="H19" s="32">
        <v>17316.189999999999</v>
      </c>
      <c r="I19" s="11"/>
      <c r="J19" s="17"/>
      <c r="K19" s="7"/>
      <c r="L19" s="6"/>
      <c r="M19" s="6"/>
      <c r="N19" s="6"/>
    </row>
    <row r="20" spans="1:14" s="1" customFormat="1" ht="21">
      <c r="A20" s="27" t="s">
        <v>22</v>
      </c>
      <c r="B20" s="28">
        <v>44712</v>
      </c>
      <c r="C20" s="29">
        <v>60000</v>
      </c>
      <c r="D20" s="30" t="s">
        <v>21</v>
      </c>
      <c r="E20" s="31"/>
      <c r="F20" s="38">
        <v>5.5E-2</v>
      </c>
      <c r="G20" s="31">
        <f t="shared" si="0"/>
        <v>3300</v>
      </c>
      <c r="H20" s="32">
        <f>G20*0.9</f>
        <v>2970</v>
      </c>
      <c r="I20" s="11"/>
      <c r="J20" s="17"/>
      <c r="K20" s="7"/>
      <c r="L20" s="6"/>
      <c r="M20" s="6"/>
      <c r="N20" s="6"/>
    </row>
    <row r="21" spans="1:14" s="1" customFormat="1" ht="21">
      <c r="A21" s="27"/>
      <c r="B21" s="28"/>
      <c r="C21" s="29"/>
      <c r="D21" s="30"/>
      <c r="E21" s="31"/>
      <c r="F21" s="30"/>
      <c r="G21" s="31"/>
      <c r="H21" s="34">
        <f>SUM(H2:H20)</f>
        <v>214884.69</v>
      </c>
      <c r="I21" s="11"/>
      <c r="J21" s="19"/>
      <c r="K21" s="7"/>
      <c r="L21" s="6"/>
      <c r="M21" s="6"/>
      <c r="N21" s="6"/>
    </row>
    <row r="22" spans="1:14" s="1" customFormat="1" ht="21">
      <c r="A22" s="27" t="s">
        <v>69</v>
      </c>
      <c r="B22" s="28">
        <v>44684</v>
      </c>
      <c r="C22" s="29">
        <v>3000</v>
      </c>
      <c r="D22" s="30">
        <v>22</v>
      </c>
      <c r="E22" s="31">
        <v>66146.179999999993</v>
      </c>
      <c r="F22" s="30">
        <v>22.1</v>
      </c>
      <c r="G22" s="31">
        <v>66153.149999999994</v>
      </c>
      <c r="H22" s="32">
        <f t="shared" ref="H22:H35" si="2">G22-E22</f>
        <v>6.9700000000011642</v>
      </c>
      <c r="I22" s="11"/>
      <c r="J22" s="7"/>
      <c r="K22" s="7"/>
      <c r="L22" s="15"/>
      <c r="M22" s="15"/>
      <c r="N22" s="6"/>
    </row>
    <row r="23" spans="1:14" s="1" customFormat="1" ht="21">
      <c r="A23" s="27" t="s">
        <v>64</v>
      </c>
      <c r="B23" s="28">
        <v>44687</v>
      </c>
      <c r="C23" s="29">
        <v>3000</v>
      </c>
      <c r="D23" s="30">
        <v>38.5</v>
      </c>
      <c r="E23" s="31">
        <v>115755.83</v>
      </c>
      <c r="F23" s="30">
        <v>37.5</v>
      </c>
      <c r="G23" s="31">
        <v>112250.82</v>
      </c>
      <c r="H23" s="32">
        <f t="shared" si="2"/>
        <v>-3505.0099999999948</v>
      </c>
      <c r="I23" s="11"/>
      <c r="J23" s="7"/>
      <c r="K23" s="7"/>
      <c r="L23" s="15"/>
      <c r="M23" s="15"/>
      <c r="N23" s="6"/>
    </row>
    <row r="24" spans="1:14" s="1" customFormat="1" ht="21">
      <c r="A24" s="27" t="s">
        <v>51</v>
      </c>
      <c r="B24" s="28">
        <v>44691</v>
      </c>
      <c r="C24" s="29">
        <v>2400</v>
      </c>
      <c r="D24" s="30">
        <v>20.25</v>
      </c>
      <c r="E24" s="31">
        <v>48707.64</v>
      </c>
      <c r="F24" s="30">
        <v>19.399999999999999</v>
      </c>
      <c r="G24" s="31">
        <v>46456.87</v>
      </c>
      <c r="H24" s="32">
        <f t="shared" si="2"/>
        <v>-2250.7699999999968</v>
      </c>
      <c r="I24" s="11"/>
      <c r="J24" s="7"/>
      <c r="K24" s="7"/>
      <c r="L24" s="15"/>
      <c r="M24" s="15"/>
      <c r="N24" s="6"/>
    </row>
    <row r="25" spans="1:14" s="1" customFormat="1" ht="21">
      <c r="A25" s="27" t="s">
        <v>69</v>
      </c>
      <c r="B25" s="28">
        <v>44692</v>
      </c>
      <c r="C25" s="29">
        <v>6000</v>
      </c>
      <c r="D25" s="30">
        <v>22</v>
      </c>
      <c r="E25" s="31">
        <v>132292.37</v>
      </c>
      <c r="F25" s="30">
        <v>21.2</v>
      </c>
      <c r="G25" s="31">
        <v>126918.27</v>
      </c>
      <c r="H25" s="32">
        <f t="shared" si="2"/>
        <v>-5374.0999999999913</v>
      </c>
      <c r="I25" s="11"/>
      <c r="J25" s="7"/>
      <c r="K25" s="7"/>
      <c r="L25" s="15"/>
      <c r="M25" s="15"/>
      <c r="N25" s="6"/>
    </row>
    <row r="26" spans="1:14" s="1" customFormat="1" ht="21">
      <c r="A26" s="27" t="s">
        <v>37</v>
      </c>
      <c r="B26" s="28">
        <v>44693</v>
      </c>
      <c r="C26" s="29">
        <v>2000</v>
      </c>
      <c r="D26" s="30">
        <v>45.75</v>
      </c>
      <c r="E26" s="31">
        <v>91702.67</v>
      </c>
      <c r="F26" s="30">
        <v>39.75</v>
      </c>
      <c r="G26" s="31">
        <v>79323.91</v>
      </c>
      <c r="H26" s="32">
        <f t="shared" si="2"/>
        <v>-12378.759999999995</v>
      </c>
      <c r="I26" s="11"/>
      <c r="J26" s="7"/>
      <c r="K26" s="7"/>
      <c r="L26" s="15"/>
      <c r="M26" s="15"/>
      <c r="N26" s="6"/>
    </row>
    <row r="27" spans="1:14" s="1" customFormat="1" ht="21">
      <c r="A27" s="27" t="s">
        <v>37</v>
      </c>
      <c r="B27" s="28">
        <v>44694</v>
      </c>
      <c r="C27" s="29">
        <v>2000</v>
      </c>
      <c r="D27" s="30">
        <v>45.75</v>
      </c>
      <c r="E27" s="31">
        <v>91702.67</v>
      </c>
      <c r="F27" s="30">
        <v>39</v>
      </c>
      <c r="G27" s="31">
        <v>77827.240000000005</v>
      </c>
      <c r="H27" s="32">
        <f t="shared" si="2"/>
        <v>-13875.429999999993</v>
      </c>
      <c r="I27" s="11"/>
      <c r="J27" s="7"/>
      <c r="K27" s="7"/>
      <c r="L27" s="15"/>
      <c r="M27" s="15"/>
      <c r="N27" s="6"/>
    </row>
    <row r="28" spans="1:14" s="1" customFormat="1" ht="21">
      <c r="A28" s="27" t="s">
        <v>64</v>
      </c>
      <c r="B28" s="28">
        <v>44698</v>
      </c>
      <c r="C28" s="29">
        <v>3000</v>
      </c>
      <c r="D28" s="30">
        <v>38.5</v>
      </c>
      <c r="E28" s="31">
        <v>115755.83</v>
      </c>
      <c r="F28" s="30">
        <v>37</v>
      </c>
      <c r="G28" s="31">
        <v>110754.15</v>
      </c>
      <c r="H28" s="32">
        <f t="shared" si="2"/>
        <v>-5001.6800000000076</v>
      </c>
      <c r="I28" s="11"/>
      <c r="J28" s="7"/>
      <c r="K28" s="7"/>
      <c r="L28" s="15"/>
      <c r="M28" s="15"/>
      <c r="N28" s="6"/>
    </row>
    <row r="29" spans="1:14" s="1" customFormat="1" ht="21">
      <c r="A29" s="27" t="s">
        <v>37</v>
      </c>
      <c r="B29" s="28">
        <v>44698</v>
      </c>
      <c r="C29" s="29">
        <v>2000</v>
      </c>
      <c r="D29" s="30">
        <v>45.75</v>
      </c>
      <c r="E29" s="31">
        <v>91702.67</v>
      </c>
      <c r="F29" s="30">
        <v>38.5</v>
      </c>
      <c r="G29" s="31">
        <v>76829.45</v>
      </c>
      <c r="H29" s="32">
        <f t="shared" si="2"/>
        <v>-14873.220000000001</v>
      </c>
      <c r="I29" s="11"/>
      <c r="J29" s="7"/>
      <c r="K29" s="7"/>
      <c r="L29" s="15"/>
      <c r="M29" s="15"/>
      <c r="N29" s="6"/>
    </row>
    <row r="30" spans="1:14" s="1" customFormat="1" ht="21">
      <c r="A30" s="27" t="s">
        <v>77</v>
      </c>
      <c r="B30" s="28">
        <v>44704</v>
      </c>
      <c r="C30" s="29">
        <v>100</v>
      </c>
      <c r="D30" s="30">
        <v>8.9499999999999993</v>
      </c>
      <c r="E30" s="31">
        <v>896.98</v>
      </c>
      <c r="F30" s="30">
        <v>8.4</v>
      </c>
      <c r="G30" s="31">
        <v>838.14</v>
      </c>
      <c r="H30" s="32">
        <f t="shared" si="2"/>
        <v>-58.840000000000032</v>
      </c>
      <c r="I30" s="11"/>
      <c r="J30" s="7"/>
      <c r="K30" s="7"/>
      <c r="L30" s="15"/>
      <c r="M30" s="15"/>
      <c r="N30" s="6"/>
    </row>
    <row r="31" spans="1:14" s="1" customFormat="1" ht="21">
      <c r="A31" s="27" t="s">
        <v>75</v>
      </c>
      <c r="B31" s="28">
        <v>44704</v>
      </c>
      <c r="C31" s="29">
        <v>4500</v>
      </c>
      <c r="D31" s="30">
        <v>33</v>
      </c>
      <c r="E31" s="31">
        <v>148828.92000000001</v>
      </c>
      <c r="F31" s="30">
        <v>34</v>
      </c>
      <c r="G31" s="31">
        <v>152661.12</v>
      </c>
      <c r="H31" s="32">
        <f t="shared" si="2"/>
        <v>3832.1999999999825</v>
      </c>
      <c r="I31" s="11"/>
      <c r="J31" s="7"/>
      <c r="K31" s="7"/>
      <c r="L31" s="15"/>
      <c r="M31" s="15"/>
      <c r="N31" s="6"/>
    </row>
    <row r="32" spans="1:14" s="1" customFormat="1" ht="21">
      <c r="A32" s="27" t="s">
        <v>52</v>
      </c>
      <c r="B32" s="28">
        <v>44707</v>
      </c>
      <c r="C32" s="29">
        <v>800</v>
      </c>
      <c r="D32" s="30">
        <v>28.75</v>
      </c>
      <c r="E32" s="31">
        <v>23050.94</v>
      </c>
      <c r="F32" s="30">
        <v>30.75</v>
      </c>
      <c r="G32" s="31">
        <v>24545.52</v>
      </c>
      <c r="H32" s="32">
        <f t="shared" si="2"/>
        <v>1494.5800000000017</v>
      </c>
      <c r="I32" s="11"/>
      <c r="J32" s="7"/>
      <c r="K32" s="7"/>
      <c r="L32" s="15"/>
      <c r="M32" s="15"/>
      <c r="N32" s="6"/>
    </row>
    <row r="33" spans="1:14" s="1" customFormat="1" ht="21">
      <c r="A33" s="27" t="s">
        <v>52</v>
      </c>
      <c r="B33" s="28">
        <v>44707</v>
      </c>
      <c r="C33" s="29">
        <v>2800</v>
      </c>
      <c r="D33" s="30">
        <v>28.75</v>
      </c>
      <c r="E33" s="31">
        <v>80678.3</v>
      </c>
      <c r="F33" s="30">
        <v>31</v>
      </c>
      <c r="G33" s="31">
        <v>86607.74</v>
      </c>
      <c r="H33" s="32">
        <f t="shared" si="2"/>
        <v>5929.4400000000023</v>
      </c>
      <c r="I33" s="11"/>
      <c r="J33" s="7"/>
      <c r="K33" s="7"/>
      <c r="L33" s="15"/>
      <c r="M33" s="15"/>
      <c r="N33" s="6"/>
    </row>
    <row r="34" spans="1:14" s="1" customFormat="1" ht="21">
      <c r="A34" s="27" t="s">
        <v>32</v>
      </c>
      <c r="B34" s="28">
        <v>44711</v>
      </c>
      <c r="C34" s="29">
        <v>7500</v>
      </c>
      <c r="D34" s="30">
        <v>20.2</v>
      </c>
      <c r="E34" s="31">
        <v>151835.56</v>
      </c>
      <c r="F34" s="30">
        <v>20.3</v>
      </c>
      <c r="G34" s="31">
        <v>151912.78</v>
      </c>
      <c r="H34" s="32">
        <f t="shared" si="2"/>
        <v>77.220000000001164</v>
      </c>
      <c r="I34" s="11"/>
      <c r="J34" s="7"/>
      <c r="K34" s="7"/>
      <c r="L34" s="15"/>
      <c r="M34" s="15"/>
      <c r="N34" s="6"/>
    </row>
    <row r="35" spans="1:14" s="1" customFormat="1" ht="21">
      <c r="A35" s="27" t="s">
        <v>33</v>
      </c>
      <c r="B35" s="28">
        <v>44712</v>
      </c>
      <c r="C35" s="29">
        <v>6000</v>
      </c>
      <c r="D35" s="30">
        <v>48.5</v>
      </c>
      <c r="E35" s="31">
        <v>291644.53999999998</v>
      </c>
      <c r="F35" s="30">
        <v>49</v>
      </c>
      <c r="G35" s="31">
        <v>293348.82</v>
      </c>
      <c r="H35" s="32">
        <f t="shared" si="2"/>
        <v>1704.2800000000279</v>
      </c>
      <c r="I35" s="11"/>
      <c r="J35" s="7"/>
      <c r="K35" s="7"/>
      <c r="L35" s="15"/>
      <c r="M35" s="15"/>
      <c r="N35" s="6"/>
    </row>
    <row r="36" spans="1:14" s="1" customFormat="1" ht="21.75">
      <c r="A36" s="26"/>
      <c r="B36" s="28"/>
      <c r="C36" s="29"/>
      <c r="D36" s="33"/>
      <c r="E36" s="32">
        <f>SUM(E22:E35)</f>
        <v>1450701.1</v>
      </c>
      <c r="F36" s="30"/>
      <c r="G36" s="32">
        <f>SUM(G22:G35)</f>
        <v>1406427.98</v>
      </c>
      <c r="H36" s="45">
        <f>SUM(H22:H35)</f>
        <v>-44273.119999999959</v>
      </c>
      <c r="I36" s="11"/>
      <c r="J36" s="7"/>
      <c r="K36" s="7"/>
      <c r="L36" s="15"/>
      <c r="M36" s="15"/>
      <c r="N36" s="6"/>
    </row>
    <row r="37" spans="1:14" s="1" customFormat="1" ht="21">
      <c r="A37" s="26"/>
      <c r="B37" s="28"/>
      <c r="C37" s="29"/>
      <c r="D37" s="33"/>
      <c r="E37" s="32"/>
      <c r="F37" s="30"/>
      <c r="G37" s="32" t="s">
        <v>53</v>
      </c>
      <c r="H37" s="34">
        <f>H21+H36</f>
        <v>170611.57000000004</v>
      </c>
      <c r="I37" s="11"/>
      <c r="J37" s="7"/>
      <c r="K37" s="7"/>
      <c r="L37" s="15"/>
      <c r="M37" s="15"/>
      <c r="N37" s="6"/>
    </row>
    <row r="38" spans="1:14" s="1" customFormat="1" ht="21">
      <c r="A38" s="26"/>
      <c r="B38" s="28"/>
      <c r="C38" s="29"/>
      <c r="D38" s="33"/>
      <c r="E38" s="32"/>
      <c r="F38" s="30"/>
      <c r="G38" s="32" t="s">
        <v>54</v>
      </c>
      <c r="H38" s="34">
        <v>173596.78200000006</v>
      </c>
      <c r="I38" s="11"/>
      <c r="J38" s="7"/>
      <c r="K38" s="7"/>
      <c r="L38" s="15"/>
      <c r="M38" s="15"/>
      <c r="N38" s="6"/>
    </row>
    <row r="39" spans="1:14" s="1" customFormat="1" ht="21">
      <c r="A39" s="26"/>
      <c r="B39" s="28"/>
      <c r="C39" s="29"/>
      <c r="D39" s="33"/>
      <c r="E39" s="32"/>
      <c r="F39" s="30"/>
      <c r="G39" s="32" t="s">
        <v>55</v>
      </c>
      <c r="H39" s="34">
        <f>H37+H38</f>
        <v>344208.35200000007</v>
      </c>
      <c r="I39" s="11"/>
      <c r="J39" s="7"/>
      <c r="K39" s="7"/>
      <c r="L39" s="15"/>
      <c r="M39" s="15"/>
      <c r="N39" s="6"/>
    </row>
    <row r="40" spans="1:14" s="1" customFormat="1" ht="21">
      <c r="A40" s="26"/>
      <c r="B40" s="28"/>
      <c r="C40" s="29"/>
      <c r="D40" s="33"/>
      <c r="E40" s="32"/>
      <c r="F40" s="30"/>
      <c r="G40" s="32" t="s">
        <v>16</v>
      </c>
      <c r="H40" s="35">
        <v>258240</v>
      </c>
      <c r="I40" s="11"/>
      <c r="J40" s="7"/>
      <c r="K40" s="7"/>
      <c r="L40" s="15"/>
      <c r="M40" s="15"/>
      <c r="N40" s="6"/>
    </row>
    <row r="41" spans="1:14" s="1" customFormat="1" ht="21">
      <c r="A41" s="26"/>
      <c r="B41" s="28"/>
      <c r="C41" s="29"/>
      <c r="D41" s="33"/>
      <c r="E41" s="32"/>
      <c r="F41" s="30"/>
      <c r="G41" s="32" t="s">
        <v>78</v>
      </c>
      <c r="H41" s="35">
        <v>56640</v>
      </c>
      <c r="I41" s="11"/>
      <c r="J41" s="7"/>
      <c r="K41" s="7"/>
      <c r="L41" s="15"/>
      <c r="M41" s="15"/>
      <c r="N41" s="6"/>
    </row>
    <row r="42" spans="1:14" s="1" customFormat="1" ht="21">
      <c r="A42" s="26"/>
      <c r="B42" s="28"/>
      <c r="C42" s="29"/>
      <c r="D42" s="33"/>
      <c r="E42" s="32"/>
      <c r="F42" s="30"/>
      <c r="G42" s="32" t="s">
        <v>18</v>
      </c>
      <c r="H42" s="42">
        <f>H40+H41</f>
        <v>314880</v>
      </c>
      <c r="I42" s="11"/>
      <c r="J42" s="7"/>
      <c r="K42" s="7"/>
      <c r="L42" s="15"/>
      <c r="M42" s="15"/>
      <c r="N42" s="6"/>
    </row>
    <row r="43" spans="1:14" s="1" customFormat="1" ht="21.75">
      <c r="A43" s="5"/>
      <c r="B43" s="12"/>
      <c r="C43" s="8"/>
      <c r="D43" s="9"/>
      <c r="E43" s="7"/>
      <c r="F43" s="10"/>
      <c r="G43" s="32" t="s">
        <v>19</v>
      </c>
      <c r="H43" s="47">
        <f>H39-H42</f>
        <v>29328.352000000072</v>
      </c>
      <c r="I43" s="11"/>
      <c r="J43" s="7"/>
      <c r="K43" s="7"/>
      <c r="L43" s="15"/>
      <c r="M43" s="15"/>
      <c r="N43" s="6"/>
    </row>
    <row r="44" spans="1:14" s="1" customFormat="1" ht="21">
      <c r="A44" s="5"/>
      <c r="B44" s="12"/>
      <c r="C44" s="8"/>
      <c r="D44" s="9"/>
      <c r="E44" s="7"/>
      <c r="F44" s="10"/>
      <c r="G44" s="39" t="s">
        <v>57</v>
      </c>
      <c r="H44" s="39">
        <v>112000</v>
      </c>
      <c r="I44" s="11"/>
      <c r="J44" s="7"/>
      <c r="K44" s="7"/>
      <c r="L44" s="15"/>
      <c r="M44" s="15"/>
      <c r="N44" s="6"/>
    </row>
    <row r="45" spans="1:14" s="1" customFormat="1" ht="21">
      <c r="A45" s="6"/>
      <c r="B45" s="12"/>
      <c r="C45" s="8"/>
      <c r="D45" s="10"/>
      <c r="E45" s="14"/>
      <c r="F45" s="10"/>
      <c r="G45" s="39" t="s">
        <v>58</v>
      </c>
      <c r="H45" s="40">
        <f>H43+H44</f>
        <v>141328.35200000007</v>
      </c>
      <c r="I45" s="11"/>
      <c r="J45" s="7"/>
      <c r="K45" s="7"/>
      <c r="L45" s="15"/>
      <c r="M45" s="15"/>
      <c r="N45" s="7"/>
    </row>
    <row r="46" spans="1:14">
      <c r="I46" s="7"/>
      <c r="K46" s="7"/>
      <c r="N46" s="13"/>
    </row>
    <row r="47" spans="1:14" ht="15.6" customHeight="1">
      <c r="K47" s="7"/>
    </row>
    <row r="48" spans="1:14">
      <c r="K48" s="7"/>
      <c r="M48" s="7"/>
    </row>
    <row r="49" spans="11:13">
      <c r="M49" s="7"/>
    </row>
    <row r="50" spans="11:13">
      <c r="M50" s="7"/>
    </row>
    <row r="51" spans="11:13">
      <c r="K51" s="7"/>
    </row>
  </sheetData>
  <sheetProtection selectLockedCells="1" selectUnlockedCells="1"/>
  <sortState xmlns:xlrd2="http://schemas.microsoft.com/office/spreadsheetml/2017/richdata2" ref="A22:H35">
    <sortCondition ref="B22:B35"/>
    <sortCondition ref="A22:A3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C6C8-D1DE-449B-AAEA-D0B5747110E6}">
  <dimension ref="A1:N30"/>
  <sheetViews>
    <sheetView workbookViewId="0">
      <pane ySplit="1" topLeftCell="A16" activePane="bottomLeft" state="frozen"/>
      <selection pane="bottomLeft" activeCell="H22" sqref="H22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8.7109375" style="8" bestFit="1" customWidth="1"/>
    <col min="4" max="4" width="7.28515625" style="9" customWidth="1"/>
    <col min="5" max="5" width="14.42578125" style="7" bestFit="1" customWidth="1"/>
    <col min="6" max="6" width="11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28</v>
      </c>
      <c r="B2" s="28">
        <v>44718</v>
      </c>
      <c r="C2" s="29">
        <v>50000</v>
      </c>
      <c r="D2" s="30" t="s">
        <v>21</v>
      </c>
      <c r="E2" s="31"/>
      <c r="F2" s="38">
        <v>0.26</v>
      </c>
      <c r="G2" s="31">
        <f>C2*F2</f>
        <v>13000</v>
      </c>
      <c r="H2" s="32">
        <f>G2</f>
        <v>13000</v>
      </c>
      <c r="I2" s="11"/>
      <c r="J2" s="17"/>
      <c r="K2" s="7"/>
      <c r="L2" s="6"/>
      <c r="M2" s="6"/>
      <c r="N2" s="6"/>
    </row>
    <row r="3" spans="1:14" s="1" customFormat="1" ht="21">
      <c r="A3" s="27" t="s">
        <v>63</v>
      </c>
      <c r="B3" s="28">
        <v>44720</v>
      </c>
      <c r="C3" s="29">
        <v>110000</v>
      </c>
      <c r="D3" s="30" t="s">
        <v>21</v>
      </c>
      <c r="E3" s="31"/>
      <c r="F3" s="38">
        <v>0.23</v>
      </c>
      <c r="G3" s="31">
        <f>C3*F3</f>
        <v>25300</v>
      </c>
      <c r="H3" s="32">
        <f>G3</f>
        <v>25300</v>
      </c>
      <c r="I3" s="11"/>
      <c r="J3" s="17"/>
      <c r="K3" s="7"/>
      <c r="L3" s="6"/>
      <c r="M3" s="6"/>
      <c r="N3" s="6"/>
    </row>
    <row r="4" spans="1:14" s="1" customFormat="1" ht="21">
      <c r="A4" s="27" t="s">
        <v>79</v>
      </c>
      <c r="B4" s="28">
        <v>44727</v>
      </c>
      <c r="C4" s="29">
        <v>30000</v>
      </c>
      <c r="D4" s="30" t="s">
        <v>21</v>
      </c>
      <c r="E4" s="31"/>
      <c r="F4" s="38">
        <v>0.1915</v>
      </c>
      <c r="G4" s="31">
        <f>C4*F4</f>
        <v>5745</v>
      </c>
      <c r="H4" s="32">
        <f>G4*0.9</f>
        <v>5170.5</v>
      </c>
      <c r="I4" s="11"/>
      <c r="J4" s="17"/>
      <c r="K4" s="7"/>
      <c r="L4" s="6"/>
      <c r="M4" s="6"/>
      <c r="N4" s="6"/>
    </row>
    <row r="5" spans="1:14" s="1" customFormat="1" ht="21">
      <c r="A5" s="27" t="s">
        <v>33</v>
      </c>
      <c r="B5" s="28">
        <v>44728</v>
      </c>
      <c r="C5" s="29">
        <v>6000</v>
      </c>
      <c r="D5" s="30" t="s">
        <v>21</v>
      </c>
      <c r="E5" s="31"/>
      <c r="F5" s="38">
        <v>0.4</v>
      </c>
      <c r="G5" s="31">
        <f>C5*F5</f>
        <v>2400</v>
      </c>
      <c r="H5" s="32">
        <f>G5*0.9</f>
        <v>2160</v>
      </c>
      <c r="I5" s="11"/>
      <c r="J5" s="17"/>
      <c r="K5" s="7"/>
      <c r="L5" s="6"/>
      <c r="M5" s="6"/>
      <c r="N5" s="6"/>
    </row>
    <row r="6" spans="1:14" s="1" customFormat="1" ht="21">
      <c r="A6" s="27" t="s">
        <v>14</v>
      </c>
      <c r="B6" s="28">
        <v>44736</v>
      </c>
      <c r="C6" s="29">
        <v>40000</v>
      </c>
      <c r="D6" s="30" t="s">
        <v>21</v>
      </c>
      <c r="E6" s="31"/>
      <c r="F6" s="38">
        <v>0.15559999999999999</v>
      </c>
      <c r="G6" s="31">
        <f>C6*F6</f>
        <v>6223.9999999999991</v>
      </c>
      <c r="H6" s="32">
        <f>G6*0.9</f>
        <v>5601.5999999999995</v>
      </c>
      <c r="I6" s="11"/>
      <c r="J6" s="17"/>
      <c r="K6" s="7"/>
      <c r="L6" s="6"/>
      <c r="M6" s="6"/>
      <c r="N6" s="6"/>
    </row>
    <row r="7" spans="1:14" s="1" customFormat="1" ht="21">
      <c r="A7" s="27"/>
      <c r="B7" s="28"/>
      <c r="C7" s="29"/>
      <c r="D7" s="30"/>
      <c r="E7" s="31"/>
      <c r="F7" s="30"/>
      <c r="G7" s="31"/>
      <c r="H7" s="34">
        <f>SUM(H2:H6)</f>
        <v>51232.1</v>
      </c>
      <c r="I7" s="11"/>
      <c r="J7" s="19"/>
      <c r="K7" s="7"/>
      <c r="L7" s="6"/>
      <c r="M7" s="6"/>
      <c r="N7" s="6"/>
    </row>
    <row r="8" spans="1:14" s="1" customFormat="1" ht="21">
      <c r="A8" s="27" t="s">
        <v>38</v>
      </c>
      <c r="B8" s="28">
        <v>44720</v>
      </c>
      <c r="C8" s="29">
        <v>3000</v>
      </c>
      <c r="D8" s="30">
        <v>57.5</v>
      </c>
      <c r="E8" s="31">
        <v>172882.08</v>
      </c>
      <c r="F8" s="30">
        <v>60.5</v>
      </c>
      <c r="G8" s="31">
        <v>181097.99</v>
      </c>
      <c r="H8" s="32">
        <f t="shared" ref="H8:H14" si="0">G8-E8</f>
        <v>8215.9100000000035</v>
      </c>
      <c r="I8" s="11"/>
      <c r="J8" s="7"/>
      <c r="K8" s="7"/>
      <c r="L8" s="15"/>
      <c r="M8" s="15"/>
      <c r="N8" s="6"/>
    </row>
    <row r="9" spans="1:14" s="1" customFormat="1" ht="21">
      <c r="A9" s="27" t="s">
        <v>12</v>
      </c>
      <c r="B9" s="28">
        <v>44725</v>
      </c>
      <c r="C9" s="29">
        <v>1500</v>
      </c>
      <c r="D9" s="30">
        <v>21.8</v>
      </c>
      <c r="E9" s="31">
        <v>32772.43</v>
      </c>
      <c r="F9" s="30">
        <v>22.2</v>
      </c>
      <c r="G9" s="31">
        <v>33226.239999999998</v>
      </c>
      <c r="H9" s="32">
        <f t="shared" si="0"/>
        <v>453.80999999999767</v>
      </c>
      <c r="I9" s="11"/>
      <c r="J9" s="7"/>
      <c r="K9" s="7"/>
      <c r="L9" s="15"/>
      <c r="M9" s="15"/>
      <c r="N9" s="6"/>
    </row>
    <row r="10" spans="1:14" s="1" customFormat="1" ht="21">
      <c r="A10" s="27" t="s">
        <v>28</v>
      </c>
      <c r="B10" s="28">
        <v>44725</v>
      </c>
      <c r="C10" s="29">
        <v>10000</v>
      </c>
      <c r="D10" s="30">
        <v>14.7</v>
      </c>
      <c r="E10" s="31">
        <v>147325.59</v>
      </c>
      <c r="F10" s="30">
        <v>13.5</v>
      </c>
      <c r="G10" s="31">
        <v>134700.99</v>
      </c>
      <c r="H10" s="32">
        <f t="shared" si="0"/>
        <v>-12624.600000000006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80</v>
      </c>
      <c r="B11" s="28">
        <v>44735</v>
      </c>
      <c r="C11" s="29">
        <v>4500</v>
      </c>
      <c r="D11" s="30">
        <v>26</v>
      </c>
      <c r="E11" s="31">
        <v>117259.14</v>
      </c>
      <c r="F11" s="30">
        <v>24.8</v>
      </c>
      <c r="G11" s="31">
        <v>111352.82</v>
      </c>
      <c r="H11" s="32">
        <f t="shared" si="0"/>
        <v>-5906.3199999999924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30</v>
      </c>
      <c r="B12" s="28">
        <v>44735</v>
      </c>
      <c r="C12" s="29">
        <v>4500</v>
      </c>
      <c r="D12" s="30">
        <v>18.399999999999999</v>
      </c>
      <c r="E12" s="31">
        <v>82983.399999999994</v>
      </c>
      <c r="F12" s="30">
        <v>18.600000000000001</v>
      </c>
      <c r="G12" s="31">
        <v>83514.61</v>
      </c>
      <c r="H12" s="32">
        <f t="shared" si="0"/>
        <v>531.2100000000064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81</v>
      </c>
      <c r="B13" s="28">
        <v>44739</v>
      </c>
      <c r="C13" s="29">
        <v>100000</v>
      </c>
      <c r="D13" s="30">
        <v>1.26</v>
      </c>
      <c r="E13" s="31">
        <v>126279.08</v>
      </c>
      <c r="F13" s="30">
        <v>1.25</v>
      </c>
      <c r="G13" s="31">
        <v>124723.14</v>
      </c>
      <c r="H13" s="32">
        <f t="shared" si="0"/>
        <v>-1555.9400000000023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35</v>
      </c>
      <c r="B14" s="28">
        <v>44741</v>
      </c>
      <c r="C14" s="29">
        <v>5000</v>
      </c>
      <c r="D14" s="30">
        <v>11.4</v>
      </c>
      <c r="E14" s="31">
        <v>57126.25</v>
      </c>
      <c r="F14" s="30">
        <v>11.7</v>
      </c>
      <c r="G14" s="31">
        <v>58370.42</v>
      </c>
      <c r="H14" s="32">
        <f t="shared" si="0"/>
        <v>1244.1699999999983</v>
      </c>
      <c r="I14" s="11"/>
      <c r="J14" s="7"/>
      <c r="K14" s="7"/>
      <c r="L14" s="15"/>
      <c r="M14" s="15"/>
      <c r="N14" s="6"/>
    </row>
    <row r="15" spans="1:14" s="1" customFormat="1" ht="21.75">
      <c r="A15" s="26"/>
      <c r="B15" s="28"/>
      <c r="C15" s="29"/>
      <c r="D15" s="33"/>
      <c r="E15" s="32">
        <f>SUM(E8:E14)</f>
        <v>736627.97</v>
      </c>
      <c r="F15" s="30"/>
      <c r="G15" s="32">
        <f>SUM(G8:G14)</f>
        <v>726986.21000000008</v>
      </c>
      <c r="H15" s="45">
        <f>SUM(H8:H14)</f>
        <v>-9641.7599999999948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/>
      <c r="F16" s="30"/>
      <c r="G16" s="32" t="s">
        <v>53</v>
      </c>
      <c r="H16" s="34">
        <f>H7+H15</f>
        <v>41590.340000000004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54</v>
      </c>
      <c r="H17" s="32">
        <v>344208.35200000007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55</v>
      </c>
      <c r="H18" s="34">
        <f>H16+H17</f>
        <v>385798.6920000001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16</v>
      </c>
      <c r="H19" s="35">
        <v>314880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82</v>
      </c>
      <c r="H20" s="35">
        <v>72560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18</v>
      </c>
      <c r="H21" s="42">
        <f>H19+H20</f>
        <v>387440</v>
      </c>
      <c r="I21" s="11"/>
      <c r="J21" s="7"/>
      <c r="K21" s="7"/>
      <c r="L21" s="15"/>
      <c r="M21" s="15"/>
      <c r="N21" s="6"/>
    </row>
    <row r="22" spans="1:14" s="1" customFormat="1" ht="21.75">
      <c r="A22" s="5"/>
      <c r="B22" s="12"/>
      <c r="C22" s="8"/>
      <c r="D22" s="9"/>
      <c r="E22" s="7"/>
      <c r="F22" s="10"/>
      <c r="G22" s="32" t="s">
        <v>19</v>
      </c>
      <c r="H22" s="47">
        <f>H18-H21</f>
        <v>-1641.3079999999027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39" t="s">
        <v>57</v>
      </c>
      <c r="H23" s="39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39" t="s">
        <v>58</v>
      </c>
      <c r="H24" s="40">
        <f>H22+H23</f>
        <v>110358.6920000001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1"/>
  <sheetViews>
    <sheetView workbookViewId="0">
      <pane ySplit="1" topLeftCell="D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14</v>
      </c>
      <c r="B2" s="28">
        <v>44736</v>
      </c>
      <c r="C2" s="29">
        <v>40000</v>
      </c>
      <c r="D2" s="30" t="s">
        <v>21</v>
      </c>
      <c r="E2" s="31"/>
      <c r="F2" s="38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>
      <c r="A4" s="27" t="s">
        <v>65</v>
      </c>
      <c r="B4" s="28">
        <v>44746</v>
      </c>
      <c r="C4" s="29">
        <v>1000</v>
      </c>
      <c r="D4" s="30">
        <v>97.5</v>
      </c>
      <c r="E4" s="31">
        <v>97715.96</v>
      </c>
      <c r="F4" s="30">
        <v>88.5</v>
      </c>
      <c r="G4" s="31">
        <v>88303.98</v>
      </c>
      <c r="H4" s="32">
        <f>G4-E4</f>
        <v>-9411.9800000000105</v>
      </c>
      <c r="I4" s="11"/>
      <c r="J4" s="7"/>
      <c r="K4" s="7"/>
      <c r="L4" s="15"/>
      <c r="M4" s="15"/>
      <c r="N4" s="6"/>
    </row>
    <row r="5" spans="1:14" s="1" customFormat="1" ht="21">
      <c r="A5" s="27" t="s">
        <v>65</v>
      </c>
      <c r="B5" s="28">
        <v>44764</v>
      </c>
      <c r="C5" s="29">
        <v>1000</v>
      </c>
      <c r="D5" s="30">
        <v>97.5</v>
      </c>
      <c r="E5" s="31">
        <v>97715.96</v>
      </c>
      <c r="F5" s="30">
        <v>88.5</v>
      </c>
      <c r="G5" s="31">
        <v>88303.98</v>
      </c>
      <c r="H5" s="32">
        <f>G5-E5</f>
        <v>-9411.9800000000105</v>
      </c>
      <c r="I5" s="11"/>
      <c r="J5" s="7"/>
      <c r="K5" s="7"/>
      <c r="L5" s="15"/>
      <c r="M5" s="15"/>
      <c r="N5" s="6"/>
    </row>
    <row r="6" spans="1:14" s="1" customFormat="1" ht="21">
      <c r="A6" s="27" t="s">
        <v>52</v>
      </c>
      <c r="B6" s="28">
        <v>44767</v>
      </c>
      <c r="C6" s="29">
        <v>3600</v>
      </c>
      <c r="D6" s="30">
        <v>28.5</v>
      </c>
      <c r="E6" s="31">
        <v>102827.25</v>
      </c>
      <c r="F6" s="30">
        <v>28.75</v>
      </c>
      <c r="G6" s="31">
        <v>103270.75</v>
      </c>
      <c r="H6" s="32">
        <f>G6-E6</f>
        <v>443.5</v>
      </c>
      <c r="I6" s="11"/>
      <c r="J6" s="7"/>
      <c r="K6" s="7"/>
      <c r="L6" s="15"/>
      <c r="M6" s="15"/>
      <c r="N6" s="6"/>
    </row>
    <row r="7" spans="1:14" s="1" customFormat="1" ht="21">
      <c r="A7" s="27" t="s">
        <v>30</v>
      </c>
      <c r="B7" s="28">
        <v>44767</v>
      </c>
      <c r="C7" s="29">
        <v>4500</v>
      </c>
      <c r="D7" s="30">
        <v>18.399999999999999</v>
      </c>
      <c r="E7" s="31">
        <v>82983.399999999994</v>
      </c>
      <c r="F7" s="30">
        <v>18.600000000000001</v>
      </c>
      <c r="G7" s="31">
        <v>83514.61</v>
      </c>
      <c r="H7" s="32">
        <f>G7-E7</f>
        <v>531.2100000000064</v>
      </c>
      <c r="I7" s="11"/>
      <c r="J7" s="7"/>
      <c r="K7" s="7"/>
      <c r="L7" s="15"/>
      <c r="M7" s="15"/>
      <c r="N7" s="6"/>
    </row>
    <row r="8" spans="1:14" ht="15.75">
      <c r="A8" s="26"/>
      <c r="B8" s="28"/>
      <c r="C8" s="29"/>
      <c r="D8" s="33"/>
      <c r="E8" s="32">
        <f>SUM(E4:E7)</f>
        <v>381242.57000000007</v>
      </c>
      <c r="F8" s="30"/>
      <c r="G8" s="32">
        <f>SUM(G4:G7)</f>
        <v>363393.31999999995</v>
      </c>
      <c r="H8" s="45">
        <f>SUM(H4:H7)</f>
        <v>-17849.250000000015</v>
      </c>
      <c r="K8" s="7"/>
      <c r="L8" s="15"/>
      <c r="M8" s="15"/>
    </row>
    <row r="9" spans="1:14" s="1" customFormat="1" ht="21">
      <c r="A9" s="26"/>
      <c r="B9" s="28"/>
      <c r="C9" s="29"/>
      <c r="D9" s="33"/>
      <c r="E9" s="32"/>
      <c r="F9" s="30"/>
      <c r="G9" s="32" t="s">
        <v>53</v>
      </c>
      <c r="H9" s="34">
        <f>H3+H8</f>
        <v>-17849.250000000015</v>
      </c>
      <c r="I9" s="11"/>
      <c r="J9" s="7"/>
      <c r="K9" s="7"/>
      <c r="L9" s="15"/>
      <c r="M9" s="15"/>
      <c r="N9" s="6"/>
    </row>
    <row r="10" spans="1:14" ht="15.6">
      <c r="A10" s="26"/>
      <c r="B10" s="28"/>
      <c r="C10" s="29"/>
      <c r="D10" s="33"/>
      <c r="E10" s="32"/>
      <c r="F10" s="30"/>
      <c r="G10" s="32" t="s">
        <v>54</v>
      </c>
      <c r="H10" s="32">
        <v>385798.6920000001</v>
      </c>
      <c r="K10" s="7"/>
      <c r="L10" s="15"/>
      <c r="M10" s="15"/>
    </row>
    <row r="11" spans="1:14" ht="15.6">
      <c r="A11" s="26"/>
      <c r="B11" s="28"/>
      <c r="C11" s="29"/>
      <c r="D11" s="33"/>
      <c r="E11" s="32"/>
      <c r="F11" s="30"/>
      <c r="G11" s="32" t="s">
        <v>55</v>
      </c>
      <c r="H11" s="34">
        <f>H9+H10</f>
        <v>367949.4420000001</v>
      </c>
      <c r="K11" s="7"/>
      <c r="L11" s="15"/>
      <c r="M11" s="15"/>
    </row>
    <row r="12" spans="1:14" ht="15.6">
      <c r="A12" s="26"/>
      <c r="B12" s="28"/>
      <c r="C12" s="29"/>
      <c r="D12" s="33"/>
      <c r="E12" s="32"/>
      <c r="F12" s="30"/>
      <c r="G12" s="32" t="s">
        <v>16</v>
      </c>
      <c r="H12" s="35">
        <v>387440</v>
      </c>
      <c r="K12" s="7"/>
      <c r="L12" s="15"/>
      <c r="M12" s="15"/>
    </row>
    <row r="13" spans="1:14" ht="15.6">
      <c r="A13" s="26"/>
      <c r="B13" s="28"/>
      <c r="C13" s="29"/>
      <c r="D13" s="33"/>
      <c r="E13" s="32"/>
      <c r="F13" s="30"/>
      <c r="G13" s="32" t="s">
        <v>83</v>
      </c>
      <c r="H13" s="35">
        <v>26960</v>
      </c>
      <c r="K13" s="7"/>
      <c r="L13" s="15"/>
      <c r="M13" s="15"/>
    </row>
    <row r="14" spans="1:14" s="1" customFormat="1" ht="21">
      <c r="A14" s="26"/>
      <c r="B14" s="28"/>
      <c r="C14" s="29"/>
      <c r="D14" s="33"/>
      <c r="E14" s="32"/>
      <c r="F14" s="30"/>
      <c r="G14" s="32" t="s">
        <v>18</v>
      </c>
      <c r="H14" s="42">
        <f>H12+H13</f>
        <v>414400</v>
      </c>
      <c r="I14" s="11"/>
      <c r="J14" s="7"/>
      <c r="K14" s="7"/>
      <c r="L14" s="15"/>
      <c r="M14" s="15"/>
      <c r="N14" s="6"/>
    </row>
    <row r="15" spans="1:14" s="1" customFormat="1" ht="21.75">
      <c r="A15" s="5"/>
      <c r="B15" s="12"/>
      <c r="C15" s="8"/>
      <c r="D15" s="9"/>
      <c r="E15" s="7"/>
      <c r="F15" s="10"/>
      <c r="G15" s="32" t="s">
        <v>19</v>
      </c>
      <c r="H15" s="47">
        <f>H11-H14</f>
        <v>-46450.557999999903</v>
      </c>
      <c r="I15" s="11"/>
      <c r="J15" s="7"/>
      <c r="K15" s="7"/>
      <c r="L15" s="15"/>
      <c r="M15" s="15"/>
      <c r="N15" s="6"/>
    </row>
    <row r="16" spans="1:14" s="1" customFormat="1" ht="21">
      <c r="A16" s="5"/>
      <c r="B16" s="12"/>
      <c r="C16" s="8"/>
      <c r="D16" s="9"/>
      <c r="E16" s="7"/>
      <c r="F16" s="10"/>
      <c r="G16" s="39" t="s">
        <v>57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">
      <c r="A17" s="6"/>
      <c r="B17" s="12"/>
      <c r="C17" s="8"/>
      <c r="D17" s="10"/>
      <c r="E17" s="14"/>
      <c r="F17" s="10"/>
      <c r="G17" s="39" t="s">
        <v>58</v>
      </c>
      <c r="H17" s="40">
        <f>H15+H16</f>
        <v>65549.442000000097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sortState xmlns:xlrd2="http://schemas.microsoft.com/office/spreadsheetml/2017/richdata2" ref="A2:M17">
    <sortCondition descending="1" ref="J2:J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5150-6BB5-4D89-BC93-31EBFDA0DB76}">
  <dimension ref="A1:N20"/>
  <sheetViews>
    <sheetView workbookViewId="0">
      <pane ySplit="1" topLeftCell="E8" activePane="bottomLeft" state="frozen"/>
      <selection pane="bottomLeft" activeCell="H10" sqref="H10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84</v>
      </c>
      <c r="B2" s="28">
        <v>44799</v>
      </c>
      <c r="C2" s="29">
        <v>600</v>
      </c>
      <c r="D2" s="30" t="s">
        <v>21</v>
      </c>
      <c r="E2" s="31"/>
      <c r="F2" s="38">
        <v>4.25</v>
      </c>
      <c r="G2" s="31">
        <f>C2*F2</f>
        <v>2550</v>
      </c>
      <c r="H2" s="32">
        <f>G2*0.9</f>
        <v>2295</v>
      </c>
      <c r="I2" s="11"/>
      <c r="J2" s="7"/>
      <c r="K2" s="7"/>
      <c r="L2" s="15"/>
      <c r="M2" s="15"/>
      <c r="N2" s="6"/>
    </row>
    <row r="3" spans="1:14" s="1" customFormat="1" ht="21">
      <c r="A3" s="27" t="s">
        <v>85</v>
      </c>
      <c r="B3" s="28">
        <v>44799</v>
      </c>
      <c r="C3" s="29">
        <v>900</v>
      </c>
      <c r="D3" s="30" t="s">
        <v>21</v>
      </c>
      <c r="E3" s="31"/>
      <c r="F3" s="38">
        <v>6</v>
      </c>
      <c r="G3" s="31">
        <f>C3*F3</f>
        <v>5400</v>
      </c>
      <c r="H3" s="32">
        <f>G3*0.9</f>
        <v>4860</v>
      </c>
      <c r="I3" s="11"/>
      <c r="J3" s="7"/>
      <c r="K3" s="7"/>
      <c r="L3" s="15"/>
      <c r="M3" s="15"/>
      <c r="N3" s="6"/>
    </row>
    <row r="4" spans="1:14" s="1" customFormat="1" ht="21.75" customHeight="1">
      <c r="A4" s="27"/>
      <c r="B4" s="28"/>
      <c r="C4" s="29"/>
      <c r="D4" s="30"/>
      <c r="E4" s="31"/>
      <c r="F4" s="30"/>
      <c r="G4" s="31"/>
      <c r="H4" s="42">
        <f>SUM(H2:H3)</f>
        <v>7155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84</v>
      </c>
      <c r="B5" s="28">
        <v>44788</v>
      </c>
      <c r="C5" s="29">
        <v>600</v>
      </c>
      <c r="D5" s="30">
        <v>155</v>
      </c>
      <c r="E5" s="31">
        <v>93205.99</v>
      </c>
      <c r="F5" s="30">
        <v>155.5</v>
      </c>
      <c r="G5" s="31">
        <v>93093.35</v>
      </c>
      <c r="H5" s="32">
        <f>G5-E5</f>
        <v>-112.63999999999942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38</v>
      </c>
      <c r="B6" s="28">
        <v>44796</v>
      </c>
      <c r="C6" s="29">
        <v>3000</v>
      </c>
      <c r="D6" s="30">
        <v>57.5</v>
      </c>
      <c r="E6" s="31">
        <v>172882.08</v>
      </c>
      <c r="F6" s="30">
        <v>59</v>
      </c>
      <c r="G6" s="31">
        <v>176607.96</v>
      </c>
      <c r="H6" s="32">
        <f>G6-E6</f>
        <v>3725.8800000000047</v>
      </c>
      <c r="I6" s="11"/>
      <c r="J6" s="7"/>
      <c r="K6" s="7"/>
      <c r="L6" s="15"/>
      <c r="M6" s="15"/>
      <c r="N6" s="6"/>
    </row>
    <row r="7" spans="1:14" ht="21.75" customHeight="1">
      <c r="A7" s="26"/>
      <c r="B7" s="28"/>
      <c r="C7" s="29"/>
      <c r="D7" s="33"/>
      <c r="E7" s="32">
        <f>SUM(E5:E6)</f>
        <v>266088.07</v>
      </c>
      <c r="F7" s="30"/>
      <c r="G7" s="32">
        <f>SUM(G5:G6)</f>
        <v>269701.31</v>
      </c>
      <c r="H7" s="45">
        <f>SUM(H5:H6)</f>
        <v>3613.2400000000052</v>
      </c>
      <c r="K7" s="7"/>
      <c r="L7" s="15"/>
      <c r="M7" s="15"/>
    </row>
    <row r="8" spans="1:14" s="1" customFormat="1" ht="21.75" customHeight="1">
      <c r="A8" s="26"/>
      <c r="B8" s="28"/>
      <c r="C8" s="29"/>
      <c r="D8" s="33"/>
      <c r="E8" s="32"/>
      <c r="F8" s="30"/>
      <c r="G8" s="32" t="s">
        <v>53</v>
      </c>
      <c r="H8" s="42">
        <f>H4+H7</f>
        <v>10768.240000000005</v>
      </c>
      <c r="I8" s="11"/>
      <c r="J8" s="7"/>
      <c r="K8" s="7"/>
      <c r="L8" s="15"/>
      <c r="M8" s="15"/>
      <c r="N8" s="6"/>
    </row>
    <row r="9" spans="1:14" ht="21.75" customHeight="1">
      <c r="A9" s="26"/>
      <c r="B9" s="28"/>
      <c r="C9" s="29"/>
      <c r="D9" s="33"/>
      <c r="E9" s="32"/>
      <c r="F9" s="30"/>
      <c r="G9" s="32" t="s">
        <v>54</v>
      </c>
      <c r="H9" s="32">
        <v>367949.4420000001</v>
      </c>
      <c r="K9" s="7"/>
      <c r="L9" s="15"/>
      <c r="M9" s="15"/>
    </row>
    <row r="10" spans="1:14" ht="21.75" customHeight="1">
      <c r="A10" s="26"/>
      <c r="B10" s="28"/>
      <c r="C10" s="29"/>
      <c r="D10" s="33"/>
      <c r="E10" s="32"/>
      <c r="F10" s="30"/>
      <c r="G10" s="32" t="s">
        <v>55</v>
      </c>
      <c r="H10" s="42">
        <f>H8+H9</f>
        <v>378717.68200000009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16</v>
      </c>
      <c r="H11" s="35">
        <v>414400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86</v>
      </c>
      <c r="H12" s="35">
        <v>53940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18</v>
      </c>
      <c r="H13" s="42">
        <f>H11+H12</f>
        <v>468340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5"/>
      <c r="B14" s="12"/>
      <c r="C14" s="8"/>
      <c r="D14" s="9"/>
      <c r="E14" s="7"/>
      <c r="F14" s="10"/>
      <c r="G14" s="32" t="s">
        <v>19</v>
      </c>
      <c r="H14" s="48">
        <f>H10-H13</f>
        <v>-89622.317999999912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9" t="s">
        <v>57</v>
      </c>
      <c r="H15" s="39">
        <v>112000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"/>
      <c r="B16" s="12"/>
      <c r="C16" s="8"/>
      <c r="D16" s="10"/>
      <c r="E16" s="14"/>
      <c r="F16" s="10"/>
      <c r="G16" s="39" t="s">
        <v>58</v>
      </c>
      <c r="H16" s="43">
        <f>H14+H15</f>
        <v>22377.682000000088</v>
      </c>
      <c r="I16" s="11"/>
      <c r="J16" s="7"/>
      <c r="K16" s="7"/>
      <c r="L16" s="15"/>
      <c r="M16" s="15"/>
      <c r="N16" s="6"/>
    </row>
    <row r="17" spans="3:13">
      <c r="K17" s="7"/>
      <c r="M17" s="7"/>
    </row>
    <row r="18" spans="3:13">
      <c r="M18" s="7"/>
    </row>
    <row r="19" spans="3:13">
      <c r="M19" s="7"/>
    </row>
    <row r="20" spans="3:1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C27F-8D9C-4413-896B-92A14FAE71F8}">
  <dimension ref="A1:N41"/>
  <sheetViews>
    <sheetView workbookViewId="0">
      <pane ySplit="1" topLeftCell="C29" activePane="bottomLeft" state="frozen"/>
      <selection pane="bottomLeft" activeCell="H31" sqref="H31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9.28515625" style="8" bestFit="1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87</v>
      </c>
      <c r="B2" s="28">
        <v>44806</v>
      </c>
      <c r="C2" s="29">
        <v>5000</v>
      </c>
      <c r="D2" s="30" t="s">
        <v>21</v>
      </c>
      <c r="E2" s="31"/>
      <c r="F2" s="38">
        <v>0.28000000000000003</v>
      </c>
      <c r="G2" s="31">
        <f t="shared" ref="G2:G22" si="0">C2*F2</f>
        <v>1400.0000000000002</v>
      </c>
      <c r="H2" s="32">
        <f>G2*0.9</f>
        <v>1260.0000000000002</v>
      </c>
      <c r="I2" s="11"/>
      <c r="J2" s="7"/>
      <c r="K2" s="7"/>
      <c r="L2" s="15"/>
      <c r="M2" s="15"/>
      <c r="N2" s="6"/>
    </row>
    <row r="3" spans="1:14" s="1" customFormat="1" ht="21">
      <c r="A3" s="27" t="s">
        <v>72</v>
      </c>
      <c r="B3" s="28">
        <v>44806</v>
      </c>
      <c r="C3" s="29">
        <v>15000</v>
      </c>
      <c r="D3" s="30" t="s">
        <v>21</v>
      </c>
      <c r="E3" s="31"/>
      <c r="F3" s="38">
        <v>1.75</v>
      </c>
      <c r="G3" s="31">
        <f t="shared" si="0"/>
        <v>26250</v>
      </c>
      <c r="H3" s="32">
        <f>G3*0.9</f>
        <v>23625</v>
      </c>
      <c r="I3" s="11"/>
      <c r="J3" s="7"/>
      <c r="K3" s="7"/>
      <c r="L3" s="15"/>
      <c r="M3" s="15"/>
      <c r="N3" s="6"/>
    </row>
    <row r="4" spans="1:14" s="1" customFormat="1" ht="21">
      <c r="A4" s="27" t="s">
        <v>88</v>
      </c>
      <c r="B4" s="28">
        <v>44806</v>
      </c>
      <c r="C4" s="29">
        <v>15000</v>
      </c>
      <c r="D4" s="30" t="s">
        <v>21</v>
      </c>
      <c r="E4" s="31"/>
      <c r="F4" s="38">
        <v>0.1</v>
      </c>
      <c r="G4" s="31">
        <f t="shared" si="0"/>
        <v>1500</v>
      </c>
      <c r="H4" s="32">
        <f>G4</f>
        <v>1500</v>
      </c>
      <c r="I4" s="11"/>
      <c r="J4" s="7"/>
      <c r="K4" s="7"/>
      <c r="L4" s="15"/>
      <c r="M4" s="15"/>
      <c r="N4" s="6"/>
    </row>
    <row r="5" spans="1:14" s="1" customFormat="1" ht="21">
      <c r="A5" s="27" t="s">
        <v>79</v>
      </c>
      <c r="B5" s="28">
        <v>44806</v>
      </c>
      <c r="C5" s="29">
        <v>30000</v>
      </c>
      <c r="D5" s="30" t="s">
        <v>21</v>
      </c>
      <c r="E5" s="31"/>
      <c r="F5" s="38">
        <v>0.192</v>
      </c>
      <c r="G5" s="31">
        <f t="shared" si="0"/>
        <v>5760</v>
      </c>
      <c r="H5" s="32">
        <f>G5*0.9</f>
        <v>5184</v>
      </c>
      <c r="I5" s="11"/>
      <c r="J5" s="7"/>
      <c r="K5" s="7"/>
      <c r="L5" s="15"/>
      <c r="M5" s="15"/>
      <c r="N5" s="6"/>
    </row>
    <row r="6" spans="1:14" s="1" customFormat="1" ht="21">
      <c r="A6" s="27" t="s">
        <v>28</v>
      </c>
      <c r="B6" s="28">
        <v>44809</v>
      </c>
      <c r="C6" s="29">
        <v>40000</v>
      </c>
      <c r="D6" s="30" t="s">
        <v>21</v>
      </c>
      <c r="E6" s="31"/>
      <c r="F6" s="38">
        <v>0.26</v>
      </c>
      <c r="G6" s="31">
        <f t="shared" si="0"/>
        <v>10400</v>
      </c>
      <c r="H6" s="32">
        <f>G6</f>
        <v>10400</v>
      </c>
      <c r="I6" s="11"/>
      <c r="J6" s="7"/>
      <c r="K6" s="7"/>
      <c r="L6" s="15"/>
      <c r="M6" s="15"/>
      <c r="N6" s="6"/>
    </row>
    <row r="7" spans="1:14" s="1" customFormat="1" ht="21">
      <c r="A7" s="27" t="s">
        <v>89</v>
      </c>
      <c r="B7" s="28">
        <v>44809</v>
      </c>
      <c r="C7" s="29">
        <v>18000</v>
      </c>
      <c r="D7" s="30" t="s">
        <v>21</v>
      </c>
      <c r="E7" s="31"/>
      <c r="F7" s="38">
        <v>0.18</v>
      </c>
      <c r="G7" s="31">
        <f t="shared" si="0"/>
        <v>3240</v>
      </c>
      <c r="H7" s="32">
        <f>G7*0.9</f>
        <v>2916</v>
      </c>
      <c r="I7" s="11"/>
      <c r="J7" s="7"/>
      <c r="K7" s="7"/>
      <c r="L7" s="15"/>
      <c r="M7" s="15"/>
      <c r="N7" s="6"/>
    </row>
    <row r="8" spans="1:14" s="1" customFormat="1" ht="21">
      <c r="A8" s="27" t="s">
        <v>22</v>
      </c>
      <c r="B8" s="28">
        <v>44810</v>
      </c>
      <c r="C8" s="29">
        <v>60000</v>
      </c>
      <c r="D8" s="30" t="s">
        <v>21</v>
      </c>
      <c r="E8" s="31"/>
      <c r="F8" s="38">
        <v>3.5000000000000003E-2</v>
      </c>
      <c r="G8" s="31">
        <f t="shared" si="0"/>
        <v>2100</v>
      </c>
      <c r="H8" s="32">
        <f>G8*0.9</f>
        <v>1890</v>
      </c>
      <c r="I8" s="11"/>
      <c r="J8" s="7"/>
      <c r="K8" s="7"/>
      <c r="L8" s="15"/>
      <c r="M8" s="15"/>
      <c r="N8" s="6"/>
    </row>
    <row r="9" spans="1:14" s="1" customFormat="1" ht="21">
      <c r="A9" s="27" t="s">
        <v>63</v>
      </c>
      <c r="B9" s="28">
        <v>44810</v>
      </c>
      <c r="C9" s="29">
        <v>130000</v>
      </c>
      <c r="D9" s="30" t="s">
        <v>21</v>
      </c>
      <c r="E9" s="31"/>
      <c r="F9" s="38">
        <v>0.23</v>
      </c>
      <c r="G9" s="31">
        <f t="shared" si="0"/>
        <v>29900</v>
      </c>
      <c r="H9" s="32">
        <f>G9</f>
        <v>29900</v>
      </c>
      <c r="I9" s="11"/>
      <c r="J9" s="7"/>
      <c r="K9" s="7"/>
      <c r="L9" s="15"/>
      <c r="M9" s="15"/>
      <c r="N9" s="6"/>
    </row>
    <row r="10" spans="1:14" s="1" customFormat="1" ht="21">
      <c r="A10" s="27" t="s">
        <v>13</v>
      </c>
      <c r="B10" s="28">
        <v>44810</v>
      </c>
      <c r="C10" s="29">
        <v>7500</v>
      </c>
      <c r="D10" s="30" t="s">
        <v>21</v>
      </c>
      <c r="E10" s="31"/>
      <c r="F10" s="38">
        <v>0.18</v>
      </c>
      <c r="G10" s="31">
        <f t="shared" si="0"/>
        <v>1350</v>
      </c>
      <c r="H10" s="32">
        <f>G10*0.9</f>
        <v>1215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67</v>
      </c>
      <c r="B11" s="28">
        <v>44811</v>
      </c>
      <c r="C11" s="29">
        <v>27000</v>
      </c>
      <c r="D11" s="30" t="s">
        <v>21</v>
      </c>
      <c r="E11" s="31"/>
      <c r="F11" s="38">
        <v>7.0000000000000007E-2</v>
      </c>
      <c r="G11" s="31">
        <f t="shared" si="0"/>
        <v>1890.0000000000002</v>
      </c>
      <c r="H11" s="32">
        <f>G11</f>
        <v>1890.0000000000002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12</v>
      </c>
      <c r="B12" s="28">
        <v>44812</v>
      </c>
      <c r="C12" s="29">
        <v>22500</v>
      </c>
      <c r="D12" s="30" t="s">
        <v>21</v>
      </c>
      <c r="E12" s="31"/>
      <c r="F12" s="38">
        <v>1</v>
      </c>
      <c r="G12" s="31">
        <f t="shared" si="0"/>
        <v>22500</v>
      </c>
      <c r="H12" s="32">
        <v>20587.5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70</v>
      </c>
      <c r="B13" s="28">
        <v>44813</v>
      </c>
      <c r="C13" s="29">
        <v>30000</v>
      </c>
      <c r="D13" s="30" t="s">
        <v>21</v>
      </c>
      <c r="E13" s="31"/>
      <c r="F13" s="38">
        <v>7.0000000000000007E-2</v>
      </c>
      <c r="G13" s="31">
        <f t="shared" si="0"/>
        <v>2100</v>
      </c>
      <c r="H13" s="32">
        <f>G13*0.9</f>
        <v>1890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15</v>
      </c>
      <c r="B14" s="28">
        <v>44813</v>
      </c>
      <c r="C14" s="29">
        <v>15000</v>
      </c>
      <c r="D14" s="30" t="s">
        <v>21</v>
      </c>
      <c r="E14" s="31"/>
      <c r="F14" s="38">
        <v>1</v>
      </c>
      <c r="G14" s="31">
        <f t="shared" si="0"/>
        <v>15000</v>
      </c>
      <c r="H14" s="32">
        <v>14085</v>
      </c>
      <c r="I14" s="11"/>
      <c r="J14" s="7"/>
      <c r="K14" s="7"/>
      <c r="L14" s="15"/>
      <c r="M14" s="15"/>
      <c r="N14" s="6"/>
    </row>
    <row r="15" spans="1:14" s="1" customFormat="1" ht="21">
      <c r="A15" s="27" t="s">
        <v>76</v>
      </c>
      <c r="B15" s="28">
        <v>44813</v>
      </c>
      <c r="C15" s="29">
        <v>105000</v>
      </c>
      <c r="D15" s="30" t="s">
        <v>21</v>
      </c>
      <c r="E15" s="31"/>
      <c r="F15" s="38">
        <v>0.12692000000000001</v>
      </c>
      <c r="G15" s="31">
        <f t="shared" si="0"/>
        <v>13326.6</v>
      </c>
      <c r="H15" s="32">
        <v>12060.51</v>
      </c>
      <c r="I15" s="11"/>
      <c r="J15" s="7"/>
      <c r="K15" s="7"/>
      <c r="L15" s="15"/>
      <c r="M15" s="15"/>
      <c r="N15" s="6"/>
    </row>
    <row r="16" spans="1:14" s="1" customFormat="1" ht="21">
      <c r="A16" s="27" t="s">
        <v>68</v>
      </c>
      <c r="B16" s="28">
        <v>44813</v>
      </c>
      <c r="C16" s="29">
        <v>48000</v>
      </c>
      <c r="D16" s="30" t="s">
        <v>21</v>
      </c>
      <c r="E16" s="31"/>
      <c r="F16" s="38">
        <v>0.15</v>
      </c>
      <c r="G16" s="31">
        <f t="shared" si="0"/>
        <v>7200</v>
      </c>
      <c r="H16" s="32">
        <f t="shared" ref="H16:H22" si="1">G16*0.9</f>
        <v>6480</v>
      </c>
      <c r="I16" s="11"/>
      <c r="J16" s="7"/>
      <c r="K16" s="7"/>
      <c r="L16" s="15"/>
      <c r="M16" s="15"/>
      <c r="N16" s="6"/>
    </row>
    <row r="17" spans="1:14" s="1" customFormat="1" ht="21">
      <c r="A17" s="27" t="s">
        <v>74</v>
      </c>
      <c r="B17" s="28">
        <v>44817</v>
      </c>
      <c r="C17" s="29">
        <v>45000</v>
      </c>
      <c r="D17" s="30" t="s">
        <v>21</v>
      </c>
      <c r="E17" s="31"/>
      <c r="F17" s="38">
        <v>0.15</v>
      </c>
      <c r="G17" s="31">
        <f t="shared" si="0"/>
        <v>6750</v>
      </c>
      <c r="H17" s="32">
        <f t="shared" si="1"/>
        <v>6075</v>
      </c>
      <c r="I17" s="11"/>
      <c r="J17" s="7"/>
      <c r="K17" s="7"/>
      <c r="L17" s="15"/>
      <c r="M17" s="15"/>
      <c r="N17" s="6"/>
    </row>
    <row r="18" spans="1:14" s="1" customFormat="1" ht="21">
      <c r="A18" s="27" t="s">
        <v>73</v>
      </c>
      <c r="B18" s="28">
        <v>44818</v>
      </c>
      <c r="C18" s="29">
        <v>21000</v>
      </c>
      <c r="D18" s="30" t="s">
        <v>21</v>
      </c>
      <c r="E18" s="31"/>
      <c r="F18" s="38">
        <v>0.4</v>
      </c>
      <c r="G18" s="31">
        <f t="shared" si="0"/>
        <v>8400</v>
      </c>
      <c r="H18" s="32">
        <f t="shared" si="1"/>
        <v>7560</v>
      </c>
      <c r="I18" s="11"/>
      <c r="J18" s="7"/>
      <c r="K18" s="7"/>
      <c r="L18" s="15"/>
      <c r="M18" s="15"/>
      <c r="N18" s="6"/>
    </row>
    <row r="19" spans="1:14" s="1" customFormat="1" ht="21">
      <c r="A19" s="27" t="s">
        <v>90</v>
      </c>
      <c r="B19" s="28">
        <v>44818</v>
      </c>
      <c r="C19" s="29">
        <v>10000</v>
      </c>
      <c r="D19" s="30" t="s">
        <v>21</v>
      </c>
      <c r="E19" s="31"/>
      <c r="F19" s="38">
        <v>0.20100000000000001</v>
      </c>
      <c r="G19" s="31">
        <f t="shared" si="0"/>
        <v>2010.0000000000002</v>
      </c>
      <c r="H19" s="32">
        <f t="shared" si="1"/>
        <v>1809.0000000000002</v>
      </c>
      <c r="I19" s="11"/>
      <c r="J19" s="7"/>
      <c r="K19" s="7"/>
      <c r="L19" s="15"/>
      <c r="M19" s="15"/>
      <c r="N19" s="6"/>
    </row>
    <row r="20" spans="1:14" s="1" customFormat="1" ht="21">
      <c r="A20" s="27" t="s">
        <v>33</v>
      </c>
      <c r="B20" s="28">
        <v>44819</v>
      </c>
      <c r="C20" s="29">
        <v>2400</v>
      </c>
      <c r="D20" s="30" t="s">
        <v>21</v>
      </c>
      <c r="E20" s="31"/>
      <c r="F20" s="38">
        <v>0.4</v>
      </c>
      <c r="G20" s="31">
        <f t="shared" si="0"/>
        <v>960</v>
      </c>
      <c r="H20" s="32">
        <f t="shared" si="1"/>
        <v>864</v>
      </c>
      <c r="I20" s="11"/>
      <c r="J20" s="7"/>
      <c r="K20" s="7"/>
      <c r="L20" s="15"/>
      <c r="M20" s="15"/>
      <c r="N20" s="6"/>
    </row>
    <row r="21" spans="1:14" s="1" customFormat="1" ht="21">
      <c r="A21" s="27" t="s">
        <v>14</v>
      </c>
      <c r="B21" s="28">
        <v>44823</v>
      </c>
      <c r="C21" s="29">
        <v>40000</v>
      </c>
      <c r="D21" s="30" t="s">
        <v>21</v>
      </c>
      <c r="E21" s="31"/>
      <c r="F21" s="38">
        <v>0.15559999999999999</v>
      </c>
      <c r="G21" s="31">
        <f t="shared" si="0"/>
        <v>6223.9999999999991</v>
      </c>
      <c r="H21" s="32">
        <f t="shared" si="1"/>
        <v>5601.5999999999995</v>
      </c>
      <c r="I21" s="11"/>
      <c r="J21" s="7"/>
      <c r="K21" s="7"/>
      <c r="L21" s="15"/>
      <c r="M21" s="15"/>
      <c r="N21" s="6"/>
    </row>
    <row r="22" spans="1:14" s="1" customFormat="1" ht="21">
      <c r="A22" s="27" t="s">
        <v>11</v>
      </c>
      <c r="B22" s="28">
        <v>44825</v>
      </c>
      <c r="C22" s="29">
        <v>12000</v>
      </c>
      <c r="D22" s="30" t="s">
        <v>21</v>
      </c>
      <c r="E22" s="31"/>
      <c r="F22" s="38">
        <v>0.75</v>
      </c>
      <c r="G22" s="31">
        <f t="shared" si="0"/>
        <v>9000</v>
      </c>
      <c r="H22" s="32">
        <f t="shared" si="1"/>
        <v>8100</v>
      </c>
      <c r="I22" s="11"/>
      <c r="J22" s="7"/>
      <c r="K22" s="7"/>
      <c r="L22" s="15"/>
      <c r="M22" s="15"/>
      <c r="N22" s="6"/>
    </row>
    <row r="23" spans="1:14" s="1" customFormat="1" ht="21.75" customHeight="1">
      <c r="A23" s="27"/>
      <c r="B23" s="28"/>
      <c r="C23" s="29"/>
      <c r="D23" s="30"/>
      <c r="E23" s="31"/>
      <c r="F23" s="30"/>
      <c r="G23" s="31"/>
      <c r="H23" s="34">
        <f>SUM(H2:H22)</f>
        <v>164892.61000000002</v>
      </c>
      <c r="I23" s="11"/>
      <c r="J23" s="7"/>
      <c r="K23" s="7"/>
      <c r="L23" s="15"/>
      <c r="M23" s="15"/>
      <c r="N23" s="6"/>
    </row>
    <row r="24" spans="1:14" s="1" customFormat="1" ht="21.75" customHeight="1">
      <c r="A24" s="27" t="s">
        <v>73</v>
      </c>
      <c r="B24" s="28">
        <v>44805</v>
      </c>
      <c r="C24" s="29">
        <v>3000</v>
      </c>
      <c r="D24" s="30">
        <v>18.5</v>
      </c>
      <c r="E24" s="31">
        <v>55622.93</v>
      </c>
      <c r="F24" s="30">
        <v>19</v>
      </c>
      <c r="G24" s="31">
        <v>56873.75</v>
      </c>
      <c r="H24" s="32">
        <f>G24-E24</f>
        <v>1250.8199999999997</v>
      </c>
      <c r="I24" s="11"/>
      <c r="J24" s="7"/>
      <c r="K24" s="7"/>
      <c r="L24" s="15"/>
      <c r="M24" s="15"/>
      <c r="N24" s="6"/>
    </row>
    <row r="25" spans="1:14" s="1" customFormat="1" ht="21.75" customHeight="1">
      <c r="A25" s="27" t="s">
        <v>71</v>
      </c>
      <c r="B25" s="28">
        <v>44809</v>
      </c>
      <c r="C25" s="29">
        <v>60000</v>
      </c>
      <c r="D25" s="30">
        <v>1.7</v>
      </c>
      <c r="E25" s="31">
        <v>102225.92</v>
      </c>
      <c r="F25" s="30">
        <v>1.71</v>
      </c>
      <c r="G25" s="31">
        <v>102372.75</v>
      </c>
      <c r="H25" s="32">
        <f>G25-E25</f>
        <v>146.83000000000175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27" t="s">
        <v>63</v>
      </c>
      <c r="B26" s="28">
        <v>44813</v>
      </c>
      <c r="C26" s="29">
        <v>10000</v>
      </c>
      <c r="D26" s="30">
        <v>7.85</v>
      </c>
      <c r="E26" s="31">
        <v>78673.88</v>
      </c>
      <c r="F26" s="30">
        <v>8.25</v>
      </c>
      <c r="G26" s="31">
        <v>82317.27</v>
      </c>
      <c r="H26" s="32">
        <f>G26-E26</f>
        <v>3643.3899999999994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27" t="s">
        <v>91</v>
      </c>
      <c r="B27" s="28">
        <v>44816</v>
      </c>
      <c r="C27" s="29">
        <v>7500</v>
      </c>
      <c r="D27" s="30">
        <v>14</v>
      </c>
      <c r="E27" s="31">
        <v>105232.56</v>
      </c>
      <c r="F27" s="30">
        <v>14.5</v>
      </c>
      <c r="G27" s="31">
        <v>108509.13</v>
      </c>
      <c r="H27" s="32">
        <f>G27-E27</f>
        <v>3276.570000000007</v>
      </c>
      <c r="I27" s="11"/>
      <c r="J27" s="7"/>
      <c r="K27" s="7"/>
      <c r="L27" s="15"/>
      <c r="M27" s="15"/>
      <c r="N27" s="6"/>
    </row>
    <row r="28" spans="1:14" ht="21.75" customHeight="1">
      <c r="A28" s="26"/>
      <c r="B28" s="28"/>
      <c r="C28" s="29"/>
      <c r="D28" s="33"/>
      <c r="E28" s="32">
        <f>SUM(E24:E27)</f>
        <v>341755.29000000004</v>
      </c>
      <c r="F28" s="30"/>
      <c r="G28" s="32">
        <f>SUM(G24:G27)</f>
        <v>350072.9</v>
      </c>
      <c r="H28" s="44">
        <f>SUM(H24:H27)</f>
        <v>8317.6100000000079</v>
      </c>
      <c r="K28" s="7"/>
      <c r="L28" s="15"/>
      <c r="M28" s="15"/>
    </row>
    <row r="29" spans="1:14" s="1" customFormat="1" ht="21.75" customHeight="1">
      <c r="A29" s="26"/>
      <c r="B29" s="28"/>
      <c r="C29" s="29"/>
      <c r="D29" s="33"/>
      <c r="E29" s="32"/>
      <c r="F29" s="30"/>
      <c r="G29" s="32" t="s">
        <v>53</v>
      </c>
      <c r="H29" s="34">
        <f>H23+H28</f>
        <v>173210.22000000003</v>
      </c>
      <c r="I29" s="11"/>
      <c r="J29" s="7"/>
      <c r="K29" s="7"/>
      <c r="L29" s="15"/>
      <c r="M29" s="15"/>
      <c r="N29" s="6"/>
    </row>
    <row r="30" spans="1:14" ht="21.75" customHeight="1">
      <c r="A30" s="26"/>
      <c r="B30" s="28"/>
      <c r="C30" s="29"/>
      <c r="D30" s="33"/>
      <c r="E30" s="32"/>
      <c r="F30" s="30"/>
      <c r="G30" s="32" t="s">
        <v>54</v>
      </c>
      <c r="H30" s="32">
        <v>378717.68200000009</v>
      </c>
      <c r="K30" s="7"/>
      <c r="L30" s="15"/>
      <c r="M30" s="15"/>
    </row>
    <row r="31" spans="1:14" ht="21.75" customHeight="1">
      <c r="A31" s="26"/>
      <c r="B31" s="28"/>
      <c r="C31" s="29"/>
      <c r="D31" s="33"/>
      <c r="E31" s="32"/>
      <c r="F31" s="30"/>
      <c r="G31" s="32" t="s">
        <v>55</v>
      </c>
      <c r="H31" s="42">
        <f>H29+H30</f>
        <v>551927.90200000012</v>
      </c>
      <c r="K31" s="7"/>
      <c r="L31" s="15"/>
      <c r="M31" s="15"/>
    </row>
    <row r="32" spans="1:14" ht="21.75" customHeight="1">
      <c r="A32" s="26"/>
      <c r="B32" s="28"/>
      <c r="C32" s="29"/>
      <c r="D32" s="33"/>
      <c r="E32" s="32"/>
      <c r="F32" s="30"/>
      <c r="G32" s="32" t="s">
        <v>16</v>
      </c>
      <c r="H32" s="35">
        <v>468340</v>
      </c>
      <c r="K32" s="7"/>
      <c r="L32" s="15"/>
      <c r="M32" s="15"/>
    </row>
    <row r="33" spans="1:14" ht="21.75" customHeight="1">
      <c r="A33" s="26"/>
      <c r="B33" s="28"/>
      <c r="C33" s="29"/>
      <c r="D33" s="33"/>
      <c r="E33" s="32"/>
      <c r="F33" s="30"/>
      <c r="G33" s="32" t="s">
        <v>92</v>
      </c>
      <c r="H33" s="35">
        <v>35345</v>
      </c>
      <c r="K33" s="7"/>
      <c r="L33" s="15"/>
      <c r="M33" s="15"/>
    </row>
    <row r="34" spans="1:14" s="1" customFormat="1" ht="21.75" customHeight="1">
      <c r="A34" s="26"/>
      <c r="B34" s="28"/>
      <c r="C34" s="29"/>
      <c r="D34" s="33"/>
      <c r="E34" s="32"/>
      <c r="F34" s="30"/>
      <c r="G34" s="32" t="s">
        <v>18</v>
      </c>
      <c r="H34" s="42">
        <f>H32+H33</f>
        <v>503685</v>
      </c>
      <c r="I34" s="11"/>
      <c r="J34" s="7"/>
      <c r="K34" s="7"/>
      <c r="L34" s="15"/>
      <c r="M34" s="15"/>
      <c r="N34" s="6"/>
    </row>
    <row r="35" spans="1:14" s="1" customFormat="1" ht="21.75" customHeight="1">
      <c r="A35" s="5"/>
      <c r="B35" s="12"/>
      <c r="C35" s="8"/>
      <c r="D35" s="9"/>
      <c r="E35" s="7"/>
      <c r="F35" s="10"/>
      <c r="G35" s="32" t="s">
        <v>19</v>
      </c>
      <c r="H35" s="46">
        <f>H31-H34</f>
        <v>48242.902000000118</v>
      </c>
      <c r="I35" s="11"/>
      <c r="J35" s="7"/>
      <c r="K35" s="7"/>
      <c r="L35" s="15"/>
      <c r="M35" s="15"/>
      <c r="N35" s="6"/>
    </row>
    <row r="36" spans="1:14" s="1" customFormat="1" ht="21.75" customHeight="1">
      <c r="A36" s="5"/>
      <c r="B36" s="12"/>
      <c r="C36" s="8"/>
      <c r="D36" s="9"/>
      <c r="E36" s="7"/>
      <c r="F36" s="10"/>
      <c r="G36" s="39" t="s">
        <v>57</v>
      </c>
      <c r="H36" s="39">
        <v>112000</v>
      </c>
      <c r="I36" s="11"/>
      <c r="J36" s="7"/>
      <c r="K36" s="7"/>
      <c r="L36" s="15"/>
      <c r="M36" s="15"/>
      <c r="N36" s="6"/>
    </row>
    <row r="37" spans="1:14" s="1" customFormat="1" ht="21.75" customHeight="1">
      <c r="A37" s="6"/>
      <c r="B37" s="12"/>
      <c r="C37" s="8"/>
      <c r="D37" s="10"/>
      <c r="E37" s="14"/>
      <c r="F37" s="10"/>
      <c r="G37" s="39" t="s">
        <v>58</v>
      </c>
      <c r="H37" s="43">
        <f>H35+H36</f>
        <v>160242.90200000012</v>
      </c>
      <c r="I37" s="11"/>
      <c r="J37" s="7"/>
      <c r="K37" s="7"/>
      <c r="L37" s="15"/>
      <c r="M37" s="15"/>
      <c r="N37" s="6"/>
    </row>
    <row r="38" spans="1:14">
      <c r="K38" s="7"/>
      <c r="M38" s="7"/>
    </row>
    <row r="39" spans="1:14">
      <c r="M39" s="7"/>
    </row>
    <row r="40" spans="1:14">
      <c r="M40" s="7"/>
    </row>
    <row r="41" spans="1:14">
      <c r="C41" s="12"/>
      <c r="D41" s="8"/>
      <c r="E41" s="9"/>
      <c r="F41" s="7"/>
      <c r="G41" s="10"/>
      <c r="I41" s="7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3FB-8409-48F5-A2B7-3BA9D395158E}">
  <dimension ref="A1:N21"/>
  <sheetViews>
    <sheetView workbookViewId="0">
      <pane ySplit="1" topLeftCell="A5" activePane="bottomLeft" state="frozen"/>
      <selection pane="bottomLeft" activeCell="H11" sqref="H11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64</v>
      </c>
      <c r="B2" s="28">
        <v>44846</v>
      </c>
      <c r="C2" s="29">
        <v>4500</v>
      </c>
      <c r="D2" s="30" t="s">
        <v>21</v>
      </c>
      <c r="E2" s="31"/>
      <c r="F2" s="38">
        <v>1.3</v>
      </c>
      <c r="G2" s="31">
        <f>C2*F2</f>
        <v>5850</v>
      </c>
      <c r="H2" s="32">
        <f>G2*0.9</f>
        <v>5265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5265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60</v>
      </c>
      <c r="B4" s="28">
        <v>44840</v>
      </c>
      <c r="C4" s="29">
        <v>4500</v>
      </c>
      <c r="D4" s="30">
        <v>37</v>
      </c>
      <c r="E4" s="31">
        <v>166868.79</v>
      </c>
      <c r="F4" s="30">
        <v>34.75</v>
      </c>
      <c r="G4" s="31">
        <v>156028.64000000001</v>
      </c>
      <c r="H4" s="41">
        <f>G4-E4</f>
        <v>-10840.149999999994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72</v>
      </c>
      <c r="B5" s="28">
        <v>44853</v>
      </c>
      <c r="C5" s="29">
        <v>3000</v>
      </c>
      <c r="D5" s="30">
        <v>27.75</v>
      </c>
      <c r="E5" s="31">
        <v>83434.39</v>
      </c>
      <c r="F5" s="30">
        <v>29.25</v>
      </c>
      <c r="G5" s="31">
        <v>87555.65</v>
      </c>
      <c r="H5" s="41">
        <f>G5-E5</f>
        <v>4121.2599999999948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73</v>
      </c>
      <c r="B6" s="28">
        <v>44860</v>
      </c>
      <c r="C6" s="29">
        <v>3000</v>
      </c>
      <c r="D6" s="30">
        <v>20.5</v>
      </c>
      <c r="E6" s="31">
        <v>61636.22</v>
      </c>
      <c r="F6" s="30">
        <v>18.399999999999999</v>
      </c>
      <c r="G6" s="31">
        <v>55077.74</v>
      </c>
      <c r="H6" s="41">
        <f>G6-E6</f>
        <v>-6558.4800000000032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11</v>
      </c>
      <c r="B7" s="28">
        <v>44865</v>
      </c>
      <c r="C7" s="29">
        <v>3000</v>
      </c>
      <c r="D7" s="30">
        <v>51.25</v>
      </c>
      <c r="E7" s="31">
        <v>154090.54</v>
      </c>
      <c r="F7" s="30">
        <v>43.5</v>
      </c>
      <c r="G7" s="31">
        <v>130210.95</v>
      </c>
      <c r="H7" s="41">
        <f>G7-E7</f>
        <v>-23879.590000000011</v>
      </c>
      <c r="I7" s="11"/>
      <c r="J7" s="7"/>
      <c r="K7" s="7"/>
      <c r="L7" s="15"/>
      <c r="M7" s="15"/>
      <c r="N7" s="6"/>
    </row>
    <row r="8" spans="1:14" ht="21.75" customHeight="1">
      <c r="A8" s="26"/>
      <c r="B8" s="28"/>
      <c r="C8" s="29"/>
      <c r="D8" s="33"/>
      <c r="E8" s="32">
        <f>SUM(E4:E7)</f>
        <v>466029.94000000006</v>
      </c>
      <c r="F8" s="30"/>
      <c r="G8" s="32">
        <f>SUM(G4:G7)</f>
        <v>428872.98000000004</v>
      </c>
      <c r="H8" s="41">
        <f>SUM(H4:H7)</f>
        <v>-37156.960000000014</v>
      </c>
      <c r="K8" s="7"/>
      <c r="L8" s="15"/>
      <c r="M8" s="15"/>
    </row>
    <row r="9" spans="1:14" s="1" customFormat="1" ht="21.75" customHeight="1">
      <c r="A9" s="26"/>
      <c r="B9" s="28"/>
      <c r="C9" s="29"/>
      <c r="D9" s="33"/>
      <c r="E9" s="32"/>
      <c r="F9" s="30"/>
      <c r="G9" s="32" t="s">
        <v>53</v>
      </c>
      <c r="H9" s="34">
        <f>H3+H8</f>
        <v>-31891.960000000014</v>
      </c>
      <c r="I9" s="11"/>
      <c r="J9" s="7"/>
      <c r="K9" s="7"/>
      <c r="L9" s="15"/>
      <c r="M9" s="15"/>
      <c r="N9" s="6"/>
    </row>
    <row r="10" spans="1:14" ht="21.75" customHeight="1">
      <c r="A10" s="26"/>
      <c r="B10" s="28"/>
      <c r="C10" s="29"/>
      <c r="D10" s="33"/>
      <c r="E10" s="32"/>
      <c r="F10" s="30"/>
      <c r="G10" s="32" t="s">
        <v>54</v>
      </c>
      <c r="H10" s="32">
        <v>551927.90200000012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55</v>
      </c>
      <c r="H11" s="42">
        <f>H9+H10</f>
        <v>520035.9420000001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16</v>
      </c>
      <c r="H12" s="35">
        <v>503685</v>
      </c>
      <c r="K12" s="7"/>
      <c r="L12" s="15"/>
      <c r="M12" s="15"/>
    </row>
    <row r="13" spans="1:14" ht="21.75" customHeight="1">
      <c r="A13" s="26"/>
      <c r="B13" s="28"/>
      <c r="C13" s="29"/>
      <c r="D13" s="33"/>
      <c r="E13" s="32"/>
      <c r="F13" s="30"/>
      <c r="G13" s="32" t="s">
        <v>93</v>
      </c>
      <c r="H13" s="35">
        <v>71130</v>
      </c>
      <c r="K13" s="7"/>
      <c r="L13" s="15"/>
      <c r="M13" s="15"/>
    </row>
    <row r="14" spans="1:14" s="1" customFormat="1" ht="21.75" customHeight="1">
      <c r="A14" s="26"/>
      <c r="B14" s="28"/>
      <c r="C14" s="29"/>
      <c r="D14" s="33"/>
      <c r="E14" s="32"/>
      <c r="F14" s="30"/>
      <c r="G14" s="32" t="s">
        <v>18</v>
      </c>
      <c r="H14" s="42">
        <f>H12+H13</f>
        <v>574815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2" t="s">
        <v>19</v>
      </c>
      <c r="H15" s="46">
        <f>H11-H14</f>
        <v>-54779.057999999903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5"/>
      <c r="B16" s="12"/>
      <c r="C16" s="8"/>
      <c r="D16" s="9"/>
      <c r="E16" s="7"/>
      <c r="F16" s="10"/>
      <c r="G16" s="39" t="s">
        <v>57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"/>
      <c r="B17" s="12"/>
      <c r="C17" s="8"/>
      <c r="D17" s="10"/>
      <c r="E17" s="14"/>
      <c r="F17" s="10"/>
      <c r="G17" s="39" t="s">
        <v>58</v>
      </c>
      <c r="H17" s="43">
        <f>H15+H16</f>
        <v>57220.942000000097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8757-5F3D-4FA1-98E2-779A87752594}">
  <dimension ref="A1:N25"/>
  <sheetViews>
    <sheetView workbookViewId="0">
      <pane ySplit="1" topLeftCell="A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64</v>
      </c>
      <c r="B2" s="28">
        <v>44846</v>
      </c>
      <c r="C2" s="29">
        <v>0</v>
      </c>
      <c r="D2" s="30" t="s">
        <v>21</v>
      </c>
      <c r="E2" s="31"/>
      <c r="F2" s="38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12</v>
      </c>
      <c r="B4" s="28">
        <v>44866</v>
      </c>
      <c r="C4" s="29">
        <v>2500</v>
      </c>
      <c r="D4" s="30">
        <v>25.75</v>
      </c>
      <c r="E4" s="31">
        <v>64517.59</v>
      </c>
      <c r="F4" s="30">
        <v>19.2</v>
      </c>
      <c r="G4" s="31">
        <v>47893.68</v>
      </c>
      <c r="H4" s="32">
        <f t="shared" ref="H4:H11" si="0">G4-E4</f>
        <v>-16623.909999999996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15</v>
      </c>
      <c r="B5" s="28">
        <v>44866</v>
      </c>
      <c r="C5" s="29">
        <v>1000</v>
      </c>
      <c r="D5" s="30">
        <v>57.5</v>
      </c>
      <c r="E5" s="31">
        <v>57627.360000000001</v>
      </c>
      <c r="F5" s="30">
        <v>44.25</v>
      </c>
      <c r="G5" s="31">
        <v>44151.99</v>
      </c>
      <c r="H5" s="32">
        <f t="shared" si="0"/>
        <v>-13475.370000000003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89</v>
      </c>
      <c r="B6" s="28">
        <v>44867</v>
      </c>
      <c r="C6" s="29">
        <v>3000</v>
      </c>
      <c r="D6" s="30">
        <v>24.5</v>
      </c>
      <c r="E6" s="31">
        <v>73662.8</v>
      </c>
      <c r="F6" s="30">
        <v>16.100000000000001</v>
      </c>
      <c r="G6" s="31">
        <v>48193.02</v>
      </c>
      <c r="H6" s="32">
        <f t="shared" si="0"/>
        <v>-25469.780000000006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85</v>
      </c>
      <c r="B7" s="28">
        <v>44872</v>
      </c>
      <c r="C7" s="29">
        <v>300</v>
      </c>
      <c r="D7" s="30">
        <v>384</v>
      </c>
      <c r="E7" s="31">
        <v>115455.15</v>
      </c>
      <c r="F7" s="30">
        <v>340</v>
      </c>
      <c r="G7" s="31">
        <v>101774.08</v>
      </c>
      <c r="H7" s="32">
        <f t="shared" si="0"/>
        <v>-13681.069999999992</v>
      </c>
      <c r="I7" s="11"/>
      <c r="J7" s="7"/>
      <c r="K7" s="7"/>
      <c r="L7" s="15"/>
      <c r="M7" s="15"/>
      <c r="N7" s="6"/>
    </row>
    <row r="8" spans="1:14" s="1" customFormat="1" ht="21.75" customHeight="1">
      <c r="A8" s="27" t="s">
        <v>88</v>
      </c>
      <c r="B8" s="28">
        <v>44873</v>
      </c>
      <c r="C8" s="29">
        <v>15000</v>
      </c>
      <c r="D8" s="30">
        <v>6.7</v>
      </c>
      <c r="E8" s="31">
        <v>100722.6</v>
      </c>
      <c r="F8" s="30">
        <v>6.15</v>
      </c>
      <c r="G8" s="31">
        <v>92045.67</v>
      </c>
      <c r="H8" s="32">
        <f t="shared" si="0"/>
        <v>-8676.9300000000076</v>
      </c>
      <c r="I8" s="11"/>
      <c r="J8" s="7"/>
      <c r="K8" s="7"/>
      <c r="L8" s="15"/>
      <c r="M8" s="15"/>
      <c r="N8" s="6"/>
    </row>
    <row r="9" spans="1:14" s="1" customFormat="1" ht="21.75" customHeight="1">
      <c r="A9" s="27" t="s">
        <v>51</v>
      </c>
      <c r="B9" s="28">
        <v>44880</v>
      </c>
      <c r="C9" s="29">
        <v>2400</v>
      </c>
      <c r="D9" s="30">
        <v>20.25</v>
      </c>
      <c r="E9" s="31">
        <v>48707.64</v>
      </c>
      <c r="F9" s="30">
        <v>13.7</v>
      </c>
      <c r="G9" s="31">
        <v>32807.18</v>
      </c>
      <c r="H9" s="32">
        <f t="shared" si="0"/>
        <v>-15900.46</v>
      </c>
      <c r="I9" s="11"/>
      <c r="J9" s="7"/>
      <c r="K9" s="7"/>
      <c r="L9" s="15"/>
      <c r="M9" s="15"/>
      <c r="N9" s="6"/>
    </row>
    <row r="10" spans="1:14" s="1" customFormat="1" ht="21.75" customHeight="1">
      <c r="A10" s="27" t="s">
        <v>51</v>
      </c>
      <c r="B10" s="28">
        <v>44886</v>
      </c>
      <c r="C10" s="29">
        <v>2400</v>
      </c>
      <c r="D10" s="30">
        <v>20.25</v>
      </c>
      <c r="E10" s="31">
        <v>48707.64</v>
      </c>
      <c r="F10" s="30">
        <v>14.2</v>
      </c>
      <c r="G10" s="31">
        <v>34004.51</v>
      </c>
      <c r="H10" s="32">
        <f t="shared" si="0"/>
        <v>-14703.129999999997</v>
      </c>
      <c r="I10" s="11"/>
      <c r="J10" s="7"/>
      <c r="K10" s="7"/>
      <c r="L10" s="15"/>
      <c r="M10" s="15"/>
      <c r="N10" s="6"/>
    </row>
    <row r="11" spans="1:14" s="1" customFormat="1" ht="21.75" customHeight="1">
      <c r="A11" s="27" t="s">
        <v>94</v>
      </c>
      <c r="B11" s="28">
        <v>44887</v>
      </c>
      <c r="C11" s="29">
        <v>500</v>
      </c>
      <c r="D11" s="30">
        <v>210</v>
      </c>
      <c r="E11" s="31">
        <v>105232.56</v>
      </c>
      <c r="F11" s="30">
        <v>220</v>
      </c>
      <c r="G11" s="31">
        <v>109756.36</v>
      </c>
      <c r="H11" s="32">
        <f t="shared" si="0"/>
        <v>4523.8000000000029</v>
      </c>
      <c r="I11" s="11"/>
      <c r="J11" s="7"/>
      <c r="K11" s="7"/>
      <c r="L11" s="15"/>
      <c r="M11" s="15"/>
      <c r="N11" s="6"/>
    </row>
    <row r="12" spans="1:14" ht="21.75" customHeight="1">
      <c r="A12" s="26"/>
      <c r="B12" s="28"/>
      <c r="C12" s="29"/>
      <c r="D12" s="33"/>
      <c r="E12" s="32">
        <f>SUM(E4:E11)</f>
        <v>614633.34000000008</v>
      </c>
      <c r="F12" s="30"/>
      <c r="G12" s="32">
        <f t="shared" ref="G12:H12" si="1">SUM(G4:G11)</f>
        <v>510626.49</v>
      </c>
      <c r="H12" s="32">
        <f t="shared" si="1"/>
        <v>-104006.85000000002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53</v>
      </c>
      <c r="H13" s="44">
        <f>H3+H12</f>
        <v>-104006.85000000002</v>
      </c>
      <c r="I13" s="11"/>
      <c r="J13" s="7"/>
      <c r="K13" s="7"/>
      <c r="L13" s="15"/>
      <c r="M13" s="15"/>
      <c r="N13" s="6"/>
    </row>
    <row r="14" spans="1:14" ht="21.75" customHeight="1">
      <c r="A14" s="26"/>
      <c r="B14" s="28"/>
      <c r="C14" s="29"/>
      <c r="D14" s="33"/>
      <c r="E14" s="32"/>
      <c r="F14" s="30"/>
      <c r="G14" s="32" t="s">
        <v>54</v>
      </c>
      <c r="H14" s="32">
        <v>520035.9420000001</v>
      </c>
      <c r="K14" s="7"/>
      <c r="L14" s="15"/>
      <c r="M14" s="15"/>
    </row>
    <row r="15" spans="1:14" ht="21.75" customHeight="1">
      <c r="A15" s="26"/>
      <c r="B15" s="28"/>
      <c r="C15" s="29"/>
      <c r="D15" s="33"/>
      <c r="E15" s="32"/>
      <c r="F15" s="30"/>
      <c r="G15" s="32" t="s">
        <v>55</v>
      </c>
      <c r="H15" s="42">
        <f>H13+H14</f>
        <v>416029.09200000006</v>
      </c>
      <c r="K15" s="7"/>
      <c r="L15" s="15"/>
      <c r="M15" s="15"/>
    </row>
    <row r="16" spans="1:14" ht="21.75" customHeight="1">
      <c r="A16" s="26"/>
      <c r="B16" s="28"/>
      <c r="C16" s="29"/>
      <c r="D16" s="33"/>
      <c r="E16" s="32"/>
      <c r="F16" s="30"/>
      <c r="G16" s="32" t="s">
        <v>16</v>
      </c>
      <c r="H16" s="35">
        <v>574815</v>
      </c>
      <c r="K16" s="7"/>
      <c r="L16" s="15"/>
      <c r="M16" s="15"/>
    </row>
    <row r="17" spans="1:14" ht="21.75" customHeight="1">
      <c r="A17" s="26"/>
      <c r="B17" s="28"/>
      <c r="C17" s="29"/>
      <c r="D17" s="33"/>
      <c r="E17" s="32"/>
      <c r="F17" s="30"/>
      <c r="G17" s="32" t="s">
        <v>95</v>
      </c>
      <c r="H17" s="35">
        <v>37950</v>
      </c>
      <c r="K17" s="7"/>
      <c r="L17" s="15"/>
      <c r="M17" s="15"/>
    </row>
    <row r="18" spans="1:14" s="1" customFormat="1" ht="21.75" customHeight="1">
      <c r="A18" s="26"/>
      <c r="B18" s="28"/>
      <c r="C18" s="29"/>
      <c r="D18" s="33"/>
      <c r="E18" s="32"/>
      <c r="F18" s="30"/>
      <c r="G18" s="32" t="s">
        <v>18</v>
      </c>
      <c r="H18" s="42">
        <f>H16+H17</f>
        <v>612765</v>
      </c>
      <c r="I18" s="11"/>
      <c r="J18" s="7"/>
      <c r="K18" s="7"/>
      <c r="L18" s="15"/>
      <c r="M18" s="15"/>
      <c r="N18" s="6"/>
    </row>
    <row r="19" spans="1:14" s="1" customFormat="1" ht="21.75" customHeight="1">
      <c r="A19" s="5"/>
      <c r="B19" s="12"/>
      <c r="C19" s="8"/>
      <c r="D19" s="9"/>
      <c r="E19" s="7"/>
      <c r="F19" s="10"/>
      <c r="G19" s="32" t="s">
        <v>19</v>
      </c>
      <c r="H19" s="46">
        <f>H15-H18</f>
        <v>-196735.90799999994</v>
      </c>
      <c r="I19" s="11"/>
      <c r="J19" s="7"/>
      <c r="K19" s="7"/>
      <c r="L19" s="15"/>
      <c r="M19" s="15"/>
      <c r="N19" s="6"/>
    </row>
    <row r="20" spans="1:14" s="1" customFormat="1" ht="21.75" customHeight="1">
      <c r="A20" s="5"/>
      <c r="B20" s="12"/>
      <c r="C20" s="8"/>
      <c r="D20" s="9"/>
      <c r="E20" s="7"/>
      <c r="F20" s="10"/>
      <c r="G20" s="39" t="s">
        <v>57</v>
      </c>
      <c r="H20" s="39">
        <v>112000</v>
      </c>
      <c r="I20" s="11"/>
      <c r="J20" s="7"/>
      <c r="K20" s="7"/>
      <c r="L20" s="15"/>
      <c r="M20" s="15"/>
      <c r="N20" s="6"/>
    </row>
    <row r="21" spans="1:14" s="1" customFormat="1" ht="21.75" customHeight="1">
      <c r="A21" s="6"/>
      <c r="B21" s="12"/>
      <c r="C21" s="8"/>
      <c r="D21" s="10"/>
      <c r="E21" s="14"/>
      <c r="F21" s="10"/>
      <c r="G21" s="39" t="s">
        <v>58</v>
      </c>
      <c r="H21" s="43">
        <f>H19+H20</f>
        <v>-84735.907999999938</v>
      </c>
      <c r="I21" s="11"/>
      <c r="J21" s="7"/>
      <c r="K21" s="7"/>
      <c r="L21" s="15"/>
      <c r="M21" s="15"/>
      <c r="N21" s="6"/>
    </row>
    <row r="22" spans="1:14">
      <c r="K22" s="7"/>
      <c r="M22" s="7"/>
    </row>
    <row r="23" spans="1:14">
      <c r="M23" s="7"/>
    </row>
    <row r="24" spans="1:14">
      <c r="M24" s="7"/>
    </row>
    <row r="25" spans="1:14">
      <c r="C25" s="12"/>
      <c r="D25" s="8"/>
      <c r="E25" s="9"/>
      <c r="F25" s="7"/>
      <c r="G25" s="10"/>
      <c r="I25" s="7"/>
      <c r="J25" s="11"/>
      <c r="K25" s="7"/>
      <c r="L25" s="6"/>
      <c r="M25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D29C-D904-43CE-A7C2-0CB7DA792816}">
  <dimension ref="A1:N32"/>
  <sheetViews>
    <sheetView workbookViewId="0">
      <pane ySplit="1" topLeftCell="D17" activePane="bottomLeft" state="frozen"/>
      <selection pane="bottomLeft" activeCell="H28" sqref="H28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87</v>
      </c>
      <c r="B2" s="28">
        <v>44897</v>
      </c>
      <c r="C2" s="29">
        <v>20000</v>
      </c>
      <c r="D2" s="30" t="s">
        <v>21</v>
      </c>
      <c r="E2" s="31"/>
      <c r="F2" s="38">
        <v>0.3</v>
      </c>
      <c r="G2" s="31">
        <f t="shared" ref="G2:G11" si="0">C2*F2</f>
        <v>6000</v>
      </c>
      <c r="H2" s="32">
        <f>G2*0.9</f>
        <v>5400</v>
      </c>
      <c r="I2" s="11"/>
      <c r="J2" s="7"/>
      <c r="K2" s="7"/>
      <c r="L2" s="15"/>
      <c r="M2" s="15"/>
      <c r="N2" s="6"/>
    </row>
    <row r="3" spans="1:14" s="1" customFormat="1" ht="21">
      <c r="A3" s="27" t="s">
        <v>22</v>
      </c>
      <c r="B3" s="28">
        <v>44901</v>
      </c>
      <c r="C3" s="29">
        <v>60000</v>
      </c>
      <c r="D3" s="30" t="s">
        <v>21</v>
      </c>
      <c r="E3" s="31"/>
      <c r="F3" s="38">
        <v>2.5000000000000001E-2</v>
      </c>
      <c r="G3" s="31">
        <f t="shared" si="0"/>
        <v>1500</v>
      </c>
      <c r="H3" s="32">
        <f>G3*0.9</f>
        <v>1350</v>
      </c>
      <c r="I3" s="11"/>
      <c r="J3" s="7"/>
      <c r="K3" s="7"/>
      <c r="L3" s="15"/>
      <c r="M3" s="15"/>
      <c r="N3" s="6"/>
    </row>
    <row r="4" spans="1:14" s="1" customFormat="1" ht="21">
      <c r="A4" s="27" t="s">
        <v>28</v>
      </c>
      <c r="B4" s="28">
        <v>44901</v>
      </c>
      <c r="C4" s="29">
        <v>40000</v>
      </c>
      <c r="D4" s="30" t="s">
        <v>21</v>
      </c>
      <c r="E4" s="31"/>
      <c r="F4" s="38">
        <v>0.26</v>
      </c>
      <c r="G4" s="31">
        <f t="shared" si="0"/>
        <v>10400</v>
      </c>
      <c r="H4" s="32">
        <f>G4</f>
        <v>10400</v>
      </c>
      <c r="I4" s="11"/>
      <c r="J4" s="7"/>
      <c r="K4" s="7"/>
      <c r="L4" s="15"/>
      <c r="M4" s="15"/>
      <c r="N4" s="6"/>
    </row>
    <row r="5" spans="1:14" s="1" customFormat="1" ht="21">
      <c r="A5" s="27" t="s">
        <v>63</v>
      </c>
      <c r="B5" s="28">
        <v>44903</v>
      </c>
      <c r="C5" s="29">
        <v>130000</v>
      </c>
      <c r="D5" s="30" t="s">
        <v>21</v>
      </c>
      <c r="E5" s="31"/>
      <c r="F5" s="38">
        <v>0.23</v>
      </c>
      <c r="G5" s="31">
        <f t="shared" si="0"/>
        <v>29900</v>
      </c>
      <c r="H5" s="32">
        <f>G5</f>
        <v>29900</v>
      </c>
      <c r="I5" s="11"/>
      <c r="J5" s="7"/>
      <c r="K5" s="7"/>
      <c r="L5" s="15"/>
      <c r="M5" s="15"/>
      <c r="N5" s="6"/>
    </row>
    <row r="6" spans="1:14" s="1" customFormat="1" ht="21">
      <c r="A6" s="27" t="s">
        <v>72</v>
      </c>
      <c r="B6" s="28">
        <v>44904</v>
      </c>
      <c r="C6" s="29">
        <v>24000</v>
      </c>
      <c r="D6" s="30" t="s">
        <v>21</v>
      </c>
      <c r="E6" s="31"/>
      <c r="F6" s="38">
        <v>2.25</v>
      </c>
      <c r="G6" s="31">
        <f t="shared" si="0"/>
        <v>54000</v>
      </c>
      <c r="H6" s="32">
        <v>49800</v>
      </c>
      <c r="I6" s="11"/>
      <c r="J6" s="7"/>
      <c r="K6" s="7"/>
      <c r="L6" s="15"/>
      <c r="M6" s="15"/>
      <c r="N6" s="6"/>
    </row>
    <row r="7" spans="1:14" s="1" customFormat="1" ht="21">
      <c r="A7" s="27" t="s">
        <v>79</v>
      </c>
      <c r="B7" s="28">
        <v>44908</v>
      </c>
      <c r="C7" s="29">
        <v>30000</v>
      </c>
      <c r="D7" s="30" t="s">
        <v>21</v>
      </c>
      <c r="E7" s="31"/>
      <c r="F7" s="38">
        <v>0.25530000000000003</v>
      </c>
      <c r="G7" s="31">
        <f t="shared" si="0"/>
        <v>7659.0000000000009</v>
      </c>
      <c r="H7" s="32">
        <f>G7*0.9</f>
        <v>6893.1000000000013</v>
      </c>
      <c r="I7" s="11"/>
      <c r="J7" s="7"/>
      <c r="K7" s="7"/>
      <c r="L7" s="15"/>
      <c r="M7" s="15"/>
      <c r="N7" s="6"/>
    </row>
    <row r="8" spans="1:14" s="1" customFormat="1" ht="21">
      <c r="A8" s="27" t="s">
        <v>14</v>
      </c>
      <c r="B8" s="28">
        <v>44910</v>
      </c>
      <c r="C8" s="29">
        <v>40000</v>
      </c>
      <c r="D8" s="30" t="s">
        <v>21</v>
      </c>
      <c r="E8" s="31"/>
      <c r="F8" s="38">
        <v>0.18940000000000001</v>
      </c>
      <c r="G8" s="31">
        <f t="shared" si="0"/>
        <v>7576.0000000000009</v>
      </c>
      <c r="H8" s="32">
        <f>G8*0.9</f>
        <v>6818.4000000000005</v>
      </c>
      <c r="I8" s="11"/>
      <c r="J8" s="7"/>
      <c r="K8" s="7"/>
      <c r="L8" s="15"/>
      <c r="M8" s="15"/>
      <c r="N8" s="6"/>
    </row>
    <row r="9" spans="1:14" s="1" customFormat="1" ht="21">
      <c r="A9" s="27" t="s">
        <v>33</v>
      </c>
      <c r="B9" s="28">
        <v>44910</v>
      </c>
      <c r="C9" s="29">
        <v>2400</v>
      </c>
      <c r="D9" s="30" t="s">
        <v>21</v>
      </c>
      <c r="E9" s="31"/>
      <c r="F9" s="38">
        <v>0.4</v>
      </c>
      <c r="G9" s="31">
        <f t="shared" si="0"/>
        <v>960</v>
      </c>
      <c r="H9" s="32">
        <f>G9*0.9</f>
        <v>864</v>
      </c>
      <c r="I9" s="11"/>
      <c r="J9" s="7"/>
      <c r="K9" s="7"/>
      <c r="L9" s="15"/>
      <c r="M9" s="15"/>
      <c r="N9" s="6"/>
    </row>
    <row r="10" spans="1:14" s="1" customFormat="1" ht="21">
      <c r="A10" s="27" t="s">
        <v>90</v>
      </c>
      <c r="B10" s="28">
        <v>44918</v>
      </c>
      <c r="C10" s="29">
        <v>20000</v>
      </c>
      <c r="D10" s="30" t="s">
        <v>21</v>
      </c>
      <c r="E10" s="31"/>
      <c r="F10" s="38">
        <v>0.19109999999999999</v>
      </c>
      <c r="G10" s="31">
        <f t="shared" si="0"/>
        <v>3822</v>
      </c>
      <c r="H10" s="32">
        <f>G10*0.9</f>
        <v>3439.8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96</v>
      </c>
      <c r="B11" s="28">
        <v>44923</v>
      </c>
      <c r="C11" s="29">
        <v>10000</v>
      </c>
      <c r="D11" s="30" t="s">
        <v>21</v>
      </c>
      <c r="E11" s="31"/>
      <c r="F11" s="38">
        <v>0.1003</v>
      </c>
      <c r="G11" s="31">
        <f t="shared" si="0"/>
        <v>1003</v>
      </c>
      <c r="H11" s="32">
        <f>G11</f>
        <v>1003</v>
      </c>
      <c r="I11" s="11"/>
      <c r="J11" s="7"/>
      <c r="K11" s="7"/>
      <c r="L11" s="15"/>
      <c r="M11" s="15"/>
      <c r="N11" s="6"/>
    </row>
    <row r="12" spans="1:14" s="1" customFormat="1" ht="21.75" customHeight="1">
      <c r="A12" s="27"/>
      <c r="B12" s="28"/>
      <c r="C12" s="29"/>
      <c r="D12" s="30"/>
      <c r="E12" s="31"/>
      <c r="F12" s="30"/>
      <c r="G12" s="31"/>
      <c r="H12" s="34">
        <f>SUM(H2:H11)</f>
        <v>115868.3</v>
      </c>
      <c r="I12" s="11"/>
      <c r="J12" s="7"/>
      <c r="K12" s="7"/>
      <c r="L12" s="15"/>
      <c r="M12" s="15"/>
      <c r="N12" s="6"/>
    </row>
    <row r="13" spans="1:14" s="1" customFormat="1" ht="21.75" customHeight="1">
      <c r="A13" s="27" t="s">
        <v>10</v>
      </c>
      <c r="B13" s="28">
        <v>44915</v>
      </c>
      <c r="C13" s="29">
        <v>3600</v>
      </c>
      <c r="D13" s="30">
        <v>28</v>
      </c>
      <c r="E13" s="31">
        <v>101023.27</v>
      </c>
      <c r="F13" s="30">
        <v>30</v>
      </c>
      <c r="G13" s="31">
        <v>107760.79</v>
      </c>
      <c r="H13" s="32">
        <f t="shared" ref="H13:H18" si="1">G13-E13</f>
        <v>6737.5199999999895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27" t="s">
        <v>51</v>
      </c>
      <c r="B14" s="28">
        <v>44918</v>
      </c>
      <c r="C14" s="29">
        <v>2400</v>
      </c>
      <c r="D14" s="30">
        <v>20.25</v>
      </c>
      <c r="E14" s="31">
        <v>48707.64</v>
      </c>
      <c r="F14" s="30">
        <v>14.6</v>
      </c>
      <c r="G14" s="31">
        <v>34962.39</v>
      </c>
      <c r="H14" s="32">
        <f t="shared" si="1"/>
        <v>-13745.25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27" t="s">
        <v>12</v>
      </c>
      <c r="B15" s="28">
        <v>44922</v>
      </c>
      <c r="C15" s="29">
        <v>2500</v>
      </c>
      <c r="D15" s="30">
        <v>29.5</v>
      </c>
      <c r="E15" s="31">
        <v>73913.350000000006</v>
      </c>
      <c r="F15" s="30">
        <v>19.7</v>
      </c>
      <c r="G15" s="31">
        <v>49140.91</v>
      </c>
      <c r="H15" s="32">
        <f t="shared" si="1"/>
        <v>-24772.440000000002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27" t="s">
        <v>12</v>
      </c>
      <c r="B16" s="28">
        <v>44923</v>
      </c>
      <c r="C16" s="29">
        <v>2500</v>
      </c>
      <c r="D16" s="30">
        <v>29.5</v>
      </c>
      <c r="E16" s="31">
        <v>73913.350000000006</v>
      </c>
      <c r="F16" s="30">
        <v>20.3</v>
      </c>
      <c r="G16" s="31">
        <v>50637.599999999999</v>
      </c>
      <c r="H16" s="32">
        <f t="shared" si="1"/>
        <v>-23275.750000000007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27" t="s">
        <v>68</v>
      </c>
      <c r="B17" s="28">
        <v>44923</v>
      </c>
      <c r="C17" s="29">
        <v>12000</v>
      </c>
      <c r="D17" s="30">
        <v>9</v>
      </c>
      <c r="E17" s="31">
        <v>108239.21</v>
      </c>
      <c r="F17" s="30">
        <v>7.75</v>
      </c>
      <c r="G17" s="31">
        <v>92794.01</v>
      </c>
      <c r="H17" s="32">
        <f t="shared" si="1"/>
        <v>-15445.200000000012</v>
      </c>
      <c r="I17" s="11"/>
      <c r="J17" s="7"/>
      <c r="K17" s="7"/>
      <c r="L17" s="15"/>
      <c r="M17" s="15"/>
      <c r="N17" s="6"/>
    </row>
    <row r="18" spans="1:14" s="1" customFormat="1" ht="21.75" customHeight="1">
      <c r="A18" s="27" t="s">
        <v>89</v>
      </c>
      <c r="B18" s="28">
        <v>44925</v>
      </c>
      <c r="C18" s="29">
        <v>3000</v>
      </c>
      <c r="D18" s="30">
        <v>17</v>
      </c>
      <c r="E18" s="31">
        <v>51112.959999999999</v>
      </c>
      <c r="F18" s="30">
        <v>16.5</v>
      </c>
      <c r="G18" s="31">
        <v>49390.36</v>
      </c>
      <c r="H18" s="32">
        <f t="shared" si="1"/>
        <v>-1722.5999999999985</v>
      </c>
      <c r="I18" s="11"/>
      <c r="J18" s="7"/>
      <c r="K18" s="7"/>
      <c r="L18" s="15"/>
      <c r="M18" s="15"/>
      <c r="N18" s="6"/>
    </row>
    <row r="19" spans="1:14" ht="21.75" customHeight="1">
      <c r="A19" s="26"/>
      <c r="B19" s="28"/>
      <c r="C19" s="29"/>
      <c r="D19" s="33"/>
      <c r="E19" s="32">
        <f>SUM(E13:E18)</f>
        <v>456909.78</v>
      </c>
      <c r="F19" s="30"/>
      <c r="G19" s="32">
        <f>SUM(G13:G18)</f>
        <v>384686.06</v>
      </c>
      <c r="H19" s="41">
        <f>SUM(H13:H18)</f>
        <v>-72223.72000000003</v>
      </c>
      <c r="K19" s="7"/>
      <c r="L19" s="15"/>
      <c r="M19" s="15"/>
    </row>
    <row r="20" spans="1:14" s="1" customFormat="1" ht="21.75" customHeight="1">
      <c r="A20" s="26"/>
      <c r="B20" s="28"/>
      <c r="C20" s="29"/>
      <c r="D20" s="33"/>
      <c r="E20" s="32"/>
      <c r="F20" s="30"/>
      <c r="G20" s="32" t="s">
        <v>53</v>
      </c>
      <c r="H20" s="34">
        <f>H12+H19</f>
        <v>43644.579999999973</v>
      </c>
      <c r="I20" s="11"/>
      <c r="J20" s="7"/>
      <c r="K20" s="7"/>
      <c r="L20" s="15"/>
      <c r="M20" s="15"/>
      <c r="N20" s="6"/>
    </row>
    <row r="21" spans="1:14" ht="21.75" customHeight="1">
      <c r="A21" s="26"/>
      <c r="B21" s="28"/>
      <c r="C21" s="29"/>
      <c r="D21" s="33"/>
      <c r="E21" s="32"/>
      <c r="F21" s="30"/>
      <c r="G21" s="32" t="s">
        <v>54</v>
      </c>
      <c r="H21" s="32">
        <v>416029.09200000006</v>
      </c>
      <c r="K21" s="7"/>
      <c r="L21" s="15"/>
      <c r="M21" s="15"/>
    </row>
    <row r="22" spans="1:14" ht="21.75" customHeight="1">
      <c r="A22" s="26"/>
      <c r="B22" s="28"/>
      <c r="C22" s="29"/>
      <c r="D22" s="33"/>
      <c r="E22" s="32"/>
      <c r="F22" s="30"/>
      <c r="G22" s="32" t="s">
        <v>55</v>
      </c>
      <c r="H22" s="42">
        <f>H20+H21</f>
        <v>459673.67200000002</v>
      </c>
      <c r="K22" s="7"/>
      <c r="L22" s="15"/>
      <c r="M22" s="15"/>
    </row>
    <row r="23" spans="1:14" ht="21.75" customHeight="1">
      <c r="A23" s="26"/>
      <c r="B23" s="28"/>
      <c r="C23" s="29"/>
      <c r="D23" s="33"/>
      <c r="E23" s="32"/>
      <c r="F23" s="30"/>
      <c r="G23" s="32" t="s">
        <v>16</v>
      </c>
      <c r="H23" s="35">
        <v>612765</v>
      </c>
      <c r="K23" s="7"/>
      <c r="L23" s="15"/>
      <c r="M23" s="15"/>
    </row>
    <row r="24" spans="1:14" ht="21.75" customHeight="1">
      <c r="A24" s="26"/>
      <c r="B24" s="28"/>
      <c r="C24" s="29"/>
      <c r="D24" s="33"/>
      <c r="E24" s="32"/>
      <c r="F24" s="30"/>
      <c r="G24" s="32" t="s">
        <v>97</v>
      </c>
      <c r="H24" s="35">
        <v>29530</v>
      </c>
      <c r="K24" s="7"/>
      <c r="L24" s="15"/>
      <c r="M24" s="15"/>
    </row>
    <row r="25" spans="1:14" s="1" customFormat="1" ht="21.75" customHeight="1">
      <c r="A25" s="26"/>
      <c r="B25" s="28"/>
      <c r="C25" s="29"/>
      <c r="D25" s="33"/>
      <c r="E25" s="32"/>
      <c r="F25" s="30"/>
      <c r="G25" s="32" t="s">
        <v>18</v>
      </c>
      <c r="H25" s="42">
        <f>H23+H24</f>
        <v>642295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5"/>
      <c r="B26" s="12"/>
      <c r="C26" s="8"/>
      <c r="D26" s="9"/>
      <c r="E26" s="7"/>
      <c r="F26" s="10"/>
      <c r="G26" s="32" t="s">
        <v>19</v>
      </c>
      <c r="H26" s="36">
        <f>H22-H25</f>
        <v>-182621.32799999998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5"/>
      <c r="B27" s="12"/>
      <c r="C27" s="8"/>
      <c r="D27" s="9"/>
      <c r="E27" s="7"/>
      <c r="F27" s="10"/>
      <c r="G27" s="39" t="s">
        <v>57</v>
      </c>
      <c r="H27" s="39">
        <v>112000</v>
      </c>
      <c r="I27" s="11"/>
      <c r="J27" s="7"/>
      <c r="K27" s="7"/>
      <c r="L27" s="15"/>
      <c r="M27" s="15"/>
      <c r="N27" s="6"/>
    </row>
    <row r="28" spans="1:14" s="1" customFormat="1" ht="21.75" customHeight="1">
      <c r="A28" s="6"/>
      <c r="B28" s="12"/>
      <c r="C28" s="8"/>
      <c r="D28" s="10"/>
      <c r="E28" s="14"/>
      <c r="F28" s="10"/>
      <c r="G28" s="39" t="s">
        <v>58</v>
      </c>
      <c r="H28" s="49">
        <f>H26+H27</f>
        <v>-70621.32799999998</v>
      </c>
      <c r="I28" s="11"/>
      <c r="J28" s="7"/>
      <c r="K28" s="7"/>
      <c r="L28" s="15"/>
      <c r="M28" s="15"/>
      <c r="N28" s="6"/>
    </row>
    <row r="29" spans="1:14">
      <c r="K29" s="7"/>
      <c r="M29" s="7"/>
    </row>
    <row r="30" spans="1:14">
      <c r="M30" s="7"/>
    </row>
    <row r="31" spans="1:14">
      <c r="M31" s="7"/>
    </row>
    <row r="32" spans="1:14">
      <c r="C32" s="12"/>
      <c r="D32" s="8"/>
      <c r="E32" s="9"/>
      <c r="F32" s="7"/>
      <c r="G32" s="10"/>
      <c r="I32" s="7"/>
      <c r="J32" s="11"/>
      <c r="K32" s="7"/>
      <c r="L32" s="6"/>
      <c r="M32" s="7"/>
    </row>
  </sheetData>
  <sheetProtection selectLockedCells="1" selectUnlockedCells="1"/>
  <sortState xmlns:xlrd2="http://schemas.microsoft.com/office/spreadsheetml/2017/richdata2" ref="A2:H11">
    <sortCondition ref="B2:B11"/>
    <sortCondition ref="A2:A11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2023-02-13T08:11:23Z</dcterms:modified>
  <cp:category/>
  <cp:contentStatus/>
</cp:coreProperties>
</file>