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590" documentId="8_{B00F7D7D-2236-4C8B-840E-2CD3F92C0379}" xr6:coauthVersionLast="47" xr6:coauthVersionMax="47" xr10:uidLastSave="{61AEA9D6-1E6D-4E36-BF08-1876A5A81342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8" l="1"/>
  <c r="H3" i="58"/>
  <c r="G6" i="58"/>
  <c r="E6" i="58"/>
  <c r="H2" i="58"/>
  <c r="H13" i="41"/>
  <c r="H16" i="39"/>
  <c r="H11" i="58"/>
  <c r="H5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6" i="58" l="1"/>
  <c r="H8" i="58" s="1"/>
  <c r="H12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<sst xmlns="http://schemas.openxmlformats.org/spreadsheetml/2006/main" count="484" uniqueCount="100">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</sst>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2"/>
  <sheetViews>
    <sheetView tabSelected="1" workbookViewId="0">
      <pane ySplit="1" topLeftCell="A2" activePane="bottomLeft" state="frozen"/>
      <selection pane="bottomLeft" activeCell="H5" sqref="H5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4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ref="H5" si="1">G5-E5</f>
        <v>-11197.690000000002</v>
      </c>
      <c r="I5" s="15"/>
      <c r="J5" s="15"/>
      <c r="K5" s="6"/>
    </row>
    <row r="6" spans="1:11" ht="15" customHeight="1">
      <c r="A6" s="26"/>
      <c r="B6" s="28"/>
      <c r="C6" s="29"/>
      <c r="D6" s="33"/>
      <c r="E6" s="32">
        <f>SUM(E2:E5)</f>
        <v>476553.17999999993</v>
      </c>
      <c r="F6" s="30"/>
      <c r="G6" s="32">
        <f t="shared" ref="G6:H6" si="2">SUM(G2:G5)</f>
        <v>480732.85</v>
      </c>
      <c r="H6" s="34">
        <f t="shared" si="2"/>
        <v>4179.6700000000128</v>
      </c>
      <c r="K6" s="15"/>
    </row>
    <row r="7" spans="1:11" ht="15" customHeight="1">
      <c r="A7" s="26"/>
      <c r="B7" s="28"/>
      <c r="C7" s="29"/>
      <c r="D7" s="33"/>
      <c r="E7" s="32"/>
      <c r="F7" s="30"/>
      <c r="G7" s="32"/>
      <c r="H7" s="32">
        <v>0</v>
      </c>
    </row>
    <row r="8" spans="1:11" ht="15" customHeight="1">
      <c r="A8" s="26"/>
      <c r="B8" s="28"/>
      <c r="C8" s="29"/>
      <c r="D8" s="33"/>
      <c r="E8" s="32"/>
      <c r="F8" s="30"/>
      <c r="G8" s="32"/>
      <c r="H8" s="32">
        <f>SUM(H6:H7)</f>
        <v>4179.6700000000128</v>
      </c>
    </row>
    <row r="9" spans="1:11" ht="15" customHeight="1">
      <c r="A9" s="26"/>
      <c r="B9" s="28"/>
      <c r="C9" s="29"/>
      <c r="D9" s="33"/>
      <c r="E9" s="32"/>
      <c r="F9" s="30"/>
      <c r="G9" s="32" t="s">
        <v>12</v>
      </c>
      <c r="H9" s="35">
        <v>0</v>
      </c>
    </row>
    <row r="10" spans="1:11" ht="15" customHeight="1">
      <c r="A10" s="26"/>
      <c r="B10" s="28"/>
      <c r="C10" s="29"/>
      <c r="D10" s="33"/>
      <c r="E10" s="32"/>
      <c r="F10" s="30"/>
      <c r="G10" s="32" t="s">
        <v>13</v>
      </c>
      <c r="H10" s="35">
        <v>34710</v>
      </c>
    </row>
    <row r="11" spans="1:11" ht="15" customHeight="1">
      <c r="A11" s="26"/>
      <c r="B11" s="28"/>
      <c r="C11" s="29"/>
      <c r="D11" s="33"/>
      <c r="E11" s="32"/>
      <c r="F11" s="30"/>
      <c r="G11" s="32" t="s">
        <v>14</v>
      </c>
      <c r="H11" s="32">
        <f>H9+H10</f>
        <v>34710</v>
      </c>
    </row>
    <row r="12" spans="1:11" ht="15" customHeight="1">
      <c r="A12" s="26"/>
      <c r="B12" s="28"/>
      <c r="C12" s="29"/>
      <c r="D12" s="33"/>
      <c r="E12" s="32"/>
      <c r="F12" s="30"/>
      <c r="G12" s="32" t="s">
        <v>15</v>
      </c>
      <c r="H12" s="36">
        <f>H8-H11</f>
        <v>-30530.329999999987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16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17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18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19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19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19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16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20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21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22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20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20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21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23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24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16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16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25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19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26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27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12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13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14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15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28</v>
      </c>
      <c r="B2" s="28">
        <v>44607</v>
      </c>
      <c r="C2" s="29">
        <v>10000</v>
      </c>
      <c r="D2" s="30" t="s">
        <v>29</v>
      </c>
      <c r="E2" s="31" t="s">
        <v>29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30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31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32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33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18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34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34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19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19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19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35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16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16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16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36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25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37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38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27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27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39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40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40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41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12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42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14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15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43</v>
      </c>
      <c r="B2" s="28">
        <v>44624</v>
      </c>
      <c r="C2" s="29">
        <v>10000</v>
      </c>
      <c r="D2" s="30" t="s">
        <v>29</v>
      </c>
      <c r="E2" s="31" t="s">
        <v>29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44</v>
      </c>
      <c r="B3" s="28">
        <v>44624</v>
      </c>
      <c r="C3" s="29">
        <v>60000</v>
      </c>
      <c r="D3" s="30" t="s">
        <v>29</v>
      </c>
      <c r="E3" s="31" t="s">
        <v>29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45</v>
      </c>
      <c r="B4" s="28">
        <v>44641</v>
      </c>
      <c r="C4" s="29">
        <v>110000</v>
      </c>
      <c r="D4" s="30" t="s">
        <v>29</v>
      </c>
      <c r="E4" s="31" t="s">
        <v>29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46</v>
      </c>
      <c r="B5" s="28">
        <v>44645</v>
      </c>
      <c r="C5" s="29">
        <v>20000</v>
      </c>
      <c r="D5" s="30" t="s">
        <v>29</v>
      </c>
      <c r="E5" s="31" t="s">
        <v>29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47</v>
      </c>
      <c r="B6" s="28">
        <v>44648</v>
      </c>
      <c r="C6" s="29">
        <v>10000</v>
      </c>
      <c r="D6" s="30" t="s">
        <v>29</v>
      </c>
      <c r="E6" s="31" t="s">
        <v>29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48</v>
      </c>
      <c r="B7" s="28">
        <v>44650</v>
      </c>
      <c r="C7" s="29">
        <v>40100</v>
      </c>
      <c r="D7" s="30" t="s">
        <v>29</v>
      </c>
      <c r="E7" s="31" t="s">
        <v>29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49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50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50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51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52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24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53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54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55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12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56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14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15</v>
      </c>
      <c r="H25" s="46">
        <f>H21-H24</f>
        <v>-58960.307999999946</v>
      </c>
    </row>
    <row r="26" spans="1:8" ht="15.6">
      <c r="G26" s="39" t="s">
        <v>57</v>
      </c>
      <c r="H26" s="39">
        <v>112000</v>
      </c>
    </row>
    <row r="27" spans="1:8" ht="15.6">
      <c r="G27" s="39" t="s">
        <v>58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59</v>
      </c>
      <c r="B2" s="28">
        <v>44659</v>
      </c>
      <c r="C2" s="29">
        <v>900</v>
      </c>
      <c r="D2" s="30" t="s">
        <v>29</v>
      </c>
      <c r="E2" s="31" t="s">
        <v>29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51</v>
      </c>
      <c r="B3" s="28">
        <v>44673</v>
      </c>
      <c r="C3" s="29">
        <v>6000</v>
      </c>
      <c r="D3" s="30" t="s">
        <v>29</v>
      </c>
      <c r="E3" s="31" t="s">
        <v>29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29</v>
      </c>
      <c r="E4" s="31" t="s">
        <v>29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60</v>
      </c>
      <c r="B5" s="28">
        <v>44677</v>
      </c>
      <c r="C5" s="29">
        <v>900</v>
      </c>
      <c r="D5" s="30" t="s">
        <v>29</v>
      </c>
      <c r="E5" s="31" t="s">
        <v>29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50</v>
      </c>
      <c r="B6" s="28">
        <v>44678</v>
      </c>
      <c r="C6" s="29">
        <v>9000</v>
      </c>
      <c r="D6" s="30" t="s">
        <v>29</v>
      </c>
      <c r="E6" s="31" t="s">
        <v>29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61</v>
      </c>
      <c r="B7" s="28">
        <v>44680</v>
      </c>
      <c r="C7" s="29">
        <v>9000</v>
      </c>
      <c r="D7" s="30" t="s">
        <v>29</v>
      </c>
      <c r="E7" s="31" t="s">
        <v>29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62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63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52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64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25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65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66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53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54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55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12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67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14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15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57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58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25</v>
      </c>
      <c r="B2" s="28">
        <v>44686</v>
      </c>
      <c r="C2" s="29">
        <v>50000</v>
      </c>
      <c r="D2" s="30" t="s">
        <v>29</v>
      </c>
      <c r="E2" s="31" t="s">
        <v>29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51</v>
      </c>
      <c r="B3" s="28">
        <v>44686</v>
      </c>
      <c r="C3" s="29">
        <v>15000</v>
      </c>
      <c r="D3" s="30" t="s">
        <v>29</v>
      </c>
      <c r="E3" s="31" t="s">
        <v>29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26</v>
      </c>
      <c r="B4" s="28">
        <v>44687</v>
      </c>
      <c r="C4" s="29">
        <v>27000</v>
      </c>
      <c r="D4" s="30" t="s">
        <v>29</v>
      </c>
      <c r="E4" s="31" t="s">
        <v>29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68</v>
      </c>
      <c r="B5" s="28">
        <v>44687</v>
      </c>
      <c r="C5" s="29">
        <v>22500</v>
      </c>
      <c r="D5" s="30" t="s">
        <v>29</v>
      </c>
      <c r="E5" s="31" t="s">
        <v>29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69</v>
      </c>
      <c r="B6" s="28">
        <v>44687</v>
      </c>
      <c r="C6" s="29">
        <v>27000</v>
      </c>
      <c r="D6" s="30" t="s">
        <v>29</v>
      </c>
      <c r="E6" s="31" t="s">
        <v>29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70</v>
      </c>
      <c r="B7" s="28">
        <v>44690</v>
      </c>
      <c r="C7" s="29">
        <v>13000</v>
      </c>
      <c r="D7" s="30" t="s">
        <v>29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71</v>
      </c>
      <c r="B8" s="28">
        <v>44693</v>
      </c>
      <c r="C8" s="29">
        <v>9000</v>
      </c>
      <c r="D8" s="30" t="s">
        <v>29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24</v>
      </c>
      <c r="B9" s="28">
        <v>44694</v>
      </c>
      <c r="C9" s="29">
        <v>4500</v>
      </c>
      <c r="D9" s="30" t="s">
        <v>29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72</v>
      </c>
      <c r="B10" s="28">
        <v>44698</v>
      </c>
      <c r="C10" s="29">
        <v>30000</v>
      </c>
      <c r="D10" s="30" t="s">
        <v>29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73</v>
      </c>
      <c r="B11" s="28">
        <v>44698</v>
      </c>
      <c r="C11" s="29">
        <v>60000</v>
      </c>
      <c r="D11" s="30" t="s">
        <v>29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74</v>
      </c>
      <c r="B12" s="28">
        <v>44700</v>
      </c>
      <c r="C12" s="29">
        <v>3000</v>
      </c>
      <c r="D12" s="30" t="s">
        <v>29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66</v>
      </c>
      <c r="B13" s="28">
        <v>44700</v>
      </c>
      <c r="C13" s="29">
        <v>2000</v>
      </c>
      <c r="D13" s="30" t="s">
        <v>29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38</v>
      </c>
      <c r="B14" s="28">
        <v>44701</v>
      </c>
      <c r="C14" s="29">
        <v>6000</v>
      </c>
      <c r="D14" s="30" t="s">
        <v>29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23</v>
      </c>
      <c r="B15" s="28">
        <v>44701</v>
      </c>
      <c r="C15" s="29">
        <v>12000</v>
      </c>
      <c r="D15" s="30" t="s">
        <v>29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75</v>
      </c>
      <c r="B16" s="28">
        <v>44705</v>
      </c>
      <c r="C16" s="29">
        <v>18000</v>
      </c>
      <c r="D16" s="30" t="s">
        <v>29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76</v>
      </c>
      <c r="B17" s="28">
        <v>44705</v>
      </c>
      <c r="C17" s="29">
        <v>45000</v>
      </c>
      <c r="D17" s="30" t="s">
        <v>29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77</v>
      </c>
      <c r="B18" s="28">
        <v>44705</v>
      </c>
      <c r="C18" s="29">
        <v>4500</v>
      </c>
      <c r="D18" s="30" t="s">
        <v>29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78</v>
      </c>
      <c r="B19" s="28">
        <v>44706</v>
      </c>
      <c r="C19" s="29">
        <v>90000</v>
      </c>
      <c r="D19" s="30" t="s">
        <v>29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17</v>
      </c>
      <c r="B20" s="28">
        <v>44712</v>
      </c>
      <c r="C20" s="29">
        <v>60000</v>
      </c>
      <c r="D20" s="30" t="s">
        <v>29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71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65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52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71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38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38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65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38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79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77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24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24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35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16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53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54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55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12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80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14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15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57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58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33</v>
      </c>
      <c r="B2" s="28">
        <v>44718</v>
      </c>
      <c r="C2" s="29">
        <v>50000</v>
      </c>
      <c r="D2" s="30" t="s">
        <v>29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64</v>
      </c>
      <c r="B3" s="28">
        <v>44720</v>
      </c>
      <c r="C3" s="29">
        <v>110000</v>
      </c>
      <c r="D3" s="30" t="s">
        <v>29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81</v>
      </c>
      <c r="B4" s="28">
        <v>44727</v>
      </c>
      <c r="C4" s="29">
        <v>30000</v>
      </c>
      <c r="D4" s="30" t="s">
        <v>29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16</v>
      </c>
      <c r="B5" s="28">
        <v>44728</v>
      </c>
      <c r="C5" s="29">
        <v>6000</v>
      </c>
      <c r="D5" s="30" t="s">
        <v>29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82</v>
      </c>
      <c r="B6" s="28">
        <v>44736</v>
      </c>
      <c r="C6" s="29">
        <v>40000</v>
      </c>
      <c r="D6" s="30" t="s">
        <v>29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27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68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33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34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25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53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54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55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12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14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15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57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58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82</v>
      </c>
      <c r="B2" s="28">
        <v>44736</v>
      </c>
      <c r="C2" s="29">
        <v>40000</v>
      </c>
      <c r="D2" s="30" t="s">
        <v>29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66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66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24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34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53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54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55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12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14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15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57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58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29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29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27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53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54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55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12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14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15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57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58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29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23</v>
      </c>
      <c r="B3" s="28">
        <v>44806</v>
      </c>
      <c r="C3" s="29">
        <v>15000</v>
      </c>
      <c r="D3" s="30" t="s">
        <v>29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29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81</v>
      </c>
      <c r="B5" s="28">
        <v>44806</v>
      </c>
      <c r="C5" s="29">
        <v>30000</v>
      </c>
      <c r="D5" s="30" t="s">
        <v>29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33</v>
      </c>
      <c r="B6" s="28">
        <v>44809</v>
      </c>
      <c r="C6" s="29">
        <v>40000</v>
      </c>
      <c r="D6" s="30" t="s">
        <v>29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22</v>
      </c>
      <c r="B7" s="28">
        <v>44809</v>
      </c>
      <c r="C7" s="29">
        <v>18000</v>
      </c>
      <c r="D7" s="30" t="s">
        <v>29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17</v>
      </c>
      <c r="B8" s="28">
        <v>44810</v>
      </c>
      <c r="C8" s="29">
        <v>60000</v>
      </c>
      <c r="D8" s="30" t="s">
        <v>29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64</v>
      </c>
      <c r="B9" s="28">
        <v>44810</v>
      </c>
      <c r="C9" s="29">
        <v>130000</v>
      </c>
      <c r="D9" s="30" t="s">
        <v>29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74</v>
      </c>
      <c r="B10" s="28">
        <v>44810</v>
      </c>
      <c r="C10" s="29">
        <v>7500</v>
      </c>
      <c r="D10" s="30" t="s">
        <v>29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26</v>
      </c>
      <c r="B11" s="28">
        <v>44811</v>
      </c>
      <c r="C11" s="29">
        <v>27000</v>
      </c>
      <c r="D11" s="30" t="s">
        <v>29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68</v>
      </c>
      <c r="B12" s="28">
        <v>44812</v>
      </c>
      <c r="C12" s="29">
        <v>22500</v>
      </c>
      <c r="D12" s="30" t="s">
        <v>29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72</v>
      </c>
      <c r="B13" s="28">
        <v>44813</v>
      </c>
      <c r="C13" s="29">
        <v>30000</v>
      </c>
      <c r="D13" s="30" t="s">
        <v>29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70</v>
      </c>
      <c r="B14" s="28">
        <v>44813</v>
      </c>
      <c r="C14" s="29">
        <v>15000</v>
      </c>
      <c r="D14" s="30" t="s">
        <v>29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78</v>
      </c>
      <c r="B15" s="28">
        <v>44813</v>
      </c>
      <c r="C15" s="29">
        <v>105000</v>
      </c>
      <c r="D15" s="30" t="s">
        <v>29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69</v>
      </c>
      <c r="B16" s="28">
        <v>44813</v>
      </c>
      <c r="C16" s="29">
        <v>48000</v>
      </c>
      <c r="D16" s="30" t="s">
        <v>29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76</v>
      </c>
      <c r="B17" s="28">
        <v>44817</v>
      </c>
      <c r="C17" s="29">
        <v>45000</v>
      </c>
      <c r="D17" s="30" t="s">
        <v>29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75</v>
      </c>
      <c r="B18" s="28">
        <v>44818</v>
      </c>
      <c r="C18" s="29">
        <v>21000</v>
      </c>
      <c r="D18" s="30" t="s">
        <v>29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29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16</v>
      </c>
      <c r="B20" s="28">
        <v>44819</v>
      </c>
      <c r="C20" s="29">
        <v>2400</v>
      </c>
      <c r="D20" s="30" t="s">
        <v>29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82</v>
      </c>
      <c r="B21" s="28">
        <v>44823</v>
      </c>
      <c r="C21" s="29">
        <v>40000</v>
      </c>
      <c r="D21" s="30" t="s">
        <v>29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29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75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73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64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53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54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55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12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14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15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57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58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65</v>
      </c>
      <c r="B2" s="28">
        <v>44846</v>
      </c>
      <c r="C2" s="29">
        <v>4500</v>
      </c>
      <c r="D2" s="30" t="s">
        <v>29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61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23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75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53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54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55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12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14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15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57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58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65</v>
      </c>
      <c r="B2" s="28">
        <v>44846</v>
      </c>
      <c r="C2" s="29">
        <v>0</v>
      </c>
      <c r="D2" s="30" t="s">
        <v>29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68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70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22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52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52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53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54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55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12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14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15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57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58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29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17</v>
      </c>
      <c r="B3" s="28">
        <v>44901</v>
      </c>
      <c r="C3" s="29">
        <v>60000</v>
      </c>
      <c r="D3" s="30" t="s">
        <v>29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33</v>
      </c>
      <c r="B4" s="28">
        <v>44901</v>
      </c>
      <c r="C4" s="29">
        <v>40000</v>
      </c>
      <c r="D4" s="30" t="s">
        <v>29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64</v>
      </c>
      <c r="B5" s="28">
        <v>44903</v>
      </c>
      <c r="C5" s="29">
        <v>130000</v>
      </c>
      <c r="D5" s="30" t="s">
        <v>29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23</v>
      </c>
      <c r="B6" s="28">
        <v>44904</v>
      </c>
      <c r="C6" s="29">
        <v>24000</v>
      </c>
      <c r="D6" s="30" t="s">
        <v>29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81</v>
      </c>
      <c r="B7" s="28">
        <v>44908</v>
      </c>
      <c r="C7" s="29">
        <v>30000</v>
      </c>
      <c r="D7" s="30" t="s">
        <v>29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82</v>
      </c>
      <c r="B8" s="28">
        <v>44910</v>
      </c>
      <c r="C8" s="29">
        <v>40000</v>
      </c>
      <c r="D8" s="30" t="s">
        <v>29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16</v>
      </c>
      <c r="B9" s="28">
        <v>44910</v>
      </c>
      <c r="C9" s="29">
        <v>2400</v>
      </c>
      <c r="D9" s="30" t="s">
        <v>29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29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29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52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68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68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69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22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53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54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55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12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14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15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57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58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2023-01-17T07:10:24Z</dcterms:modified>
  <cp:category/>
  <cp:contentStatus/>
</cp:coreProperties>
</file>